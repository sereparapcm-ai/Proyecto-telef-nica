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fosernewtechnologies.sharepoint.com/sites/ServicioTcnico/Documentos compartidos/Clientes/TELEFONICA/Reparaciones/REPARACIONES DE TELEFONICA 2025/"/>
    </mc:Choice>
  </mc:AlternateContent>
  <xr:revisionPtr revIDLastSave="514" documentId="10_ncr:8000_{B5C36B3B-9649-4B69-BC7D-C9FEA316D8FB}" xr6:coauthVersionLast="47" xr6:coauthVersionMax="47" xr10:uidLastSave="{4A85FAA5-8AF0-4969-BEF1-B4C8FFBD758F}"/>
  <bookViews>
    <workbookView xWindow="28680" yWindow="-120" windowWidth="38640" windowHeight="21240" firstSheet="2" activeTab="2" xr2:uid="{1E2CF144-1CCA-47B5-9F0A-C4384EB869D7}"/>
  </bookViews>
  <sheets>
    <sheet name="Reparaciones " sheetId="1" state="hidden" r:id="rId1"/>
    <sheet name="Hoja2" sheetId="14" r:id="rId2"/>
    <sheet name="REPARACIONES" sheetId="11" r:id="rId3"/>
    <sheet name="Hoja1" sheetId="19" r:id="rId4"/>
    <sheet name="Hoja3" sheetId="18" r:id="rId5"/>
    <sheet name="Detalle1" sheetId="15" r:id="rId6"/>
    <sheet name="Detalle2" sheetId="16" r:id="rId7"/>
    <sheet name="AVANCE" sheetId="12" r:id="rId8"/>
    <sheet name="costo de piezas y reparaciones" sheetId="2" r:id="rId9"/>
    <sheet name="STOCK" sheetId="3" r:id="rId10"/>
    <sheet name="Hoja4" sheetId="20" r:id="rId11"/>
    <sheet name="Hoja5" sheetId="21" r:id="rId12"/>
    <sheet name="COLORES INCIDENCIAS" sheetId="10" r:id="rId13"/>
  </sheets>
  <definedNames>
    <definedName name="_xlnm._FilterDatabase" localSheetId="8" hidden="1">'costo de piezas y reparaciones'!$A$1:$A$25</definedName>
    <definedName name="_xlnm._FilterDatabase" localSheetId="2" hidden="1">REPARACIONES!$A$1:$X$901</definedName>
    <definedName name="_xlnm._FilterDatabase" localSheetId="0" hidden="1">'Reparaciones '!$A$1:$U$191</definedName>
    <definedName name="_xlnm._FilterDatabase" localSheetId="9" hidden="1">STOCK!$A$1:$N$747</definedName>
  </definedNames>
  <calcPr calcId="191028"/>
  <pivotCaches>
    <pivotCache cacheId="1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14" i="11" l="1"/>
  <c r="C657" i="3"/>
  <c r="T623" i="11" l="1"/>
  <c r="T615" i="11"/>
  <c r="T783" i="11"/>
  <c r="T553" i="11"/>
  <c r="T708" i="11"/>
  <c r="T697" i="11"/>
  <c r="T694" i="11"/>
  <c r="T692" i="11"/>
  <c r="T691" i="11"/>
  <c r="T688" i="11"/>
  <c r="T686" i="11"/>
  <c r="T684" i="11"/>
  <c r="T671" i="11"/>
  <c r="T670" i="11"/>
  <c r="T622" i="11"/>
  <c r="T621" i="11"/>
  <c r="T620" i="11"/>
  <c r="T616" i="11"/>
  <c r="T614" i="11"/>
  <c r="T604" i="11"/>
  <c r="T600" i="11"/>
  <c r="T569" i="11"/>
  <c r="T561" i="11"/>
  <c r="T560" i="11"/>
  <c r="T555" i="11"/>
  <c r="T457" i="11"/>
  <c r="T603" i="11"/>
  <c r="T625" i="11"/>
  <c r="T709" i="11"/>
  <c r="T606" i="11"/>
  <c r="T422" i="11"/>
  <c r="T575" i="11"/>
  <c r="T564" i="11"/>
  <c r="T685" i="11"/>
  <c r="T554" i="11"/>
  <c r="T504" i="11"/>
  <c r="T568" i="11"/>
  <c r="T512" i="11"/>
  <c r="T559" i="11"/>
  <c r="T302" i="11"/>
  <c r="T611" i="11"/>
  <c r="T609" i="11"/>
  <c r="T596" i="11"/>
  <c r="T724" i="11"/>
  <c r="T245" i="11"/>
  <c r="T591" i="11"/>
  <c r="T643" i="11"/>
  <c r="T636" i="11"/>
  <c r="T432" i="11"/>
  <c r="T454" i="11"/>
  <c r="T592" i="11"/>
  <c r="T750" i="11"/>
  <c r="T322" i="11"/>
  <c r="T631" i="11"/>
  <c r="T590" i="11"/>
  <c r="T657" i="11"/>
  <c r="T650" i="11"/>
  <c r="T484" i="11"/>
  <c r="T582" i="11"/>
  <c r="T584" i="11"/>
  <c r="T729" i="11"/>
  <c r="T440" i="11"/>
  <c r="T583" i="11"/>
  <c r="T661" i="11"/>
  <c r="T597" i="11"/>
  <c r="T598" i="11"/>
  <c r="T586" i="11"/>
  <c r="T588" i="11"/>
  <c r="T664" i="11"/>
  <c r="T711" i="11"/>
  <c r="T716" i="11"/>
  <c r="T581" i="11"/>
  <c r="T441" i="11"/>
  <c r="T656" i="11"/>
  <c r="T660" i="11"/>
  <c r="T343" i="11"/>
  <c r="T421" i="11"/>
  <c r="T274" i="11"/>
  <c r="T556" i="11"/>
  <c r="T300" i="11"/>
  <c r="T667" i="11"/>
  <c r="T419" i="11"/>
  <c r="T446" i="11"/>
  <c r="T610" i="11"/>
  <c r="T320" i="11"/>
  <c r="T468" i="11"/>
  <c r="T465" i="11"/>
  <c r="T675" i="11"/>
  <c r="T406" i="11"/>
  <c r="T412" i="11"/>
  <c r="T759" i="11"/>
  <c r="T663" i="11"/>
  <c r="T430" i="11"/>
  <c r="T420" i="11"/>
  <c r="T410" i="11"/>
  <c r="T383" i="11"/>
  <c r="T371" i="11"/>
  <c r="T360" i="11"/>
  <c r="T353" i="11"/>
  <c r="T338" i="11"/>
  <c r="T334" i="11"/>
  <c r="T324" i="11"/>
  <c r="T303" i="11"/>
  <c r="T267" i="11"/>
  <c r="T578" i="11"/>
  <c r="T443" i="11"/>
  <c r="T719" i="11"/>
  <c r="T718" i="11"/>
  <c r="T717" i="11"/>
  <c r="T713" i="11"/>
  <c r="T710" i="11"/>
  <c r="T707" i="11"/>
  <c r="T705" i="11"/>
  <c r="T703" i="11"/>
  <c r="T702" i="11"/>
  <c r="T696" i="11"/>
  <c r="T693" i="11"/>
  <c r="T681" i="11"/>
  <c r="T679" i="11"/>
  <c r="T678" i="11"/>
  <c r="T677" i="11"/>
  <c r="T669" i="11"/>
  <c r="T668" i="11"/>
  <c r="T666" i="11"/>
  <c r="T665" i="11"/>
  <c r="T540" i="11"/>
  <c r="T517" i="11"/>
  <c r="T516" i="11"/>
  <c r="T509" i="11"/>
  <c r="T505" i="11"/>
  <c r="T489" i="11"/>
  <c r="T486" i="11"/>
  <c r="T474" i="11"/>
  <c r="T470" i="11"/>
  <c r="T469" i="11"/>
  <c r="T467" i="11"/>
  <c r="T447" i="11"/>
  <c r="T438" i="11"/>
  <c r="T436" i="11"/>
  <c r="T428" i="11"/>
  <c r="T400" i="11"/>
  <c r="T374" i="11"/>
  <c r="T359" i="11"/>
  <c r="T355" i="11"/>
  <c r="T328" i="11"/>
  <c r="T137" i="11"/>
  <c r="T723" i="11"/>
  <c r="T695" i="11"/>
  <c r="T306" i="11"/>
  <c r="T335" i="11"/>
  <c r="T659" i="11"/>
  <c r="T658" i="11"/>
  <c r="T653" i="11"/>
  <c r="T646" i="11"/>
  <c r="T577" i="11"/>
  <c r="T523" i="11"/>
  <c r="T522" i="11"/>
  <c r="T514" i="11"/>
  <c r="T513" i="11"/>
  <c r="T510" i="11"/>
  <c r="T506" i="11"/>
  <c r="T503" i="11"/>
  <c r="T502" i="11"/>
  <c r="T499" i="11"/>
  <c r="T497" i="11"/>
  <c r="T496" i="11"/>
  <c r="T495" i="11"/>
  <c r="T491" i="11"/>
  <c r="T485" i="11"/>
  <c r="T483" i="11"/>
  <c r="T482" i="11"/>
  <c r="T476" i="11"/>
  <c r="T475" i="11"/>
  <c r="T459" i="11"/>
  <c r="T445" i="11"/>
  <c r="T439" i="11"/>
  <c r="T437" i="11"/>
  <c r="T434" i="11"/>
  <c r="T433" i="11"/>
  <c r="T423" i="11"/>
  <c r="T415" i="11"/>
  <c r="T405" i="11"/>
  <c r="T404" i="11"/>
  <c r="T403" i="11"/>
  <c r="T401" i="11"/>
  <c r="T396" i="11"/>
  <c r="T395" i="11"/>
  <c r="T385" i="11"/>
  <c r="T363" i="11"/>
  <c r="T356" i="11"/>
  <c r="T351" i="11"/>
  <c r="T342" i="11"/>
  <c r="T337" i="11"/>
  <c r="T336" i="11"/>
  <c r="T332" i="11"/>
  <c r="T289" i="11"/>
  <c r="T286" i="11"/>
  <c r="T272" i="11"/>
  <c r="T255" i="11"/>
  <c r="T253" i="11"/>
  <c r="T252" i="11"/>
  <c r="T248" i="11"/>
  <c r="T242" i="11"/>
  <c r="T239" i="11"/>
  <c r="T217" i="11"/>
  <c r="T216" i="11"/>
  <c r="T215" i="11"/>
  <c r="T131" i="11"/>
  <c r="Q268" i="11"/>
  <c r="T315" i="11"/>
  <c r="T521" i="11"/>
  <c r="T490" i="11"/>
  <c r="T209" i="11"/>
  <c r="T551" i="11"/>
  <c r="T535" i="11"/>
  <c r="T533" i="11"/>
  <c r="T530" i="11"/>
  <c r="T529" i="11"/>
  <c r="T528" i="11"/>
  <c r="T525" i="11"/>
  <c r="T520" i="11"/>
  <c r="T519" i="11"/>
  <c r="T500" i="11"/>
  <c r="T492" i="11"/>
  <c r="T471" i="11"/>
  <c r="T466" i="11"/>
  <c r="T429" i="11"/>
  <c r="T424" i="11"/>
  <c r="T384" i="11"/>
  <c r="T372" i="11"/>
  <c r="T345" i="11"/>
  <c r="T339" i="11"/>
  <c r="T333" i="11"/>
  <c r="T329" i="11"/>
  <c r="T287" i="11"/>
  <c r="T264" i="11"/>
  <c r="T222" i="11"/>
  <c r="T218" i="11"/>
  <c r="T143" i="11"/>
  <c r="T133" i="11"/>
  <c r="T280" i="11"/>
  <c r="T244" i="11"/>
  <c r="T243" i="11"/>
  <c r="T507" i="11"/>
  <c r="T444" i="11"/>
  <c r="T381" i="11"/>
  <c r="T251" i="11"/>
  <c r="T295" i="11"/>
  <c r="T481" i="11"/>
  <c r="T262" i="11"/>
  <c r="T416" i="11"/>
  <c r="T241" i="11"/>
  <c r="T480" i="11"/>
  <c r="T473" i="11"/>
  <c r="T547" i="11"/>
  <c r="T380" i="11"/>
  <c r="T126" i="11"/>
  <c r="T118" i="11"/>
  <c r="T493" i="11"/>
  <c r="T531" i="11"/>
  <c r="T450" i="11"/>
  <c r="T431" i="11"/>
  <c r="T418" i="11"/>
  <c r="T409" i="11"/>
  <c r="T408" i="11"/>
  <c r="T407" i="11"/>
  <c r="T402" i="11"/>
  <c r="T392" i="11"/>
  <c r="T377" i="11"/>
  <c r="T358" i="11"/>
  <c r="T330" i="11"/>
  <c r="T312" i="11"/>
  <c r="T298" i="11"/>
  <c r="T266" i="11"/>
  <c r="T258" i="11"/>
  <c r="T259" i="11"/>
  <c r="T260" i="11"/>
  <c r="T281" i="11"/>
  <c r="T327" i="11"/>
  <c r="T532" i="11"/>
  <c r="T543" i="11"/>
  <c r="T311" i="11"/>
  <c r="T542" i="11"/>
  <c r="T340" i="11"/>
  <c r="T379" i="11"/>
  <c r="T376" i="11"/>
  <c r="T388" i="11"/>
  <c r="T387" i="11"/>
  <c r="T375" i="11"/>
  <c r="T494" i="11"/>
  <c r="T498" i="11"/>
  <c r="T453" i="11"/>
  <c r="T451" i="11"/>
  <c r="T277" i="11"/>
  <c r="T373" i="11"/>
  <c r="T369" i="11"/>
  <c r="T390" i="11"/>
  <c r="T346" i="11"/>
  <c r="T357" i="11"/>
  <c r="T254" i="11"/>
  <c r="T270" i="11"/>
  <c r="T331" i="11"/>
  <c r="T326" i="11"/>
  <c r="T317" i="11"/>
  <c r="T456" i="11"/>
  <c r="T461" i="11"/>
  <c r="T460" i="11"/>
  <c r="T414" i="11"/>
  <c r="T366" i="11"/>
  <c r="T362" i="11"/>
  <c r="T313" i="11"/>
  <c r="T455" i="11"/>
  <c r="T364" i="11"/>
  <c r="T347" i="11"/>
  <c r="T310" i="11"/>
  <c r="T309" i="11"/>
  <c r="T301" i="11"/>
  <c r="T299" i="11"/>
  <c r="T297" i="11"/>
  <c r="T296" i="11"/>
  <c r="T293" i="11"/>
  <c r="T292" i="11"/>
  <c r="T288" i="11"/>
  <c r="T285" i="11"/>
  <c r="T283" i="11"/>
  <c r="T276" i="11"/>
  <c r="T282" i="11"/>
  <c r="T236" i="11"/>
  <c r="T271" i="11"/>
  <c r="T261" i="11"/>
  <c r="T257" i="11"/>
  <c r="T247" i="11"/>
  <c r="T238" i="11"/>
  <c r="T233" i="11"/>
  <c r="T152" i="11"/>
  <c r="T224" i="11"/>
  <c r="T319" i="11"/>
  <c r="T294" i="11"/>
  <c r="T318" i="11"/>
  <c r="T290" i="11"/>
  <c r="T442" i="11"/>
  <c r="T256" i="11"/>
  <c r="T397" i="11"/>
  <c r="T417" i="11"/>
  <c r="T462" i="11"/>
  <c r="T386" i="11"/>
  <c r="T275" i="11"/>
  <c r="T278" i="11"/>
  <c r="T265" i="11"/>
  <c r="T268" i="11"/>
  <c r="T308" i="11"/>
  <c r="T246" i="11"/>
  <c r="T191" i="11"/>
  <c r="T250" i="11"/>
  <c r="T208" i="11"/>
  <c r="T240" i="11"/>
  <c r="T237" i="11"/>
  <c r="T193" i="11"/>
  <c r="T212" i="11"/>
  <c r="T225" i="11"/>
  <c r="T213" i="11"/>
  <c r="T24" i="11" l="1"/>
  <c r="T3" i="11"/>
  <c r="T43" i="11"/>
  <c r="T210" i="11"/>
  <c r="T221" i="11"/>
  <c r="T232" i="11"/>
  <c r="T203" i="11"/>
  <c r="T127" i="11"/>
  <c r="T179" i="11"/>
  <c r="T146" i="11"/>
  <c r="T192" i="11"/>
  <c r="T197" i="11"/>
  <c r="T201" i="11"/>
  <c r="T205" i="11"/>
  <c r="T204" i="11"/>
  <c r="T202" i="11"/>
  <c r="T200" i="11"/>
  <c r="T199" i="11"/>
  <c r="T198" i="11"/>
  <c r="T195" i="11"/>
  <c r="T194" i="11"/>
  <c r="T183" i="11"/>
  <c r="T211" i="11"/>
  <c r="T227" i="11"/>
  <c r="T207" i="11"/>
  <c r="T206" i="11"/>
  <c r="T132" i="11"/>
  <c r="T220" i="11"/>
  <c r="T214" i="11"/>
  <c r="T219" i="11"/>
  <c r="T228" i="11"/>
  <c r="T226" i="11"/>
  <c r="T234" i="11"/>
  <c r="T231" i="11"/>
  <c r="T235" i="11"/>
  <c r="T229" i="11"/>
  <c r="T190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20" i="11"/>
  <c r="T21" i="11"/>
  <c r="T22" i="11"/>
  <c r="T23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1" i="11"/>
  <c r="T42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9" i="11"/>
  <c r="T120" i="11"/>
  <c r="T121" i="11"/>
  <c r="T122" i="11"/>
  <c r="T123" i="11"/>
  <c r="T124" i="11"/>
  <c r="T125" i="11"/>
  <c r="T128" i="11"/>
  <c r="T129" i="11"/>
  <c r="T130" i="11"/>
  <c r="T134" i="11"/>
  <c r="T135" i="11"/>
  <c r="T138" i="11"/>
  <c r="T139" i="11"/>
  <c r="T140" i="11"/>
  <c r="T141" i="11"/>
  <c r="T142" i="11"/>
  <c r="T144" i="11"/>
  <c r="T145" i="11"/>
  <c r="T147" i="11"/>
  <c r="T148" i="11"/>
  <c r="T149" i="11"/>
  <c r="T150" i="11"/>
  <c r="T151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7" i="11"/>
  <c r="T168" i="11"/>
  <c r="T169" i="11"/>
  <c r="T170" i="11"/>
  <c r="T171" i="11"/>
  <c r="T172" i="11"/>
  <c r="T173" i="11"/>
  <c r="T174" i="11"/>
  <c r="T175" i="11"/>
  <c r="T176" i="11"/>
  <c r="T178" i="11"/>
  <c r="T180" i="11"/>
  <c r="T181" i="11"/>
  <c r="T182" i="11"/>
  <c r="T184" i="11"/>
  <c r="T185" i="11"/>
  <c r="T186" i="11"/>
  <c r="T187" i="11"/>
  <c r="T188" i="11"/>
  <c r="T189" i="11"/>
  <c r="T6" i="11"/>
  <c r="S40" i="11"/>
  <c r="T40" i="11" s="1"/>
  <c r="S19" i="11"/>
  <c r="T19" i="11" s="1"/>
  <c r="T5" i="11"/>
  <c r="T4" i="11"/>
  <c r="T31" i="1"/>
  <c r="T148" i="1"/>
  <c r="T136" i="1"/>
  <c r="T131" i="1"/>
  <c r="T129" i="1"/>
  <c r="T128" i="1"/>
  <c r="T189" i="1"/>
  <c r="T188" i="1"/>
  <c r="T57" i="1" l="1"/>
  <c r="T89" i="1"/>
  <c r="T88" i="1"/>
  <c r="T84" i="1"/>
  <c r="T69" i="1"/>
  <c r="T59" i="1"/>
  <c r="T49" i="1" l="1"/>
  <c r="T82" i="1"/>
  <c r="T44" i="1"/>
  <c r="T50" i="1"/>
  <c r="T46" i="1"/>
  <c r="T45" i="1"/>
  <c r="T43" i="1"/>
  <c r="T48" i="1"/>
  <c r="T52" i="1"/>
  <c r="T29" i="1"/>
  <c r="T30" i="1"/>
  <c r="T32" i="1"/>
  <c r="T33" i="1"/>
  <c r="T34" i="1"/>
  <c r="T35" i="1"/>
  <c r="T37" i="1"/>
  <c r="T38" i="1"/>
  <c r="T39" i="1"/>
  <c r="T41" i="1"/>
  <c r="T42" i="1"/>
  <c r="T28" i="1"/>
  <c r="T24" i="1"/>
  <c r="T25" i="1"/>
  <c r="T26" i="1"/>
  <c r="T27" i="1"/>
  <c r="T23" i="1"/>
  <c r="T21" i="1"/>
  <c r="T22" i="1"/>
  <c r="T18" i="1"/>
  <c r="T20" i="1"/>
  <c r="T13" i="1"/>
  <c r="T14" i="1"/>
  <c r="T15" i="1"/>
  <c r="T16" i="1"/>
  <c r="T17" i="1"/>
  <c r="T12" i="1"/>
  <c r="T7" i="1"/>
  <c r="T8" i="1"/>
  <c r="T10" i="1"/>
  <c r="T11" i="1"/>
  <c r="T4" i="1"/>
  <c r="T5" i="1"/>
  <c r="T6" i="1"/>
  <c r="T3" i="1"/>
</calcChain>
</file>

<file path=xl/sharedStrings.xml><?xml version="1.0" encoding="utf-8"?>
<sst xmlns="http://schemas.openxmlformats.org/spreadsheetml/2006/main" count="21018" uniqueCount="4015">
  <si>
    <t>Ubicacion</t>
  </si>
  <si>
    <t>Contacto</t>
  </si>
  <si>
    <t>Telefono</t>
  </si>
  <si>
    <t>Email</t>
  </si>
  <si>
    <t>Direccion</t>
  </si>
  <si>
    <t>Fecha de entrada</t>
  </si>
  <si>
    <t>Caso</t>
  </si>
  <si>
    <t>Etiqueta</t>
  </si>
  <si>
    <t>Número de serie</t>
  </si>
  <si>
    <t>Modelo</t>
  </si>
  <si>
    <t>Garantía</t>
  </si>
  <si>
    <t>DIAGNOSTICO DE CAIXA</t>
  </si>
  <si>
    <t>DIAGNOSTICO DE INFOSER</t>
  </si>
  <si>
    <t>ESTADO</t>
  </si>
  <si>
    <t>CANTIDAD</t>
  </si>
  <si>
    <t>OBSERVACION</t>
  </si>
  <si>
    <t>PIEZAS CAMBIADAS</t>
  </si>
  <si>
    <t xml:space="preserve">Mantenimiento /limpieza interior y exterior / embalaje </t>
  </si>
  <si>
    <t>Precio de piezas</t>
  </si>
  <si>
    <t>Precio final / sin iva</t>
  </si>
  <si>
    <t>Fecha Envió a cliente</t>
  </si>
  <si>
    <t xml:space="preserve">Equipos sin reparar / sin garantía </t>
  </si>
  <si>
    <t>Observaciones</t>
  </si>
  <si>
    <t>(SI/NO)</t>
  </si>
  <si>
    <t>(Sin IVA)</t>
  </si>
  <si>
    <t>Barcelona</t>
  </si>
  <si>
    <t>Cristina Cano Gomez</t>
  </si>
  <si>
    <r>
      <t>682687160</t>
    </r>
    <r>
      <rPr>
        <sz val="7.5"/>
        <color rgb="FF1F497D"/>
        <rFont val="Verdana"/>
        <family val="2"/>
      </rPr>
      <t> </t>
    </r>
  </si>
  <si>
    <t>cristina.canogomez.ext@telefonica.com  </t>
  </si>
  <si>
    <t>Av. Diagonal, 621, zona intermedia, pl. -1. 08028 – Barcelona</t>
  </si>
  <si>
    <t>N922778</t>
  </si>
  <si>
    <t>5CG0514H79</t>
  </si>
  <si>
    <t>PORT-HPCK-R7-845</t>
  </si>
  <si>
    <t>NO</t>
  </si>
  <si>
    <t xml:space="preserve">PLACA BASE </t>
  </si>
  <si>
    <t>PLACA BASE /BATERIA</t>
  </si>
  <si>
    <t>POR FACTURAR</t>
  </si>
  <si>
    <t>REPARADO</t>
  </si>
  <si>
    <t>PLACA BASE REPARACION /BATERIA</t>
  </si>
  <si>
    <t>Se reparo la placa base</t>
  </si>
  <si>
    <t>j-5593</t>
  </si>
  <si>
    <t>N930604</t>
  </si>
  <si>
    <t>5CG052071Z</t>
  </si>
  <si>
    <t>NO FUNCIONA EL TOUCHPAD</t>
  </si>
  <si>
    <t xml:space="preserve">TOUCHPAD </t>
  </si>
  <si>
    <t>j-5596</t>
  </si>
  <si>
    <t>N873818</t>
  </si>
  <si>
    <t>5CG1017Q7K</t>
  </si>
  <si>
    <t>SI</t>
  </si>
  <si>
    <t>NO ENCIENDE-NO FUNCIONA PANTALLA</t>
  </si>
  <si>
    <t>FLEX PANTALLA</t>
  </si>
  <si>
    <t>j-5591</t>
  </si>
  <si>
    <t>N930948</t>
  </si>
  <si>
    <t>5CG1017RG5</t>
  </si>
  <si>
    <t>FALLO DE TECLADO</t>
  </si>
  <si>
    <t>TECLADO COVER</t>
  </si>
  <si>
    <t>j-5604</t>
  </si>
  <si>
    <t>K036726</t>
  </si>
  <si>
    <t>5CG3131D0L</t>
  </si>
  <si>
    <t>PORT-HPCK-R9-845C</t>
  </si>
  <si>
    <t>Equipo reincia continuamente</t>
  </si>
  <si>
    <t>PLACA BASE GARANTÍA</t>
  </si>
  <si>
    <t>j-5595</t>
  </si>
  <si>
    <t>K010622</t>
  </si>
  <si>
    <t>5CG3131DYY</t>
  </si>
  <si>
    <t>REINICIO CONTINUO-bios ko</t>
  </si>
  <si>
    <t>BATERIA</t>
  </si>
  <si>
    <t>j-5594</t>
  </si>
  <si>
    <t>K008919</t>
  </si>
  <si>
    <t>5CG3131FWX</t>
  </si>
  <si>
    <t>NO MAQUETA CORRECTAMENTE</t>
  </si>
  <si>
    <t>DISCO DURO</t>
  </si>
  <si>
    <t>j-5599</t>
  </si>
  <si>
    <t>K008807</t>
  </si>
  <si>
    <t>5CG3131FZ7</t>
  </si>
  <si>
    <t>j-5603</t>
  </si>
  <si>
    <t>K008931</t>
  </si>
  <si>
    <t>5CG3131GP5</t>
  </si>
  <si>
    <t>j-5602</t>
  </si>
  <si>
    <t>K036963</t>
  </si>
  <si>
    <t>5CG3131GXB</t>
  </si>
  <si>
    <t>KO pantallazo azul</t>
  </si>
  <si>
    <t xml:space="preserve">EQUIPO REPARADO SIN PIEZAS </t>
  </si>
  <si>
    <t>EQUIPO REPARADO / FLESH DE VIDEO</t>
  </si>
  <si>
    <t>REPARACION DE FLESH DE VIDEO / FLESH DE TOUCHPAD</t>
  </si>
  <si>
    <t>j-5600</t>
  </si>
  <si>
    <t>K043206</t>
  </si>
  <si>
    <t>5CG3131H01</t>
  </si>
  <si>
    <t>PROBLEMAS DE DISCO</t>
  </si>
  <si>
    <t>j-5598</t>
  </si>
  <si>
    <t>K008910</t>
  </si>
  <si>
    <t>5CG3131H1N</t>
  </si>
  <si>
    <t>j-5601</t>
  </si>
  <si>
    <t>K036172</t>
  </si>
  <si>
    <t>5CG3140V14</t>
  </si>
  <si>
    <t>TAPC-HPCK-X360-435C</t>
  </si>
  <si>
    <t>REPARACION EN PLACA BASE EL FLESH DE VIDEO Y DE BATERIA</t>
  </si>
  <si>
    <t>K055936</t>
  </si>
  <si>
    <t>5CG507540J</t>
  </si>
  <si>
    <t>PORT-HPCK-R10-845D</t>
  </si>
  <si>
    <t>No detecta wifi/Red</t>
  </si>
  <si>
    <t>TARJETA WIFI</t>
  </si>
  <si>
    <t>j-5592</t>
  </si>
  <si>
    <t>N942592</t>
  </si>
  <si>
    <t>CND01718P0</t>
  </si>
  <si>
    <t>TAPC-HPCK-G4-X2BK</t>
  </si>
  <si>
    <t>NO VA CAMARA</t>
  </si>
  <si>
    <t>EQUIPO REPARADO SIN PIEZAS / FLESH DE CAMARA</t>
  </si>
  <si>
    <t>K006981</t>
  </si>
  <si>
    <t>5CG3300WKZ</t>
  </si>
  <si>
    <t>HP845R9</t>
  </si>
  <si>
    <t>Reinicios en bucle + pantallazo azul windows</t>
  </si>
  <si>
    <t>PLACA BASE GARANTIA</t>
  </si>
  <si>
    <t>N917906</t>
  </si>
  <si>
    <t>5CG0517G54</t>
  </si>
  <si>
    <t>HP845G7</t>
  </si>
  <si>
    <t>Smpc no arranca</t>
  </si>
  <si>
    <t>PLACA BASE</t>
  </si>
  <si>
    <t>NO SE HA PODIDO REPARAR LA PLACA</t>
  </si>
  <si>
    <t>PRESUEPUESTO PLACA BASE NUEVO</t>
  </si>
  <si>
    <t>presupuesto con placa nueva 750,00€, esperando respuesta del cliente</t>
  </si>
  <si>
    <t>K010655</t>
  </si>
  <si>
    <t>5CG3131F5W</t>
  </si>
  <si>
    <t>Reinicios en bucle pantallazo azul windows</t>
  </si>
  <si>
    <t>N843340</t>
  </si>
  <si>
    <t>5CG1027R57</t>
  </si>
  <si>
    <t>HP845R7</t>
  </si>
  <si>
    <t>Teclado averiado</t>
  </si>
  <si>
    <t>K038291</t>
  </si>
  <si>
    <t>5CG3300WJV</t>
  </si>
  <si>
    <t>N989014</t>
  </si>
  <si>
    <t>5CG207359Y</t>
  </si>
  <si>
    <t>HP845R8</t>
  </si>
  <si>
    <t>Reinicios en bucle +pad ko</t>
  </si>
  <si>
    <t>TOUCHPAD</t>
  </si>
  <si>
    <t>N991431</t>
  </si>
  <si>
    <t>5CG15189TC</t>
  </si>
  <si>
    <t>HP435G8</t>
  </si>
  <si>
    <t>PLACA BASE/ REPARACION</t>
  </si>
  <si>
    <t>REPARACION PLACA BASE</t>
  </si>
  <si>
    <t>N874231</t>
  </si>
  <si>
    <t>5CG0463924</t>
  </si>
  <si>
    <t>Teclado averiado </t>
  </si>
  <si>
    <t>N922385</t>
  </si>
  <si>
    <t>5CG0517G08</t>
  </si>
  <si>
    <t>Pantallazo azul</t>
  </si>
  <si>
    <t>EQUIPO REPARADO SIN PIEZAS / FLESH DE VIDEO</t>
  </si>
  <si>
    <t>k008910</t>
  </si>
  <si>
    <t xml:space="preserve">	
Pantallazo azul</t>
  </si>
  <si>
    <t>N914086</t>
  </si>
  <si>
    <t>5CG0515TSY</t>
  </si>
  <si>
    <t>POR FACTURAR/REPARADO Y PARA ENVIARLO</t>
  </si>
  <si>
    <t xml:space="preserve">EL 14/04/2025 LO HAN DEVUELTO Y SE A REPARADO LA PLACA BASE </t>
  </si>
  <si>
    <t>REPARACION DE PLACA BASE/BATERIA</t>
  </si>
  <si>
    <t>Madrid</t>
  </si>
  <si>
    <t xml:space="preserve">Carmen Rodríguez Lage </t>
  </si>
  <si>
    <t>mariacarmen.rodriguezlage.ext@telefonica.com</t>
  </si>
  <si>
    <r>
      <t>Torre Plaza Castilla</t>
    </r>
    <r>
      <rPr>
        <i/>
        <sz val="9"/>
        <color rgb="FF1F497D"/>
        <rFont val="Inherit"/>
      </rPr>
      <t> - Paseo de la Castellana, 189. Planta 13. 28046 - Madrid</t>
    </r>
  </si>
  <si>
    <t>N873580</t>
  </si>
  <si>
    <t>5CG1017RMR</t>
  </si>
  <si>
    <t>HP 845 G7</t>
  </si>
  <si>
    <t>EQUIPO SIN BATERIA FISICA</t>
  </si>
  <si>
    <t>EQUIPO REPARADO SIN PIEZAS / CONECTOR EN PLACA BASE DE BATERIA</t>
  </si>
  <si>
    <t>N922666</t>
  </si>
  <si>
    <t>5CG0515PX2</t>
  </si>
  <si>
    <t>HP845 G7</t>
  </si>
  <si>
    <t>TECLADO DETERIORADO</t>
  </si>
  <si>
    <t>COVER TECLADO FASTIDIADO</t>
  </si>
  <si>
    <t xml:space="preserve">COVER TECLADO </t>
  </si>
  <si>
    <t>PARA ENTREGAR</t>
  </si>
  <si>
    <t>K010522/K023</t>
  </si>
  <si>
    <t>5CG3131FZD</t>
  </si>
  <si>
    <t>HP845 G9</t>
  </si>
  <si>
    <t>NO ENCIENDE</t>
  </si>
  <si>
    <t xml:space="preserve">REPARADO </t>
  </si>
  <si>
    <t>N916789</t>
  </si>
  <si>
    <t>5CG0517GYN</t>
  </si>
  <si>
    <t xml:space="preserve">TECLADO DAÑADO
</t>
  </si>
  <si>
    <t>K045392</t>
  </si>
  <si>
    <t>5CG40753Q7</t>
  </si>
  <si>
    <t>HP845 G10</t>
  </si>
  <si>
    <t>TOUCHPAD FALLA</t>
  </si>
  <si>
    <t>N929884</t>
  </si>
  <si>
    <t>5CG10790CK</t>
  </si>
  <si>
    <t>HP435G7</t>
  </si>
  <si>
    <t>PLACA BASE/REPARACION</t>
  </si>
  <si>
    <t>N928626</t>
  </si>
  <si>
    <t>5CG1012Q1K</t>
  </si>
  <si>
    <t>PERDIO WINDOWS / ERROR DE WINDOWS</t>
  </si>
  <si>
    <t>ESTADO OK 24/06/2025</t>
  </si>
  <si>
    <t>N928635</t>
  </si>
  <si>
    <t>5CG1012Q32</t>
  </si>
  <si>
    <t>HP435 G7</t>
  </si>
  <si>
    <t xml:space="preserve">	SUENA EL VENTILADOR / ERROR ACTUALIZACION BIOS</t>
  </si>
  <si>
    <t>VENTILADOR</t>
  </si>
  <si>
    <t>Gran Vía de les Corts Catalanes 159, planta 1. 08014 – Barcelona</t>
  </si>
  <si>
    <t>N874237</t>
  </si>
  <si>
    <t>5CG04638DB</t>
  </si>
  <si>
    <t>TECLADO ROTO, FALTA TECLA E</t>
  </si>
  <si>
    <t>K037106</t>
  </si>
  <si>
    <t>5CG3131H0D</t>
  </si>
  <si>
    <t>HP 845 G9</t>
  </si>
  <si>
    <t>CARCASA ABIERTA POR DEBAJO</t>
  </si>
  <si>
    <t>CARCASA TRASERA</t>
  </si>
  <si>
    <t>N923634</t>
  </si>
  <si>
    <t>5CG047276V</t>
  </si>
  <si>
    <t>PUERTO USB NO FUNCIONA</t>
  </si>
  <si>
    <t>PRESUEPUESTO PLACA</t>
  </si>
  <si>
    <t>N922418</t>
  </si>
  <si>
    <t>5CG0517HPD</t>
  </si>
  <si>
    <t>RUIDO VENTILADOR</t>
  </si>
  <si>
    <t>N843348</t>
  </si>
  <si>
    <t>5CG1027R3R</t>
  </si>
  <si>
    <t>TECLADO ROTO</t>
  </si>
  <si>
    <t>N922998</t>
  </si>
  <si>
    <t>5CG1018BJ0</t>
  </si>
  <si>
    <t>HP 435 G7</t>
  </si>
  <si>
    <t>NO ENCIENDE, RUIDO VENTILADOR</t>
  </si>
  <si>
    <t>PLACA BASE /REPÀRACION/ GOMAS TAPA TRASERA</t>
  </si>
  <si>
    <t>REPARACION PLACA BASE/ GOMAS TAPA TRASERA</t>
  </si>
  <si>
    <t>N916606</t>
  </si>
  <si>
    <t>5CG0515RPY</t>
  </si>
  <si>
    <t>HP G7</t>
  </si>
  <si>
    <t>FALLA TECLADO Y PAD</t>
  </si>
  <si>
    <t>N997523</t>
  </si>
  <si>
    <t>5CG2021HHQ</t>
  </si>
  <si>
    <t>HP G8</t>
  </si>
  <si>
    <t>PANTALLA AZUL</t>
  </si>
  <si>
    <t>N874496</t>
  </si>
  <si>
    <t>5CG04637VF</t>
  </si>
  <si>
    <t>K060065</t>
  </si>
  <si>
    <t>5CG4250KJJ</t>
  </si>
  <si>
    <t>HP G9/G10</t>
  </si>
  <si>
    <t>NO CARGA</t>
  </si>
  <si>
    <t xml:space="preserve">DISCO DURO/ PANTALLA / COVER TECLADO </t>
  </si>
  <si>
    <t xml:space="preserve">06/05/2025 ,REGRESA EL EQUIPO POR DOS GOLPES DE ATRÁS DE LA PANTALLA ,EL COVER . REENVIAMOS EQUIPO 13/06/2025 </t>
  </si>
  <si>
    <t>K042676</t>
  </si>
  <si>
    <t>5CG0517J14</t>
  </si>
  <si>
    <t>NO RECONOCE BAT</t>
  </si>
  <si>
    <t>N989040</t>
  </si>
  <si>
    <t>5CG2073596</t>
  </si>
  <si>
    <t>FALLA TECLADO</t>
  </si>
  <si>
    <t>K044659</t>
  </si>
  <si>
    <t>5CG35152YG</t>
  </si>
  <si>
    <t>K026301</t>
  </si>
  <si>
    <t>5CG3023ZF1</t>
  </si>
  <si>
    <t>x360 435 G9</t>
  </si>
  <si>
    <t>NO CARGA SE APAGA</t>
  </si>
  <si>
    <t>N873527</t>
  </si>
  <si>
    <t>5CG1017P00</t>
  </si>
  <si>
    <t>ERROR BATERIA</t>
  </si>
  <si>
    <t>REPARACION DE PLACA BASE</t>
  </si>
  <si>
    <t xml:space="preserve">PLACA BASE REPARACION </t>
  </si>
  <si>
    <t>N922486</t>
  </si>
  <si>
    <t>5CG0517HY8</t>
  </si>
  <si>
    <t>N925313</t>
  </si>
  <si>
    <t>5CG115762Q</t>
  </si>
  <si>
    <t>x360 435 G8</t>
  </si>
  <si>
    <t>COVER PANTALLA</t>
  </si>
  <si>
    <t>PANTALLA COVER</t>
  </si>
  <si>
    <t>ERROR SISTEMA</t>
  </si>
  <si>
    <t xml:space="preserve">REPARACION DE PLACA BASE </t>
  </si>
  <si>
    <t>POR ENTREGAR</t>
  </si>
  <si>
    <t>POR REPARAR BRAISIRIA, POSIBLE ENTREGA LA PRIMERA SEMANA DE JULIO</t>
  </si>
  <si>
    <t>N917670</t>
  </si>
  <si>
    <t>5CG0515V6Q</t>
  </si>
  <si>
    <t>FALLA TECLADO FALTA LETRA A</t>
  </si>
  <si>
    <t>EN ESPERA DE PIEZAS</t>
  </si>
  <si>
    <t>K050752</t>
  </si>
  <si>
    <t>5CG1281PSS</t>
  </si>
  <si>
    <t>360 435 G8</t>
  </si>
  <si>
    <t>FLESH DE TOUCHPAD /FLESH DE VIDEO</t>
  </si>
  <si>
    <t>115.00€</t>
  </si>
  <si>
    <t>K036717</t>
  </si>
  <si>
    <t>5CG3131DR5</t>
  </si>
  <si>
    <t>NO ENCIENDE NO PASA DE INICIO</t>
  </si>
  <si>
    <t>DISCO DURO/COVER PANTALLA</t>
  </si>
  <si>
    <t>SE REGRESA EL EQUIPO POR DOS GOLPES EN EL COVER PANTALLA / SE SOLICITA PIEZA</t>
  </si>
  <si>
    <t>DISCO DURO /COVER PANTALLA</t>
  </si>
  <si>
    <t>N873806</t>
  </si>
  <si>
    <t>5CG1017Q19</t>
  </si>
  <si>
    <t xml:space="preserve">DISCO DURO </t>
  </si>
  <si>
    <t>120.00€</t>
  </si>
  <si>
    <t>Paseo de la Castellana, 189. Planta 13. 28046 - Madrid</t>
  </si>
  <si>
    <t>N874340</t>
  </si>
  <si>
    <t>5CG04638D1</t>
  </si>
  <si>
    <t>DETERIORO GENERAL</t>
  </si>
  <si>
    <t xml:space="preserve">REACONDICIONADO DE CHASIS TECLADO </t>
  </si>
  <si>
    <t>N874407</t>
  </si>
  <si>
    <t>5CG046385M</t>
  </si>
  <si>
    <t>FALLA TOUCHPAD</t>
  </si>
  <si>
    <t>FLESH DE IMAGEN / AJUSTE DE TOUCHPAD</t>
  </si>
  <si>
    <t>N918595</t>
  </si>
  <si>
    <t>5CG0517FMD</t>
  </si>
  <si>
    <t>PLACA MOJADA POR CAFÉ</t>
  </si>
  <si>
    <t>REPARACION DE PLACA BASE /BATERIA</t>
  </si>
  <si>
    <t>N993014</t>
  </si>
  <si>
    <t>5CG22036XC</t>
  </si>
  <si>
    <t>HP435 G8</t>
  </si>
  <si>
    <t>K043323</t>
  </si>
  <si>
    <t>5CG1027R2Z</t>
  </si>
  <si>
    <t>APAGADOS CONTINUOS</t>
  </si>
  <si>
    <t>no ha llegado</t>
  </si>
  <si>
    <t>N922538</t>
  </si>
  <si>
    <t>5CG0514HT4</t>
  </si>
  <si>
    <t xml:space="preserve">APAGADOS CONTINUOS ( no entro a nuestro almacen ) </t>
  </si>
  <si>
    <t xml:space="preserve">NO HA LLEGADO </t>
  </si>
  <si>
    <t>NO HA LLEGA A ALMACEN</t>
  </si>
  <si>
    <t>NO HA LLEGADO ESTE EQUIPO</t>
  </si>
  <si>
    <t>N925831</t>
  </si>
  <si>
    <t>5CG1012XYH</t>
  </si>
  <si>
    <t>NO ARRANCA/FALLA DISCO DURO</t>
  </si>
  <si>
    <t>K010537</t>
  </si>
  <si>
    <t>5CG3131FZP</t>
  </si>
  <si>
    <t>EQUIPO SE APAGA SOLO / GOLPE LATERAL</t>
  </si>
  <si>
    <t>POR SOLICITAR PIEZA</t>
  </si>
  <si>
    <t>K028625</t>
  </si>
  <si>
    <t>5CG3023TX1</t>
  </si>
  <si>
    <t>HP435 G9</t>
  </si>
  <si>
    <t>NO ARRANCA</t>
  </si>
  <si>
    <t>PLACA BASE/ COVER TECLADO /TAPA TRASEREA/PANTALLA COVER</t>
  </si>
  <si>
    <t>N918691</t>
  </si>
  <si>
    <t>5CG0517F3G</t>
  </si>
  <si>
    <t>FALLA BATERIA</t>
  </si>
  <si>
    <t>PANTALLA Y COVER</t>
  </si>
  <si>
    <t>N874171</t>
  </si>
  <si>
    <t>5CG046386J</t>
  </si>
  <si>
    <t>NO ARRANCA/PANTALLA MAL</t>
  </si>
  <si>
    <t>COVER PANTALLA /REPARACION DE PLACA BASE ,BRAISIRIA</t>
  </si>
  <si>
    <t>N922709</t>
  </si>
  <si>
    <t>5CG0517FC5</t>
  </si>
  <si>
    <t>REPARACION DE PLACA BASE, BRAISIRIA / DISCO DURO</t>
  </si>
  <si>
    <t>REPARACION PLACA BASE, BRAISIRIA</t>
  </si>
  <si>
    <t>N922219</t>
  </si>
  <si>
    <t>5CG0514JSF</t>
  </si>
  <si>
    <t>FALLA DE TECLADO</t>
  </si>
  <si>
    <t>N914087</t>
  </si>
  <si>
    <t>5CG0515V9D</t>
  </si>
  <si>
    <t>NO DETECTA QUE TENGA BATERIA</t>
  </si>
  <si>
    <t>N918797</t>
  </si>
  <si>
    <t>5CG0514F26</t>
  </si>
  <si>
    <t>NO FUNCIONA LA TECLA A</t>
  </si>
  <si>
    <t>REPARACION DE FLESH DE TECLADO</t>
  </si>
  <si>
    <t>K010501</t>
  </si>
  <si>
    <t>5CG3131FNJ</t>
  </si>
  <si>
    <t>HP 435 G9</t>
  </si>
  <si>
    <t>PUERTO HDMI ROTO</t>
  </si>
  <si>
    <t>SOLICITUD DE PIEZA</t>
  </si>
  <si>
    <t xml:space="preserve">TECLADO COVER </t>
  </si>
  <si>
    <t>N916611</t>
  </si>
  <si>
    <t>5CG0515RP5</t>
  </si>
  <si>
    <t>PANTALLA ROTA</t>
  </si>
  <si>
    <t>PANTALLA</t>
  </si>
  <si>
    <t>N923575</t>
  </si>
  <si>
    <t>5CG04727J1</t>
  </si>
  <si>
    <t>TECLADO Y RATON FALLAN</t>
  </si>
  <si>
    <t>ha vuelto el equipo</t>
  </si>
  <si>
    <t>BATERIA / cover teclado</t>
  </si>
  <si>
    <t>N943641</t>
  </si>
  <si>
    <t>5CG127C3DD</t>
  </si>
  <si>
    <t>NO DETECTA NINGUN MONITOR/ NO FUNCIONA EL TECLADO</t>
  </si>
  <si>
    <t>PANTALLA Y COVER /TECLADO COVER/TAPA TRASERA /REPARACIONPLACA BASE,BRAISIRIA</t>
  </si>
  <si>
    <t>N922242</t>
  </si>
  <si>
    <t>5CG0514G0T</t>
  </si>
  <si>
    <t xml:space="preserve">Pantalla azul </t>
  </si>
  <si>
    <t>PLACA BASE/REPARACION / BATERIA / COVER PANTALLA 24/06/2025</t>
  </si>
  <si>
    <t>REPARACION DE PLACA BASE Y BATERIA</t>
  </si>
  <si>
    <t>REPARACION DE PLACA BASE / BATERIA</t>
  </si>
  <si>
    <t>K068330</t>
  </si>
  <si>
    <t>5CG3131DX4</t>
  </si>
  <si>
    <t>K053429</t>
  </si>
  <si>
    <t>5CG0517HY3</t>
  </si>
  <si>
    <t>N840093</t>
  </si>
  <si>
    <t>5CG0334Z2Z</t>
  </si>
  <si>
    <t>HP 840 G6</t>
  </si>
  <si>
    <t>SONIDO VENTILADOR</t>
  </si>
  <si>
    <t>VENTILADOR / DISCO DURO</t>
  </si>
  <si>
    <t>K056027</t>
  </si>
  <si>
    <t>5CG40754MC</t>
  </si>
  <si>
    <t>HP 845 G10</t>
  </si>
  <si>
    <t>N989318</t>
  </si>
  <si>
    <t>5CG2073LFQ</t>
  </si>
  <si>
    <t>HP 845 G8</t>
  </si>
  <si>
    <t>TAPA FLOJA</t>
  </si>
  <si>
    <t>AJUSTES DE BISAGRAS Y FLESH DE VIDEO</t>
  </si>
  <si>
    <t>REPARACION DE BISAGRAS /FLESH DE VIDEO</t>
  </si>
  <si>
    <t>N997515</t>
  </si>
  <si>
    <t>5CG2021HHN</t>
  </si>
  <si>
    <t>N990551</t>
  </si>
  <si>
    <t>5CG20401WD</t>
  </si>
  <si>
    <t>TECLADO COVER /BATERIA</t>
  </si>
  <si>
    <t>K028027</t>
  </si>
  <si>
    <t>5CG3020QW0</t>
  </si>
  <si>
    <t>BATERIA KO</t>
  </si>
  <si>
    <t>4652/5356</t>
  </si>
  <si>
    <t>K041724</t>
  </si>
  <si>
    <t>5CG3522CTR</t>
  </si>
  <si>
    <t>HP 435 G10</t>
  </si>
  <si>
    <t>SE CAMBIA EL VENTILADOR PORQUE HACE MUCHO RUIDO</t>
  </si>
  <si>
    <t>Este equipo lo vovieron a enviar y vimos que el cover pantalla estaba golpeado , no pasa la garantia ya que esta con golpe PARA ENTREGAR</t>
  </si>
  <si>
    <t>N923969</t>
  </si>
  <si>
    <t>5CG04727KZ</t>
  </si>
  <si>
    <t>BARRA ESPACIADORA</t>
  </si>
  <si>
    <t>N947861</t>
  </si>
  <si>
    <t>5CG1254RBG</t>
  </si>
  <si>
    <t>TECLADO AVERIADO ( FALTAN TECLAS )</t>
  </si>
  <si>
    <t>COVER TECLADO / TAPA TRASERA</t>
  </si>
  <si>
    <t>TECLADO COVER / TAPA TRASERA</t>
  </si>
  <si>
    <t>N931017</t>
  </si>
  <si>
    <t>5CG1017RNZ</t>
  </si>
  <si>
    <t>N855983</t>
  </si>
  <si>
    <t>5CG046390X</t>
  </si>
  <si>
    <t>PANTALLAZOS AZULES CONSTANTES ( SE REINICIA SOLO )</t>
  </si>
  <si>
    <t>PIEZA POR CAMBIAR</t>
  </si>
  <si>
    <t>N924005</t>
  </si>
  <si>
    <t>5CG047279V</t>
  </si>
  <si>
    <t>REPARACION DE PLACA BASE , BRAISIRIA</t>
  </si>
  <si>
    <t>N922029</t>
  </si>
  <si>
    <t>5CG0515V15</t>
  </si>
  <si>
    <t>PANTALLASOS AZULES CONSTANTES ( SE REINICIA SOLO )</t>
  </si>
  <si>
    <t>REPARACION DE PLACA BASE, BRAISIRIA</t>
  </si>
  <si>
    <t>K048478</t>
  </si>
  <si>
    <t>5CG0517J0P</t>
  </si>
  <si>
    <t>TAPA TRASERA</t>
  </si>
  <si>
    <t>N923931</t>
  </si>
  <si>
    <t>5CG0472796</t>
  </si>
  <si>
    <t>K054617</t>
  </si>
  <si>
    <t>5CG4321Y7M</t>
  </si>
  <si>
    <t>HP845G10</t>
  </si>
  <si>
    <t>ERROR EN EL DISCO</t>
  </si>
  <si>
    <t>K048470</t>
  </si>
  <si>
    <t>5CG3021J25</t>
  </si>
  <si>
    <t>HP845G8</t>
  </si>
  <si>
    <t>N989201</t>
  </si>
  <si>
    <t>5CG2073KKJ</t>
  </si>
  <si>
    <t>N874506</t>
  </si>
  <si>
    <t>5CG047274Q</t>
  </si>
  <si>
    <t xml:space="preserve">TECLADO AVERIADO </t>
  </si>
  <si>
    <t>FLESH DE TECLADO REPARADO</t>
  </si>
  <si>
    <t>K036160</t>
  </si>
  <si>
    <t>5CG3140V19</t>
  </si>
  <si>
    <t>HP435</t>
  </si>
  <si>
    <t>COVER PANTALLA / COVER TECLADO</t>
  </si>
  <si>
    <t>4667/4024</t>
  </si>
  <si>
    <t>SE REINICIA SOLO EN BUCLE</t>
  </si>
  <si>
    <t>REPARACION DE PLACA BASE / DISCO DURO</t>
  </si>
  <si>
    <t>Este equipo se volvio a repetir por error ya que se envio 26/03/2025</t>
  </si>
  <si>
    <t>SOLUCION( BATERIA Y ACTUALIZACION DE BIOS )</t>
  </si>
  <si>
    <t>N922312</t>
  </si>
  <si>
    <t>5CG0515R81</t>
  </si>
  <si>
    <t>REPARACION DE PLACA BASE /EMBELLECEDOR DE PANTALLA</t>
  </si>
  <si>
    <t>K048475</t>
  </si>
  <si>
    <t>5CG0517HYV</t>
  </si>
  <si>
    <t>REPARADA PLACA BASE POR BRAISIRIA</t>
  </si>
  <si>
    <t>K048477</t>
  </si>
  <si>
    <t>5CG0463932</t>
  </si>
  <si>
    <t>BATERIA AVERIADA</t>
  </si>
  <si>
    <t>COVER TECLADO</t>
  </si>
  <si>
    <t>K048476</t>
  </si>
  <si>
    <t>5CG0486NNY</t>
  </si>
  <si>
    <t>TAPA TRASERA/COVER TERCLADO /PANTALLA COVER</t>
  </si>
  <si>
    <t>K636804</t>
  </si>
  <si>
    <t>5CG3131DQT</t>
  </si>
  <si>
    <t>HP845G9</t>
  </si>
  <si>
    <t>PUERTOS AVERIADAS</t>
  </si>
  <si>
    <t>K043277</t>
  </si>
  <si>
    <t>5CG1514CK5</t>
  </si>
  <si>
    <t>COVER TECLADO/COVER PANTALLA/TAPA TRASERA/REPARACION DE PLACA BASE , BRAISIRIA</t>
  </si>
  <si>
    <t>N922393</t>
  </si>
  <si>
    <t>5CG0517HGC</t>
  </si>
  <si>
    <t>TECLA ROTA</t>
  </si>
  <si>
    <t>N923936</t>
  </si>
  <si>
    <t>5CG04727CK</t>
  </si>
  <si>
    <t>BISAGRAS ROTAS</t>
  </si>
  <si>
    <t>COVER TECLADO /GOMAS</t>
  </si>
  <si>
    <t xml:space="preserve"> COVER TECLADO /GOMAS</t>
  </si>
  <si>
    <t>K053632</t>
  </si>
  <si>
    <t>5CG04637WJ</t>
  </si>
  <si>
    <t>TECLAS ROTAS</t>
  </si>
  <si>
    <t>N989285</t>
  </si>
  <si>
    <t>5CG2073L3V</t>
  </si>
  <si>
    <t>N874174</t>
  </si>
  <si>
    <t>5CG0463933</t>
  </si>
  <si>
    <t>K047817</t>
  </si>
  <si>
    <t>5CG5091T91</t>
  </si>
  <si>
    <t>HP 845 G11</t>
  </si>
  <si>
    <t>NO FUNCINCIONAN ALTAVOCES</t>
  </si>
  <si>
    <t>ALTAVOCES</t>
  </si>
  <si>
    <t>K047866</t>
  </si>
  <si>
    <t>5CG5091T4X</t>
  </si>
  <si>
    <t>TECLADO Y CAMARA</t>
  </si>
  <si>
    <t>K058424</t>
  </si>
  <si>
    <t>5CG4081R80</t>
  </si>
  <si>
    <t>PANTALLA MOJADA</t>
  </si>
  <si>
    <t xml:space="preserve"> PLACA BASE GARANTIA</t>
  </si>
  <si>
    <t>N903422</t>
  </si>
  <si>
    <t>5CG1072D6L</t>
  </si>
  <si>
    <t>PUERTOS USBC ROTO</t>
  </si>
  <si>
    <t>TECLADO COVER / REPARACION DE PLACA BASE, BRAISIRIA / PANTALLA</t>
  </si>
  <si>
    <t>POR REPARAR</t>
  </si>
  <si>
    <t>K112571</t>
  </si>
  <si>
    <t>5CG1279VWZ</t>
  </si>
  <si>
    <t>HP 435 G8</t>
  </si>
  <si>
    <t>TAPA INFERIOR ROTA, NO FUNCIONA PAD</t>
  </si>
  <si>
    <t>TECLADO COVER / TAPA TRASERA / PANTALLA</t>
  </si>
  <si>
    <t>REPARADO 15/07/2025</t>
  </si>
  <si>
    <t>N843354</t>
  </si>
  <si>
    <t>5CG1027R2X</t>
  </si>
  <si>
    <t>COVER TECLADO / PANTALLA</t>
  </si>
  <si>
    <t xml:space="preserve"> TECLADO COVER/  PANTALLA</t>
  </si>
  <si>
    <t>K112572</t>
  </si>
  <si>
    <t>5CG0517DQF</t>
  </si>
  <si>
    <t>CARCASA ROTA</t>
  </si>
  <si>
    <t xml:space="preserve"> PANTALLA</t>
  </si>
  <si>
    <t>K112570</t>
  </si>
  <si>
    <t>5CG0517GG0</t>
  </si>
  <si>
    <t>N916859</t>
  </si>
  <si>
    <t>5CG0515RPQ</t>
  </si>
  <si>
    <t>RECALENTAMIENTO SE REINICIA Y PARTE DE ATRÁS</t>
  </si>
  <si>
    <t>PANTALLA /PLACA BASE</t>
  </si>
  <si>
    <t>K050539</t>
  </si>
  <si>
    <t>5CG04637XS</t>
  </si>
  <si>
    <t xml:space="preserve">NO ACABA DE CARGAR </t>
  </si>
  <si>
    <t>N989043</t>
  </si>
  <si>
    <t>5CG2073KS1</t>
  </si>
  <si>
    <t>COVER TECLADO / MARCO DE PANTALLA /PLACA BASE</t>
  </si>
  <si>
    <t xml:space="preserve"> TECLADO COVER/ MARCO DE PANTALLA /PLACA BASE</t>
  </si>
  <si>
    <t>K006550</t>
  </si>
  <si>
    <t>5CG2412STJ</t>
  </si>
  <si>
    <t>RECALENTAMIENTO SE REINICIA Y CARCASA</t>
  </si>
  <si>
    <t>TAPA TRASERA DE LA PANTALLA CON GOLPES/PLACA BASE</t>
  </si>
  <si>
    <t>N989059</t>
  </si>
  <si>
    <t>5CG207356G</t>
  </si>
  <si>
    <t>FALLA TECLA BORRADO</t>
  </si>
  <si>
    <t>N917929</t>
  </si>
  <si>
    <t>5CG0515PXN</t>
  </si>
  <si>
    <t>FALLA TECLA E</t>
  </si>
  <si>
    <t>K043324</t>
  </si>
  <si>
    <t>5CG1027R43</t>
  </si>
  <si>
    <t>FALLA TECLA I, K</t>
  </si>
  <si>
    <t>COVER TECLADO/PANTALLA</t>
  </si>
  <si>
    <t>TECLADO COVER/PANTALLA</t>
  </si>
  <si>
    <t>N922471</t>
  </si>
  <si>
    <t>5CG0517GZH</t>
  </si>
  <si>
    <t>FALLA @,W,S,X</t>
  </si>
  <si>
    <t>N981982</t>
  </si>
  <si>
    <t>5CG2312BQ3</t>
  </si>
  <si>
    <t>PANTALLA DAÑADA</t>
  </si>
  <si>
    <t>N923633</t>
  </si>
  <si>
    <t>5CG04727LY</t>
  </si>
  <si>
    <t>PANTALLA / COVER TECLADO</t>
  </si>
  <si>
    <t>N914102</t>
  </si>
  <si>
    <t>5CG0515SS0</t>
  </si>
  <si>
    <t>CARCASA DAÑADA</t>
  </si>
  <si>
    <t>COVER TECLADO / TAPA TRASERA DE PANTALLA</t>
  </si>
  <si>
    <t>SE HA SUSTITUIDO EL COVER TECLADO ,FALTA COLOCAR EL COVER DE LA PANTALLA QUE ESTA GOLPEADO</t>
  </si>
  <si>
    <t>K045631</t>
  </si>
  <si>
    <t>5CG50615CY</t>
  </si>
  <si>
    <t>HP435G10</t>
  </si>
  <si>
    <t>NO VA TECLADO NO ESCRIBE</t>
  </si>
  <si>
    <t>GARANTIA</t>
  </si>
  <si>
    <t>PEDIR PIEZA POR GARANTÍA / COVER TECLADO</t>
  </si>
  <si>
    <t>K053694</t>
  </si>
  <si>
    <t>5CG1017Q71</t>
  </si>
  <si>
    <t>NO TIENE TECLA O</t>
  </si>
  <si>
    <t>SUSTITUCION DE COVER TECLADO</t>
  </si>
  <si>
    <t>N945103</t>
  </si>
  <si>
    <t>5CG2201THT</t>
  </si>
  <si>
    <t>ERROR BIOS Y CARCASA</t>
  </si>
  <si>
    <t>TAPA TRASERA/ COVER PANTALLA/COVER TECLADO</t>
  </si>
  <si>
    <t>SE HA COLOCADO LAS PIEZAS Y A DEJADO DE FUNCIONAR / SE VA VOLVER A REVISAR</t>
  </si>
  <si>
    <t>N930591</t>
  </si>
  <si>
    <t>5CG05206W3</t>
  </si>
  <si>
    <t>TECLADO EN PORTUGUES</t>
  </si>
  <si>
    <t>COVER TPA TRASERA DE PANTALLA / TECLADO COVER</t>
  </si>
  <si>
    <t>K040881</t>
  </si>
  <si>
    <t>5CG34444G9</t>
  </si>
  <si>
    <t xml:space="preserve"> PANTALLA </t>
  </si>
  <si>
    <t>NO PROCEDE LA GARANTÍA</t>
  </si>
  <si>
    <t>K045029</t>
  </si>
  <si>
    <t>5CG4075CQR</t>
  </si>
  <si>
    <t>K104306</t>
  </si>
  <si>
    <t>5CG5091TDN</t>
  </si>
  <si>
    <t>HP845G11</t>
  </si>
  <si>
    <t>SE CAMBIA COVER PANTALLA POR GARANTIA</t>
  </si>
  <si>
    <t>K045230</t>
  </si>
  <si>
    <t>5CG4075427</t>
  </si>
  <si>
    <t>TAPA GOLPEADA</t>
  </si>
  <si>
    <t>K036848</t>
  </si>
  <si>
    <t>5CG3131F7J</t>
  </si>
  <si>
    <t>SE CAMBIA COVER TECLADO POR GARANTIA</t>
  </si>
  <si>
    <t>K008834</t>
  </si>
  <si>
    <t>5CG3131HDF</t>
  </si>
  <si>
    <t>FALLA TECLA BORRADO Y ENTER Y ALTAVOCES</t>
  </si>
  <si>
    <t>N843121</t>
  </si>
  <si>
    <t>5CG1027R39</t>
  </si>
  <si>
    <t>FALLA TECLA S</t>
  </si>
  <si>
    <t>TECLADO COVER/ GOMAS TAPA TRASERA</t>
  </si>
  <si>
    <t>5CG4526FST</t>
  </si>
  <si>
    <t>Torre Plaza Castilla - Paseo de la Castellana, 189. Planta 13. 28046 - Madrid</t>
  </si>
  <si>
    <t>N917016</t>
  </si>
  <si>
    <t>5CG0517HNR</t>
  </si>
  <si>
    <t>APAGADOS CONTINUOS/cover roto/puertos fallan</t>
  </si>
  <si>
    <t>COVER TECLADO / COVER PANTALLA / TAPA TRASERA</t>
  </si>
  <si>
    <t>REPARADO 22/07/2025</t>
  </si>
  <si>
    <t xml:space="preserve"> TECLADO COVER / TAPA TRASERA / PANTALLA</t>
  </si>
  <si>
    <t>N925087</t>
  </si>
  <si>
    <t>5CG1151S5G</t>
  </si>
  <si>
    <t>NO FUNCIONA EL MICROFONO</t>
  </si>
  <si>
    <t>N873599</t>
  </si>
  <si>
    <t>5CG1017RNS</t>
  </si>
  <si>
    <t>COVER TECLADO REPARADO 21/07/2025</t>
  </si>
  <si>
    <t>N931000</t>
  </si>
  <si>
    <t>5CG1017RQH</t>
  </si>
  <si>
    <t xml:space="preserve"> TECLADO COVER / TAPA TRASERA</t>
  </si>
  <si>
    <t>N917839</t>
  </si>
  <si>
    <t>5CG0517FY9</t>
  </si>
  <si>
    <t>N923604</t>
  </si>
  <si>
    <t>5CG04727GK</t>
  </si>
  <si>
    <t>TECLADO /APAGADOS</t>
  </si>
  <si>
    <t>COVER TECLADO REPARADO 22/07/2025</t>
  </si>
  <si>
    <t>N923841</t>
  </si>
  <si>
    <t>5CG04727HR</t>
  </si>
  <si>
    <t>FALLA PUERTOS USB C</t>
  </si>
  <si>
    <t>N923589</t>
  </si>
  <si>
    <t>5CG047279L</t>
  </si>
  <si>
    <t>EQUIPO FALTA TECLA Y GOMA PARTE TRASERA DESPEGADA</t>
  </si>
  <si>
    <t>COVER TECLADO / GOMAS DE TAPA TRASERA</t>
  </si>
  <si>
    <t xml:space="preserve"> TECLADO COVER / GOMAS DE TAPA TRASERA</t>
  </si>
  <si>
    <t xml:space="preserve"> N929898 </t>
  </si>
  <si>
    <t>5CG10790G9</t>
  </si>
  <si>
    <t>FALLO BATERIA</t>
  </si>
  <si>
    <t>BATERIA / GOMAS DE TAPA TRASERA</t>
  </si>
  <si>
    <t>BATERIA /GOMAS TAPA TRASERA</t>
  </si>
  <si>
    <t>N925975</t>
  </si>
  <si>
    <t>5CG1011DL7</t>
  </si>
  <si>
    <t>FALLO VENTILADOR</t>
  </si>
  <si>
    <t>VENTILADOR/ REPARACION DE PLACA BASE</t>
  </si>
  <si>
    <t>N919017</t>
  </si>
  <si>
    <t>5CG0514GCJ</t>
  </si>
  <si>
    <t>ERROR DISCO DURO</t>
  </si>
  <si>
    <t>DISCO DURO / COVER TECLADO</t>
  </si>
  <si>
    <t xml:space="preserve">5CG0515RP9 </t>
  </si>
  <si>
    <t>K059724</t>
  </si>
  <si>
    <t>5CG424375H</t>
  </si>
  <si>
    <t>NO ENCIENDE, VENTILADOR SONIDO</t>
  </si>
  <si>
    <t xml:space="preserve">POR REPARAR                                    </t>
  </si>
  <si>
    <t>K112541</t>
  </si>
  <si>
    <t>CARCASA MAL ESTADO</t>
  </si>
  <si>
    <t>TECLADO COVER/COVER PANTALLA /TAPA TRASERA</t>
  </si>
  <si>
    <t>595.50€</t>
  </si>
  <si>
    <t>K104321</t>
  </si>
  <si>
    <t>5CG5091T6R</t>
  </si>
  <si>
    <t>CAMARA NO FUNCIONA</t>
  </si>
  <si>
    <t>FLEX CAMARA</t>
  </si>
  <si>
    <t>FLEX DE CAMARA CAMBIADO 28/07/2025</t>
  </si>
  <si>
    <t>FLEX DE CAMARA</t>
  </si>
  <si>
    <t>N917601</t>
  </si>
  <si>
    <t>5CG0514H7Q</t>
  </si>
  <si>
    <t>TECLADO ROTO/CARCASA MAL ESTADO</t>
  </si>
  <si>
    <t>COVER TECLADO CAMBIADO 26/08/2025</t>
  </si>
  <si>
    <t xml:space="preserve"> TECLADO COVER</t>
  </si>
  <si>
    <t>N944701</t>
  </si>
  <si>
    <t>5CG1279X00</t>
  </si>
  <si>
    <t>CARCASA MAL ESTADO, NO TIENE LIGAS INFERIORES</t>
  </si>
  <si>
    <t xml:space="preserve">TAPA TRASERA </t>
  </si>
  <si>
    <t>K043207</t>
  </si>
  <si>
    <t>5CG3131DY7</t>
  </si>
  <si>
    <t>MARCO PANTALLA ROTO</t>
  </si>
  <si>
    <t xml:space="preserve">PEGADO DE MARCO DE PANTALLA </t>
  </si>
  <si>
    <t>MARCO DE PANTALLA</t>
  </si>
  <si>
    <t>K056971</t>
  </si>
  <si>
    <t>5CG4194KGX</t>
  </si>
  <si>
    <t>NO ENCIENDE, SE APAGA</t>
  </si>
  <si>
    <t>K050593</t>
  </si>
  <si>
    <t>5CG1080FG7</t>
  </si>
  <si>
    <t>CAMARA FRONTAL NO FUNCIONA</t>
  </si>
  <si>
    <t>ESTA AVERIA SE PRESENTA EN LA CAMARA Y LA PANTALLA , POR ESO SE REEMPLAZA PANTALLA COMPLETA</t>
  </si>
  <si>
    <t>N917946</t>
  </si>
  <si>
    <t>5CG0517GY5</t>
  </si>
  <si>
    <t>TECLADO ROTO/NO ENCIENDE</t>
  </si>
  <si>
    <t>TECLADO COVER / PLACA BASE</t>
  </si>
  <si>
    <t>NO ENCIENDE SE ENVIA A BRAISIRIA</t>
  </si>
  <si>
    <t>N916593</t>
  </si>
  <si>
    <t>5CG0515R8W</t>
  </si>
  <si>
    <t>EQUIPO MOJADO REVISAR</t>
  </si>
  <si>
    <t xml:space="preserve">BRAISIRIA REPARA LA PLACA BASE </t>
  </si>
  <si>
    <t>N935009</t>
  </si>
  <si>
    <t>5CG12543YQ</t>
  </si>
  <si>
    <t>NO ARRANCA CARCASA MAL ESTADO</t>
  </si>
  <si>
    <t>PLACA BASE /TECLADO COVER</t>
  </si>
  <si>
    <t>SE VA REPARAR LA PLACA BASE LUEGO COLOCAR EL TECLADO COVER</t>
  </si>
  <si>
    <t>N874320</t>
  </si>
  <si>
    <t>5CG04637WQ</t>
  </si>
  <si>
    <t>PUERTO USB KO</t>
  </si>
  <si>
    <t>REPARADO/ SE SUTITUYE EL USB EN LA PLACA BASE</t>
  </si>
  <si>
    <t>K050525</t>
  </si>
  <si>
    <t>5CG0517GSX</t>
  </si>
  <si>
    <t>REINICIOS, VENTILADOR FALLA</t>
  </si>
  <si>
    <t>N922482</t>
  </si>
  <si>
    <t>5CG0517J0S</t>
  </si>
  <si>
    <t>NO SE ENCIENDE</t>
  </si>
  <si>
    <t>K110549</t>
  </si>
  <si>
    <t>K010737</t>
  </si>
  <si>
    <t>5CG3131FTB</t>
  </si>
  <si>
    <t>ERROR DRIVERS, SE CALIENTA MUCHO EL EQUIPO</t>
  </si>
  <si>
    <t>K104124</t>
  </si>
  <si>
    <t>5CG5091T8M</t>
  </si>
  <si>
    <t>SE REPARA PANTALLA DIA 02/09/2025</t>
  </si>
  <si>
    <t>K057633</t>
  </si>
  <si>
    <t>5CG4181BYV</t>
  </si>
  <si>
    <t>K010551</t>
  </si>
  <si>
    <t>5CG3131FKM</t>
  </si>
  <si>
    <t xml:space="preserve">SUSTITUCION DE PANTALLA </t>
  </si>
  <si>
    <t>N874428</t>
  </si>
  <si>
    <t>5CG04637VL</t>
  </si>
  <si>
    <t>BOLA DE RATÓN ROTA</t>
  </si>
  <si>
    <t>N989112</t>
  </si>
  <si>
    <t>5CG2073KLY</t>
  </si>
  <si>
    <t>SE LE HA CAIDO AGUA AL TECLADO</t>
  </si>
  <si>
    <t>EL EQUIPO ESTA EN CORTO POR HUMEDAD</t>
  </si>
  <si>
    <t>N989133</t>
  </si>
  <si>
    <t>5CG2073LPR</t>
  </si>
  <si>
    <t>TECLADO COVER /PANTALLA</t>
  </si>
  <si>
    <t>N922473</t>
  </si>
  <si>
    <t>5CG0517DQ9</t>
  </si>
  <si>
    <t xml:space="preserve">PLACA BASE / TOUCHPAD </t>
  </si>
  <si>
    <t xml:space="preserve">LA PLACA BASE ESTA DAÑADA SALE MENSAJE / TOUCHPAD </t>
  </si>
  <si>
    <t>N930882</t>
  </si>
  <si>
    <t>5CG1017RQR</t>
  </si>
  <si>
    <t>FALTAN TECLAS</t>
  </si>
  <si>
    <t>N874225</t>
  </si>
  <si>
    <t>5CG04638CX</t>
  </si>
  <si>
    <t>PLACA BASE / DISCO DURO</t>
  </si>
  <si>
    <t>K028596</t>
  </si>
  <si>
    <t>5CG3023TXB</t>
  </si>
  <si>
    <t>HP435C</t>
  </si>
  <si>
    <t>REPARADO /PLACA BASE CONECOTR USB C</t>
  </si>
  <si>
    <t>N874236</t>
  </si>
  <si>
    <t>5CG046390N</t>
  </si>
  <si>
    <t>VISAGRA ESTROPEADA PANTALLA</t>
  </si>
  <si>
    <t>5CG3522CTR -</t>
  </si>
  <si>
    <t>5CG0515PX2 -</t>
  </si>
  <si>
    <t xml:space="preserve"> POR ENTREGAR</t>
  </si>
  <si>
    <t>FALTA COVER PANTALLA 26/06/2025</t>
  </si>
  <si>
    <t xml:space="preserve"> COVER PANTALLA</t>
  </si>
  <si>
    <t xml:space="preserve">Este equipo lo vovieron a enviar y vimos que el cover pantalla estaba golpeado </t>
  </si>
  <si>
    <t>5CG3131FZD -</t>
  </si>
  <si>
    <t xml:space="preserve">TAPA TRASERA / TECLADO COVER </t>
  </si>
  <si>
    <t>5CG1012Q1K -</t>
  </si>
  <si>
    <t xml:space="preserve"> COVER PANTALLA </t>
  </si>
  <si>
    <t xml:space="preserve"> PANTALLA 26/06/2025</t>
  </si>
  <si>
    <t>(Varios elementos)</t>
  </si>
  <si>
    <t>Cuenta de Nº DE SERIE</t>
  </si>
  <si>
    <t>Etiquetas de columna</t>
  </si>
  <si>
    <t>Etiquetas de fila</t>
  </si>
  <si>
    <t>HP 435</t>
  </si>
  <si>
    <t>ZBOOK FURY 15,6 G8</t>
  </si>
  <si>
    <t>(en blanco)</t>
  </si>
  <si>
    <t>HP ZBOOK FURY</t>
  </si>
  <si>
    <t>HP ZBOOK G10</t>
  </si>
  <si>
    <t>HP ZBOOK G8</t>
  </si>
  <si>
    <t>HP ZBOOK  G8</t>
  </si>
  <si>
    <t>HP 845</t>
  </si>
  <si>
    <t>HP HP R7-845</t>
  </si>
  <si>
    <t>435 G10</t>
  </si>
  <si>
    <t>435 G7</t>
  </si>
  <si>
    <t>435 G9</t>
  </si>
  <si>
    <t>845 G10</t>
  </si>
  <si>
    <t>845 G7</t>
  </si>
  <si>
    <t>845 G9</t>
  </si>
  <si>
    <t>845 G8</t>
  </si>
  <si>
    <t xml:space="preserve">HP 845 G7    </t>
  </si>
  <si>
    <t xml:space="preserve">HP 435 G9 </t>
  </si>
  <si>
    <t xml:space="preserve">HP 854 G7 </t>
  </si>
  <si>
    <t xml:space="preserve">HP 845 G8  </t>
  </si>
  <si>
    <t xml:space="preserve">HP 435 G8 </t>
  </si>
  <si>
    <t xml:space="preserve">HP 435 G7 </t>
  </si>
  <si>
    <t xml:space="preserve">ZBOOK FURY G8 </t>
  </si>
  <si>
    <t xml:space="preserve">HP 845 G9 </t>
  </si>
  <si>
    <t xml:space="preserve">HP 845 G10 </t>
  </si>
  <si>
    <t>435 G8</t>
  </si>
  <si>
    <t>845 G11</t>
  </si>
  <si>
    <t>Total general</t>
  </si>
  <si>
    <t>IRREPARABLE</t>
  </si>
  <si>
    <t>PRESUPUESTO NO ACEPTADO</t>
  </si>
  <si>
    <t>Nº DE SERIE</t>
  </si>
  <si>
    <t>Facturado</t>
  </si>
  <si>
    <t>REP.PLACBASE /BATERIA</t>
  </si>
  <si>
    <t>1/2025</t>
  </si>
  <si>
    <t xml:space="preserve"> FLESH DE VIDEO</t>
  </si>
  <si>
    <t>REP.PLACBASE</t>
  </si>
  <si>
    <t>SUSTITUCION DE BATERIA</t>
  </si>
  <si>
    <t>REP.PLACBASE/ GOMAS TAPA TRASERA</t>
  </si>
  <si>
    <t>235.00€</t>
  </si>
  <si>
    <t>5CG1017P00  x</t>
  </si>
  <si>
    <t>5CG046386J  x</t>
  </si>
  <si>
    <t>COVER PANTALLA /REP.PLACBASE</t>
  </si>
  <si>
    <t>5CG0517FC5  x</t>
  </si>
  <si>
    <t>PANTALLA Y COVER /TECLADO COVER/TAPA TRASERA /REP.PLACBASE</t>
  </si>
  <si>
    <t>REP.PLACBASE / BATERIA</t>
  </si>
  <si>
    <t>5CG047279V  x</t>
  </si>
  <si>
    <t>5CG0515V15  x</t>
  </si>
  <si>
    <t>REP.PLACBASE / DISCO DURO</t>
  </si>
  <si>
    <t>REP.PLACBASE/EMBELLECEDOR DE PANTALLA</t>
  </si>
  <si>
    <t>NO x</t>
  </si>
  <si>
    <t>POR ENTREGAR/13/02/2026</t>
  </si>
  <si>
    <t>COVER TECLADO/COVER PANTALLA/TAPA TRASERA/REP.PLACBASE</t>
  </si>
  <si>
    <t>SE REPARO PLACA BASE POR BRAISIRIA</t>
  </si>
  <si>
    <t xml:space="preserve">PLACA BASE,REPARACION/TECLADO COVER </t>
  </si>
  <si>
    <t>5CG0515RPQ  x</t>
  </si>
  <si>
    <t>PANTALLA /REP.PLACBASE</t>
  </si>
  <si>
    <t>5CG2073KS1  x</t>
  </si>
  <si>
    <t xml:space="preserve"> TECLADO COVER/ MARCO DE PANTALLA /REP.PLACBASE</t>
  </si>
  <si>
    <t>REPARADO PLACA BASE POR BRAISIRIA</t>
  </si>
  <si>
    <t xml:space="preserve"> PLACA BASE ,REPARACION</t>
  </si>
  <si>
    <t>TAPA TRASERA/PANTALLA/COVER TECLADO</t>
  </si>
  <si>
    <t xml:space="preserve">PANTALLA ROTA </t>
  </si>
  <si>
    <t>PANTALLA / COVER TECLADO/TAPA TRASERA</t>
  </si>
  <si>
    <t>EQUIPO REPARADO SE REEMPLAZO TRES PIEZAS</t>
  </si>
  <si>
    <t>COVER TECLADO/COVER LCD</t>
  </si>
  <si>
    <t xml:space="preserve">NO VA TECLADO NO ESCRIBE </t>
  </si>
  <si>
    <t>NO CUBRE LA GARANTÍA TECLADO ROTO</t>
  </si>
  <si>
    <t xml:space="preserve">POR REVISARLO </t>
  </si>
  <si>
    <t>SE HA COLOCADO LAS PIEZAS Y A DEJADO DE FUNCIONAR / SE VA VOLVER A REVISAR, BRAISIRIA 06/10/2025</t>
  </si>
  <si>
    <t>FALTA BIZEL DE PANTALLA Y PANTALLA ROTA</t>
  </si>
  <si>
    <t>Reparado</t>
  </si>
  <si>
    <t>PANTALLA/MARCO DE PANTALLA</t>
  </si>
  <si>
    <t>5CG1151S5 G</t>
  </si>
  <si>
    <t>REPARAR EN PLACA BASE</t>
  </si>
  <si>
    <t>SE REPARA PLACA BASE BRAISIRIA , SE TIENE QUE RECOGER EL EQUIPO</t>
  </si>
  <si>
    <t>PLACA BASE,REPARACION</t>
  </si>
  <si>
    <t>EN BRAISIRIA, A ESPERA DE COMPONENTES PARA SU REPARACION EN PLACA BASE</t>
  </si>
  <si>
    <t>Equipo roto por GLS / se gestiona el seguro</t>
  </si>
  <si>
    <t>VENTILADOR/REP.PLACBASE</t>
  </si>
  <si>
    <t>Equipo que no procede la garantía placa base muy dañada,quemado</t>
  </si>
  <si>
    <t>5492/6024</t>
  </si>
  <si>
    <t>TECLADO COVER / PLACA BASE/TAPA TRASERA GOLPEADA</t>
  </si>
  <si>
    <t>ESTA EN  BRAISIRIA,NO ENCIENDE</t>
  </si>
  <si>
    <t>5CG12543YQ  x</t>
  </si>
  <si>
    <t>PLACA BASE /TECLADO COVER/ GOMAS DE TAPA TRASERA</t>
  </si>
  <si>
    <t>REP.PLACBASE /TECLADO COVER/ GOMAS DE TAPA TRASERA</t>
  </si>
  <si>
    <t>VENTILADOR /TAPA TRASERA /TECLADO COVER</t>
  </si>
  <si>
    <t>VEO QUE LA TAPA TRASERA Y COVER TECLADO GOLPEADO</t>
  </si>
  <si>
    <t>5CG0517J0S  x</t>
  </si>
  <si>
    <t>ESTA EN BRAISIRIA ,EL EQUIPO ESTA EN CORTO POR HUMEDAD</t>
  </si>
  <si>
    <t>BRAISIRIA LA PLACA BASE, REPARADO</t>
  </si>
  <si>
    <t>5CG04638CX  x</t>
  </si>
  <si>
    <t>TECLADO COVER / BISAGRAS</t>
  </si>
  <si>
    <t>5CG0514G0T -</t>
  </si>
  <si>
    <t>5CG0515TSY -</t>
  </si>
  <si>
    <t>SE SUSTITUYO EL TECLADO EN LA PRIMERA REPARACION Y HA VUELTO CON OTRA AVERIA DEL TECLADO QUE ALGUNAS TECLAS NO FUNCIONAN COMO EL BOTON ALTGR</t>
  </si>
  <si>
    <t>K030349</t>
  </si>
  <si>
    <t>5CG3080BKF</t>
  </si>
  <si>
    <t>GOLPE TRASERO LATERAL IZQUIERDO</t>
  </si>
  <si>
    <t>K105396</t>
  </si>
  <si>
    <t>5CG5111LGQ</t>
  </si>
  <si>
    <t>TECLA E ROTA</t>
  </si>
  <si>
    <t>TECLA ROTA , TECLADO COVER</t>
  </si>
  <si>
    <t>SE VA SUSTITUIR EL TECLADO COVER , POR GARANTÍA , PERO SE VA A COBRAR YA QUE ES ROTURA Y NO PROCEDE</t>
  </si>
  <si>
    <t>N932175</t>
  </si>
  <si>
    <t>5CG1255WSC</t>
  </si>
  <si>
    <t>PANTALLA INFERIOR IZQUIERDA DESPEGADA</t>
  </si>
  <si>
    <t xml:space="preserve">COVER PANTALLA / GOMAS  </t>
  </si>
  <si>
    <t>COVER PANTALLA / GOMAS TAPA TRASERA</t>
  </si>
  <si>
    <t>K056015</t>
  </si>
  <si>
    <t>5CG40753P9</t>
  </si>
  <si>
    <t>SE REINSTALA SISTEMA</t>
  </si>
  <si>
    <t xml:space="preserve">REINSTALACION DE SISTEMA , E ACTUALIZACION DE BIOS </t>
  </si>
  <si>
    <t>REINSTALACION DE SISTEMA</t>
  </si>
  <si>
    <t>K036650</t>
  </si>
  <si>
    <t>5CG3131DRQ</t>
  </si>
  <si>
    <t>NO PROCEDE LA GARANTÍA POR ROTURA</t>
  </si>
  <si>
    <t>K053433</t>
  </si>
  <si>
    <t>5CG2021HV9</t>
  </si>
  <si>
    <t>TECLA A ROTA</t>
  </si>
  <si>
    <t>REPETIDO</t>
  </si>
  <si>
    <t>K010691</t>
  </si>
  <si>
    <t>5CG3131DZC</t>
  </si>
  <si>
    <t>TOUCH PAD NO FUNCIONA</t>
  </si>
  <si>
    <t>TOUCHPAD NO FUNCIONA</t>
  </si>
  <si>
    <t>SE SOLICITA LA PIEZA POR GARANTÍA</t>
  </si>
  <si>
    <t>K037124</t>
  </si>
  <si>
    <t>5CG3131CVZ</t>
  </si>
  <si>
    <t>PANTALLA AVERIADA</t>
  </si>
  <si>
    <t>K040551</t>
  </si>
  <si>
    <t>5CG1027R3Z</t>
  </si>
  <si>
    <t>TECLADO KO</t>
  </si>
  <si>
    <t xml:space="preserve">SE SUSTITUYE EL TECLADO COVER , POR QUE EL TECLADO QUE TENIA DABA FALLOS EN LAS TECLAS, CUANDO SE ESCRIBIA SALTABAN DIFERENTES LETAS DE CADA TECLA </t>
  </si>
  <si>
    <t>N923765</t>
  </si>
  <si>
    <t>5CG04727FK</t>
  </si>
  <si>
    <t>PANTALLA ROTA , HE SUTITUIDO Y SU FUNCIONAMIENTO NORMAL</t>
  </si>
  <si>
    <t>K104425</t>
  </si>
  <si>
    <t>5CG5094169</t>
  </si>
  <si>
    <t>DISCO DURO KO</t>
  </si>
  <si>
    <t xml:space="preserve">PLACA BASE NO ENCIENDE SE SOLICITA POR GARANTIA </t>
  </si>
  <si>
    <t>K057240</t>
  </si>
  <si>
    <t>5CG4194B23</t>
  </si>
  <si>
    <t>K010658</t>
  </si>
  <si>
    <t>5CG3131DYR</t>
  </si>
  <si>
    <t>FALTA TECLA</t>
  </si>
  <si>
    <t xml:space="preserve">LE FALTA UNA TECLA Y NO PROCEDE LA GARANTÍA , PERO AUN ASI SOLICITAREMOS POR GARANTÍA </t>
  </si>
  <si>
    <t>K111132</t>
  </si>
  <si>
    <t>5CG04727J5</t>
  </si>
  <si>
    <t>SUSTITUCION DE PANTALLA Y TODO CORRECTO</t>
  </si>
  <si>
    <t>K037288</t>
  </si>
  <si>
    <t>5CG3131F7Q</t>
  </si>
  <si>
    <t>SE HACE UNA REVISION TODO EL HARWARE Y SE ACTUALIZA BIOS Y INSTALACION DE SISTEMA OPERATIVO, TODO CORRECTO</t>
  </si>
  <si>
    <t>K110556</t>
  </si>
  <si>
    <t>5CG0463872</t>
  </si>
  <si>
    <t>REINICIO CONTINUO</t>
  </si>
  <si>
    <t>PLACA BASE / TECLADO COVER</t>
  </si>
  <si>
    <t>EQUIPO FUNCIONA MAL ,ENCIENDE Y SE REINICIA ,SE VA HA REPARAR LA PLACA BASE Y HE OBSERVADO QUE EL TECLADO COVER EN LA ESQUINA ESTA GOLPEADO VOY A SUSTITUIRLO</t>
  </si>
  <si>
    <t>REP.PLACBASE / TECLADO COVER</t>
  </si>
  <si>
    <t>K110552</t>
  </si>
  <si>
    <t>PANTALLA AVERIADA /BATERIA</t>
  </si>
  <si>
    <t>PANTALLA ROTA Y BATERIA, SUSTITUCION</t>
  </si>
  <si>
    <t>PANTALLA /BATERIA</t>
  </si>
  <si>
    <t>ESTE EQUIPO VUELVO CON OTRAS AVERIAS</t>
  </si>
  <si>
    <t>N930506</t>
  </si>
  <si>
    <t>5CG1083LGP</t>
  </si>
  <si>
    <t>FALLO BATERÍA</t>
  </si>
  <si>
    <t xml:space="preserve">BATERIA FUNCIONA MAL </t>
  </si>
  <si>
    <t>FUNCIONAMIENTO DE BATERIA EN MAL ESTADO</t>
  </si>
  <si>
    <t xml:space="preserve">BATERIA </t>
  </si>
  <si>
    <t>K010625</t>
  </si>
  <si>
    <t>5CG3131F6L</t>
  </si>
  <si>
    <t>13/01/2026 SE LLE  BRASIRIA REPARACION DE PLACA BASE</t>
  </si>
  <si>
    <t>N987017</t>
  </si>
  <si>
    <t>CND2214BZB</t>
  </si>
  <si>
    <t>FALTA TECLAS</t>
  </si>
  <si>
    <t>TECLADO ROTO, NO PROCEDE LA GARANTIA</t>
  </si>
  <si>
    <t>TECALDO ROTO POR PEDIR LA PIEZA</t>
  </si>
  <si>
    <t>TECLADO</t>
  </si>
  <si>
    <t>K036736</t>
  </si>
  <si>
    <t>5CG3131DXN</t>
  </si>
  <si>
    <t>PANTALLAZO AZUL</t>
  </si>
  <si>
    <t>RESTAURACION DE SISTEMA</t>
  </si>
  <si>
    <t>SE RESTAURA SISTEMA Y ACTUALIZACIÓN DE BIOS</t>
  </si>
  <si>
    <t>SIN PIEZAS POR GARANTÍA</t>
  </si>
  <si>
    <t>Carmen Rodríguez Lage</t>
  </si>
  <si>
    <r>
      <t>616866669</t>
    </r>
    <r>
      <rPr>
        <sz val="7.5"/>
        <color rgb="FF1F497D"/>
        <rFont val="Verdana"/>
        <family val="2"/>
      </rPr>
      <t> </t>
    </r>
  </si>
  <si>
    <t xml:space="preserve">C/ Gabriel García Márquez 1, 28232 </t>
  </si>
  <si>
    <t>N994375</t>
  </si>
  <si>
    <t>5CG22050DT</t>
  </si>
  <si>
    <t>COVER PANTALLA Y COVER TECLADO QUE TAMBIEN ESTA ROTO</t>
  </si>
  <si>
    <t>El teclado cover se sustituye ya que esta roto en los laterales</t>
  </si>
  <si>
    <t>N992233</t>
  </si>
  <si>
    <t>5CG1514G09</t>
  </si>
  <si>
    <t>COVER PANTALLA  / COVER TECLADO</t>
  </si>
  <si>
    <t>SE SUSTITUYE COVER TECLADO YA QUE ESTABA POR DENTRO ROTO LOS AGUJEROS DE LOS TORNILLOS DONDE VA LA PANTALLA /PANTALLA COVER</t>
  </si>
  <si>
    <t>N924003</t>
  </si>
  <si>
    <t>5CG0472785</t>
  </si>
  <si>
    <t>TECLA SUELTA</t>
  </si>
  <si>
    <t>SE SUSTITUYE EL TECLADO COVER , PORQUE FALTA TECLAS</t>
  </si>
  <si>
    <t>N916096</t>
  </si>
  <si>
    <t>5CG1041RDY</t>
  </si>
  <si>
    <t>HOLGURA PUERTOS USB-C</t>
  </si>
  <si>
    <t xml:space="preserve"> PLACA BASE / GOMAS</t>
  </si>
  <si>
    <t>PLACA BASE /GOMAS</t>
  </si>
  <si>
    <t>N919389</t>
  </si>
  <si>
    <t>5CG1070LSK</t>
  </si>
  <si>
    <t>PLACA BASE / COVER PANTALLA /GOMAS</t>
  </si>
  <si>
    <t>REPARACION DE PLACA BASE, USB C</t>
  </si>
  <si>
    <t>N872566</t>
  </si>
  <si>
    <t>5CG1080CHG</t>
  </si>
  <si>
    <t>K006960</t>
  </si>
  <si>
    <t>5CG3300WM2</t>
  </si>
  <si>
    <t>TECLAS NO FUNCIONAN</t>
  </si>
  <si>
    <t xml:space="preserve">SE SUSTITUYE EL TECLADO COVER POR QUE NO FUNCIONA CORRECTAMENTE </t>
  </si>
  <si>
    <t>N922742</t>
  </si>
  <si>
    <t>5CG0514GQH</t>
  </si>
  <si>
    <t>SE SUSTITUYE EL TECLADO COVER PORQUE FALTA TECLAS</t>
  </si>
  <si>
    <t>N916657</t>
  </si>
  <si>
    <t>5CG0515RNQ</t>
  </si>
  <si>
    <t>FALTA NIPPLE DEL TECLADO</t>
  </si>
  <si>
    <t xml:space="preserve">TECLADO COVER / GOMAS </t>
  </si>
  <si>
    <t>SE SUSTITUYE EL COVER TECLADO PORQUE EL PEQUEÑO RATON DE EN MEDIO DEL TECLADO DA FALLOS Y SU GOMA NO LO TIENE / GOMAS DE LA TAPA TRASERA</t>
  </si>
  <si>
    <t>COVER TECALDO / GOMAS</t>
  </si>
  <si>
    <t>K040075</t>
  </si>
  <si>
    <t>5CG3300WK8</t>
  </si>
  <si>
    <t>TECLAS  6 Y 7 NO FUNCIONAN</t>
  </si>
  <si>
    <t xml:space="preserve"> TECLADO COVER POR GARANTÍA </t>
  </si>
  <si>
    <t>Reparado con repuesto</t>
  </si>
  <si>
    <t>CAMARA WEB</t>
  </si>
  <si>
    <t>N923601</t>
  </si>
  <si>
    <t>5CG047275L</t>
  </si>
  <si>
    <t xml:space="preserve">                       NO ENCIENDE Y PANTALLA COVER MAL </t>
  </si>
  <si>
    <t>PANTLLA COVER/TECLADO COVER/TAPA INFERIR O TRASERA/ PLACA BASE</t>
  </si>
  <si>
    <t>REPARAR PLACA BASE SE ENVIA 06/10/2025</t>
  </si>
  <si>
    <t>N871950</t>
  </si>
  <si>
    <t>5CG1095DBX</t>
  </si>
  <si>
    <t>SOBRECALENTAMIENTO Y FALLO BATERIA</t>
  </si>
  <si>
    <t>TECLADO COVER EN MAL ESTADO</t>
  </si>
  <si>
    <t>N945596</t>
  </si>
  <si>
    <t>5CG1255SJB</t>
  </si>
  <si>
    <t>FALLA TOUCHPAD/COVER TRASERA</t>
  </si>
  <si>
    <t xml:space="preserve">FALLA COVER TECLADO Y LE FALTA GOMAS EN LA TAPA TRASERA </t>
  </si>
  <si>
    <t>COVER TECLADO / GOMAS</t>
  </si>
  <si>
    <t>N923881</t>
  </si>
  <si>
    <t>5CG04727CZ</t>
  </si>
  <si>
    <t>COVER DAÑADO</t>
  </si>
  <si>
    <t xml:space="preserve">TECLADO COVER ESTA RAYADO CON UNA PUNTA </t>
  </si>
  <si>
    <t>TECALDO COVERSE SUSTITUYE  Y TODO CORRECTO</t>
  </si>
  <si>
    <t>N923916</t>
  </si>
  <si>
    <t>5CG047274X</t>
  </si>
  <si>
    <t>TECLADO COVER LE FALTA TECLAS</t>
  </si>
  <si>
    <t>SE HA SUSTITUIDO EL COVER TECALDO</t>
  </si>
  <si>
    <t>N873525</t>
  </si>
  <si>
    <t>5CG1017RNM</t>
  </si>
  <si>
    <t>VEO QUE EL TECLADO COVER Y LA TAPA TRASERA TIENE UN GOLPE FUERTE EN EL LATERAL IZQUIER</t>
  </si>
  <si>
    <t>COVER TECLADO / TAPARA TRASERA</t>
  </si>
  <si>
    <t>K036892</t>
  </si>
  <si>
    <t>5CG3131H0J</t>
  </si>
  <si>
    <t>PANTALLA ROTA/ BISAGRAS ROTAS</t>
  </si>
  <si>
    <t>NO SE PUEDE SOLICITAR LA PANTALLA TAMPOCO LAS BISAGRAS POR GARANTIA PORQUE LA PIEZAS ESTAN ROTAS</t>
  </si>
  <si>
    <t>N923923</t>
  </si>
  <si>
    <t>5CG047274B</t>
  </si>
  <si>
    <t>NO ARRANCA/COVER DAÑADO</t>
  </si>
  <si>
    <t>PLACA BASE NO ENCIENDE SE VA A REPARAR Y SUSTITUIR TECLADO COVER, BRAISIRIA 06,10,2025</t>
  </si>
  <si>
    <t>N914244</t>
  </si>
  <si>
    <t>5CG0515V25</t>
  </si>
  <si>
    <t>CALENTAMIENTO</t>
  </si>
  <si>
    <t>EQUIPO QUE SE SOBRECALIENTA Y SE RELANTISA , SE REPARA LA PLACA BASE</t>
  </si>
  <si>
    <t>K037290</t>
  </si>
  <si>
    <t>5CG3131FN7</t>
  </si>
  <si>
    <t>N929967</t>
  </si>
  <si>
    <t>5CG10790KN</t>
  </si>
  <si>
    <t>FALLO BATERIA/COVER TRASERA</t>
  </si>
  <si>
    <t>BATERIA / TAPA TRASERA</t>
  </si>
  <si>
    <t>DESGASTE DE TAPA TRASERA Y BATERIA</t>
  </si>
  <si>
    <t>N916834</t>
  </si>
  <si>
    <t>5CG0515T50</t>
  </si>
  <si>
    <t>SUSTITUCION DE TECLADO COVER</t>
  </si>
  <si>
    <t>K045387</t>
  </si>
  <si>
    <t>5CG40753P8</t>
  </si>
  <si>
    <t>N935728</t>
  </si>
  <si>
    <t>5CG1257P18</t>
  </si>
  <si>
    <t>PUERTO TIPO C DAÑADO</t>
  </si>
  <si>
    <t>reparacion de placa base , usb C</t>
  </si>
  <si>
    <t>PLACA BASE REPARACION Y SUSTITUCION DE GOMAS DE TAPA TRASERA</t>
  </si>
  <si>
    <t xml:space="preserve"> PLACA BASE,REPARACION / GOMAS</t>
  </si>
  <si>
    <t>N872629</t>
  </si>
  <si>
    <t>5CG1080C0W</t>
  </si>
  <si>
    <t>PLACA BASE Y GOMAS DE TAPA TRASERA</t>
  </si>
  <si>
    <t>K110573</t>
  </si>
  <si>
    <t>5CG046392L</t>
  </si>
  <si>
    <t>K110574</t>
  </si>
  <si>
    <t>5CG0517FNX</t>
  </si>
  <si>
    <t>TOUCHPAD  AVERIADO</t>
  </si>
  <si>
    <t>TOUCHPAD /GOMAS /PLACA BASE</t>
  </si>
  <si>
    <t>K110576</t>
  </si>
  <si>
    <t>5CG1027R4X</t>
  </si>
  <si>
    <t>COVER TECLADO ROTO</t>
  </si>
  <si>
    <t>C0VER TECLADO</t>
  </si>
  <si>
    <t>NO DETECTA WIFI-INFOSER</t>
  </si>
  <si>
    <t>K036788</t>
  </si>
  <si>
    <t>5CG3131D0G</t>
  </si>
  <si>
    <t xml:space="preserve">TESTEADO Y CON GARANTÍA </t>
  </si>
  <si>
    <t>K037272</t>
  </si>
  <si>
    <t>5CG3131F6B</t>
  </si>
  <si>
    <t>NO PROCEDE LA GARANTIA , PANTALLA ROTA</t>
  </si>
  <si>
    <t>K054565</t>
  </si>
  <si>
    <t>5CG4321YMX</t>
  </si>
  <si>
    <t>NO SE ENCIENDE-INFOSER</t>
  </si>
  <si>
    <t>K010865</t>
  </si>
  <si>
    <t>5CG3131D1F</t>
  </si>
  <si>
    <t>Pantalla no enciende</t>
  </si>
  <si>
    <t>N923711</t>
  </si>
  <si>
    <t>5CG04727G0</t>
  </si>
  <si>
    <t>REPARACIONDE PLACA BASE , SE REINICIA CONSTANTEMENTE</t>
  </si>
  <si>
    <t xml:space="preserve"> PLACA BASE,REPARACION /BATERIA</t>
  </si>
  <si>
    <t>K104006</t>
  </si>
  <si>
    <t>5CG5091SZK</t>
  </si>
  <si>
    <t>K112548</t>
  </si>
  <si>
    <t>5CG407542H</t>
  </si>
  <si>
    <t>K053434</t>
  </si>
  <si>
    <t>5CG1017Q08</t>
  </si>
  <si>
    <t>K111291</t>
  </si>
  <si>
    <t>5CG0517HWV</t>
  </si>
  <si>
    <t>PANTALLAZO AZUL-REINCIO CONTINUO</t>
  </si>
  <si>
    <t>Diagnostico: OK</t>
  </si>
  <si>
    <t>PASTA TERMICA CAMBIADA,WINDOWS 11 INSTALADO</t>
  </si>
  <si>
    <t>POR ENTREGAR / BRAISIRIA</t>
  </si>
  <si>
    <t>n918720</t>
  </si>
  <si>
    <t>5CG0517FNR</t>
  </si>
  <si>
    <t>CARCASA GOLPEADA</t>
  </si>
  <si>
    <t>Cambiar teclado y tapa,reparar carcasa pantalla</t>
  </si>
  <si>
    <t>K111300</t>
  </si>
  <si>
    <t>5CG1027R54</t>
  </si>
  <si>
    <t xml:space="preserve">COVER TECLADO / TAPA TRASERA </t>
  </si>
  <si>
    <t>N918675</t>
  </si>
  <si>
    <t>5CG0517FDG</t>
  </si>
  <si>
    <t>N914098</t>
  </si>
  <si>
    <t>5CG0515V7H</t>
  </si>
  <si>
    <t>CARCASA CON GOLPES Y MARCO RAYADO</t>
  </si>
  <si>
    <t>COVER TECLADO / MARCO DE LCD</t>
  </si>
  <si>
    <t>N992764</t>
  </si>
  <si>
    <t>5CG2194957</t>
  </si>
  <si>
    <t>COVER PANTALLA/BATERIA</t>
  </si>
  <si>
    <t>N989286</t>
  </si>
  <si>
    <t>5CG2073LF7</t>
  </si>
  <si>
    <t>RUIDO EN ORDENADOR</t>
  </si>
  <si>
    <t xml:space="preserve">RUIDO EXCESIVO DEL VENTILADOR SE SUSTITUYE </t>
  </si>
  <si>
    <t>K006546</t>
  </si>
  <si>
    <t>5CG2412STM</t>
  </si>
  <si>
    <t>BATERIA Y SONIDO DE VENTILADOR</t>
  </si>
  <si>
    <t>N989311</t>
  </si>
  <si>
    <t>5CG2073LF8</t>
  </si>
  <si>
    <t>TECLADO, CARCASA</t>
  </si>
  <si>
    <t>K040031</t>
  </si>
  <si>
    <t>5CG3300WKF</t>
  </si>
  <si>
    <t>TECLADO, VENTILADOR</t>
  </si>
  <si>
    <t>NO PROCEDE GARANTIA PANTALLA ROTA Y TAPA LCD GOLPEADA</t>
  </si>
  <si>
    <t>COVER LCD / PANTALLA</t>
  </si>
  <si>
    <t>N944595</t>
  </si>
  <si>
    <t>5CG127C32Y</t>
  </si>
  <si>
    <t>VENTILADOR, CARCASA</t>
  </si>
  <si>
    <t>COVER TECLADO / VENTILADOR</t>
  </si>
  <si>
    <t>COVER TECLADO GOLPEADO Y RUIDO DEL VENTILADOR , SE SUSTITUYE</t>
  </si>
  <si>
    <t>N991434</t>
  </si>
  <si>
    <t>5CG1518B5G</t>
  </si>
  <si>
    <t>TECLADO COVER /REPARACION DE PLACA BASE</t>
  </si>
  <si>
    <t xml:space="preserve">COVER TECLADO /REPARACION DE PLACA BASE </t>
  </si>
  <si>
    <t>POR ENTREGAR/BRAISIRIA</t>
  </si>
  <si>
    <t>N922585</t>
  </si>
  <si>
    <t>5CG0515PXF</t>
  </si>
  <si>
    <t>equipo no llega a nuestro taller</t>
  </si>
  <si>
    <t>N917061</t>
  </si>
  <si>
    <t>5CG1072JXN</t>
  </si>
  <si>
    <t>COVI TECLADO Y VENTILADOR</t>
  </si>
  <si>
    <t>N873862</t>
  </si>
  <si>
    <t>5CG1017PS1</t>
  </si>
  <si>
    <t>SOBRECALENTAMIENTO/VENTILADOR FALLA</t>
  </si>
  <si>
    <t>Falla ventilador,cambiar</t>
  </si>
  <si>
    <t>N934250</t>
  </si>
  <si>
    <t>5CG1254SFW</t>
  </si>
  <si>
    <t>LIGAS ROTAS TAPA INFERIOR</t>
  </si>
  <si>
    <t>SUSTITUCION DE GOMAS Y BATERIA</t>
  </si>
  <si>
    <t>BATERIA / GOMAS</t>
  </si>
  <si>
    <t>N922326</t>
  </si>
  <si>
    <t>5CG0514F2H</t>
  </si>
  <si>
    <t>EQUIPO MOJADO, TECLADO Y PAD NO FUNCIONAN BIEN</t>
  </si>
  <si>
    <t>N958436</t>
  </si>
  <si>
    <t>5CG138D089</t>
  </si>
  <si>
    <t>RUIDO VENTILADOR, PAD NO FUNCIONA BIEN</t>
  </si>
  <si>
    <t>Cambiar ventilador,touchpad y gomas</t>
  </si>
  <si>
    <t>K055970</t>
  </si>
  <si>
    <t>5CG407543F</t>
  </si>
  <si>
    <t>FALLA TECLADO, PAD, EQUIPO MOJADO</t>
  </si>
  <si>
    <t>N917017</t>
  </si>
  <si>
    <t>5CG0517FN1</t>
  </si>
  <si>
    <t>N923559</t>
  </si>
  <si>
    <t>5CG047276L</t>
  </si>
  <si>
    <t>CAMARA RAYADA, EQUIPO SE CALIENTA</t>
  </si>
  <si>
    <t xml:space="preserve">REPARACION DE PLACA BASE , PORQUE SE CALIENTA Y LA CAMARA NO FUNCIONA </t>
  </si>
  <si>
    <t>REPARACIONES DE PLACA BASE</t>
  </si>
  <si>
    <t xml:space="preserve"> PLACA BASE,REPARACION </t>
  </si>
  <si>
    <t>N989255</t>
  </si>
  <si>
    <t>5CG2073L4M</t>
  </si>
  <si>
    <t>CARCASA GOLPEADA POR PUERTOS</t>
  </si>
  <si>
    <t>K047865</t>
  </si>
  <si>
    <t>5CG5091TDT</t>
  </si>
  <si>
    <t>MADRID</t>
  </si>
  <si>
    <t> cristina.canogomez.ext@telefonica.com  </t>
  </si>
  <si>
    <t>Torre Plaza Castilla - Paseo de la Castellana, 189. Planta 13. 28046</t>
  </si>
  <si>
    <t>K036940</t>
  </si>
  <si>
    <t>5CG3131GXP</t>
  </si>
  <si>
    <t>K110565</t>
  </si>
  <si>
    <t>5CG04638QQ</t>
  </si>
  <si>
    <t>Cambio touchad</t>
  </si>
  <si>
    <t>GOLPE CARCASA</t>
  </si>
  <si>
    <t>Daño fisico</t>
  </si>
  <si>
    <t>Se cambia teclado por pieza reutilizada</t>
  </si>
  <si>
    <t>N873624</t>
  </si>
  <si>
    <t>5CG1017RP2</t>
  </si>
  <si>
    <t>Teclado roto</t>
  </si>
  <si>
    <t xml:space="preserve">COVER TECLADO/REPARACION DE PLACA BASE </t>
  </si>
  <si>
    <t>N873859</t>
  </si>
  <si>
    <t>5CG1017MY7</t>
  </si>
  <si>
    <t>Cambio de pantalla</t>
  </si>
  <si>
    <t>N916848</t>
  </si>
  <si>
    <t>5CG0515TS7</t>
  </si>
  <si>
    <t>IRQL_not_less_or_equal (PANTALLA AZUL)</t>
  </si>
  <si>
    <t>N917532</t>
  </si>
  <si>
    <t>5CG0517F2N</t>
  </si>
  <si>
    <t>ERROR PANTALLA AZUL/Error Memory Management</t>
  </si>
  <si>
    <t>N918680</t>
  </si>
  <si>
    <t>5CG0517HWT</t>
  </si>
  <si>
    <t>N922716</t>
  </si>
  <si>
    <t>5CG0514H76</t>
  </si>
  <si>
    <t>/FALLA BATERIA</t>
  </si>
  <si>
    <t>Conector bateria suelto / Diagnostico: OK</t>
  </si>
  <si>
    <t>N923530</t>
  </si>
  <si>
    <t>5CG04727GH</t>
  </si>
  <si>
    <t>Cambio pantalla</t>
  </si>
  <si>
    <t>Se cambia pantalla por pieza reutilizada</t>
  </si>
  <si>
    <t>N923572</t>
  </si>
  <si>
    <t>5CG047274J</t>
  </si>
  <si>
    <t>FALTA TECLA E</t>
  </si>
  <si>
    <t>Cambiar teclado y gomas</t>
  </si>
  <si>
    <t>Esperando piezas</t>
  </si>
  <si>
    <t>REPARADO DE INFORSER/FALLO PILA</t>
  </si>
  <si>
    <t>se sustituye bateria</t>
  </si>
  <si>
    <t>N937080</t>
  </si>
  <si>
    <t>5CG12542V5</t>
  </si>
  <si>
    <t>PUERTO USB C ROTO</t>
  </si>
  <si>
    <t xml:space="preserve">PLACA BASE / </t>
  </si>
  <si>
    <t>N937386</t>
  </si>
  <si>
    <t>5CG1257NQ1</t>
  </si>
  <si>
    <t>N942280</t>
  </si>
  <si>
    <t>5CG2139JNG</t>
  </si>
  <si>
    <t xml:space="preserve">DISCO DURO SE SUSTITUYE </t>
  </si>
  <si>
    <t xml:space="preserve">DISCO DURO NO CARGA SISTEMA Y SE SUSTITUYE </t>
  </si>
  <si>
    <t>N970304</t>
  </si>
  <si>
    <t>5CG0486M7G</t>
  </si>
  <si>
    <t>FALLA PUERTO USB-C</t>
  </si>
  <si>
    <t>PLACA BASE/ GOMAS /COVER PANTALLA</t>
  </si>
  <si>
    <t>N922043</t>
  </si>
  <si>
    <t>5CG0515V6K</t>
  </si>
  <si>
    <t>APAGADOS CONTINUOS/TECLADO ROTO</t>
  </si>
  <si>
    <t>CAMBIO DE TECLADO /REPARACION DE PLACA BASE</t>
  </si>
  <si>
    <t>REPARACION DE PLACA BASE Y COVER TECLADO POR GOLPE</t>
  </si>
  <si>
    <t xml:space="preserve"> PLACA BASE,REPARACION / COVER TECLADO</t>
  </si>
  <si>
    <t>PANTALLA ROTA/TOUCHPAD FALLA/REPARADO DE INFOSER</t>
  </si>
  <si>
    <t>Cover teclado +  Cover pantalla + Touchpad</t>
  </si>
  <si>
    <t>COVER TECLADO / TOUCHPAD / MARCO</t>
  </si>
  <si>
    <t>Este equipo se reparo</t>
  </si>
  <si>
    <t>N922657</t>
  </si>
  <si>
    <t>5CG0514F2Y</t>
  </si>
  <si>
    <t>N873831</t>
  </si>
  <si>
    <t>5CG1017PS2</t>
  </si>
  <si>
    <t>ERROR PANTALLA AZUL/TECLADO i DAÑADA</t>
  </si>
  <si>
    <t>N874170</t>
  </si>
  <si>
    <t>5CG0463861</t>
  </si>
  <si>
    <t>Cambio teclado</t>
  </si>
  <si>
    <t>K110557</t>
  </si>
  <si>
    <t>5CG046386V</t>
  </si>
  <si>
    <t>Fallo Ventilador por placa base</t>
  </si>
  <si>
    <t xml:space="preserve"> PLACA BASE</t>
  </si>
  <si>
    <t>N914062</t>
  </si>
  <si>
    <t>5CG0514K69</t>
  </si>
  <si>
    <t>APAGADOS REPENTINOS/SOBRECALENTAMIENTO</t>
  </si>
  <si>
    <t>Revisada:OK / Estaba sin conectar</t>
  </si>
  <si>
    <t>K103950</t>
  </si>
  <si>
    <t>5CG5091SYQ</t>
  </si>
  <si>
    <t>FALLO MICRO</t>
  </si>
  <si>
    <t>Revisado micro ok / Cover LCD golpeado</t>
  </si>
  <si>
    <t>Cover golpeado mas pantalla</t>
  </si>
  <si>
    <t>N916627</t>
  </si>
  <si>
    <t>5CG0515RZ0</t>
  </si>
  <si>
    <t>Fallo modulo micro+cam</t>
  </si>
  <si>
    <t>Se cambia cover superior con pantalla incluida</t>
  </si>
  <si>
    <t>MICRO Y CAMARA WEB</t>
  </si>
  <si>
    <t>k010814</t>
  </si>
  <si>
    <t>5CG3131FV6</t>
  </si>
  <si>
    <t>SOBRECALENTAMIENTO</t>
  </si>
  <si>
    <t>N873634</t>
  </si>
  <si>
    <t>5CG1017RQL</t>
  </si>
  <si>
    <t>TECLADO ROTO/COVER ROTO</t>
  </si>
  <si>
    <t>TECLADO EN MAL ESTADO</t>
  </si>
  <si>
    <t>N993021</t>
  </si>
  <si>
    <t>5CG22035QX</t>
  </si>
  <si>
    <t>N998119</t>
  </si>
  <si>
    <t>5CG15118DR</t>
  </si>
  <si>
    <t>EQUIPO NO ENCIENDE SE LE HA CAIDO AGUA Y LA TAPA TRASERA ESTA REVENTADA</t>
  </si>
  <si>
    <t>N924214</t>
  </si>
  <si>
    <t>5CG1072LMZ</t>
  </si>
  <si>
    <t>Gran Vía de les Corts Catalanes 159, planta 1. 08014</t>
  </si>
  <si>
    <t>N874264</t>
  </si>
  <si>
    <t>5CG0463857</t>
  </si>
  <si>
    <t>Placa dañada</t>
  </si>
  <si>
    <t>Envio reparacion placa</t>
  </si>
  <si>
    <t>N916889</t>
  </si>
  <si>
    <t>5CG0515S93</t>
  </si>
  <si>
    <t>SE REINICIA SOLO</t>
  </si>
  <si>
    <t>N874503</t>
  </si>
  <si>
    <t>5CG04637W1</t>
  </si>
  <si>
    <t>NO TIENE E</t>
  </si>
  <si>
    <t>K050530</t>
  </si>
  <si>
    <t>5CG0515PWY</t>
  </si>
  <si>
    <t>TAPA TRASERA/BATERIA</t>
  </si>
  <si>
    <t>N923950</t>
  </si>
  <si>
    <t>5CG0472777</t>
  </si>
  <si>
    <t>RECALENTAMIENTO REINICIOS</t>
  </si>
  <si>
    <t>EQUIPO SE REINICIA MUCHAS VECES ,REPARACION DE PLACA BASE</t>
  </si>
  <si>
    <t>N980285</t>
  </si>
  <si>
    <t>5CG0517GFY</t>
  </si>
  <si>
    <t>REINICIOS CONTINUOS</t>
  </si>
  <si>
    <t xml:space="preserve">REPARACION DE PLACA BASE Y SUSTITUCION DE TAPA TRASERA </t>
  </si>
  <si>
    <t xml:space="preserve"> PLACA BASE ,REPARACION/TAPA TRASERA</t>
  </si>
  <si>
    <t>N930595</t>
  </si>
  <si>
    <t>5CG0520726</t>
  </si>
  <si>
    <t>NO VA AUDIO EN PARLANTES NI EN AUDIFONOS</t>
  </si>
  <si>
    <t>Conector speaker suelto / diagnostico:Ok</t>
  </si>
  <si>
    <t>N933211</t>
  </si>
  <si>
    <t>5CG12543F6</t>
  </si>
  <si>
    <t xml:space="preserve"> NO</t>
  </si>
  <si>
    <t>DAÑO CARCASA PARTE DE ATRÁS</t>
  </si>
  <si>
    <t>USB C NO REPLICA</t>
  </si>
  <si>
    <t>K045369</t>
  </si>
  <si>
    <t>5CG40753QD</t>
  </si>
  <si>
    <t>NO TIENE TECLA H</t>
  </si>
  <si>
    <t>K060354</t>
  </si>
  <si>
    <t>5CG4250KTD</t>
  </si>
  <si>
    <t>DAÑO PUERTOS</t>
  </si>
  <si>
    <t xml:space="preserve">COVER TECLADO ,POR GARANTÍA </t>
  </si>
  <si>
    <t>DAÑO CARCASA, LLEGO DE BIGMATIC Y SE VUELVE A ENVIAR</t>
  </si>
  <si>
    <t>Bateria no Carga</t>
  </si>
  <si>
    <t>5CG051FYT</t>
  </si>
  <si>
    <t>Teclado mojado</t>
  </si>
  <si>
    <t>Teclado cambiar</t>
  </si>
  <si>
    <t>N843124</t>
  </si>
  <si>
    <t>5CG1027R4M</t>
  </si>
  <si>
    <t>Tecla rota</t>
  </si>
  <si>
    <t>Teclado cover /placa base</t>
  </si>
  <si>
    <t>COVER TECLADO/PLACA BASE</t>
  </si>
  <si>
    <t>POR ENTREGAR/BRAISIRIA,</t>
  </si>
  <si>
    <t>K010785</t>
  </si>
  <si>
    <t>5CG3131F00</t>
  </si>
  <si>
    <t>Reinicios Continuos</t>
  </si>
  <si>
    <t>N919926</t>
  </si>
  <si>
    <t>5CG0487Y6Y</t>
  </si>
  <si>
    <t>Reparar Carcasa</t>
  </si>
  <si>
    <t>N916828</t>
  </si>
  <si>
    <t>5CG0515SS8</t>
  </si>
  <si>
    <t>Sobrecalentamiento</t>
  </si>
  <si>
    <t>K040886</t>
  </si>
  <si>
    <t>5CG34444FN</t>
  </si>
  <si>
    <t>No enciende</t>
  </si>
  <si>
    <t>K010969</t>
  </si>
  <si>
    <t>5CG3131FNY</t>
  </si>
  <si>
    <t>K045024</t>
  </si>
  <si>
    <t>5CG4075DM7</t>
  </si>
  <si>
    <t>Disco Duro Ko</t>
  </si>
  <si>
    <t>N922582</t>
  </si>
  <si>
    <t>5CG0514H80</t>
  </si>
  <si>
    <t>GOLPE IZQ CARCASA</t>
  </si>
  <si>
    <t>5CG0514JX8</t>
  </si>
  <si>
    <t>PUERTO TIPO C  AVERIADO</t>
  </si>
  <si>
    <t>Revisado ok</t>
  </si>
  <si>
    <t>N989061</t>
  </si>
  <si>
    <t>5CG2073508</t>
  </si>
  <si>
    <t>PROBLEMA DE BIOS</t>
  </si>
  <si>
    <t>Revisado ok 05/01/2026</t>
  </si>
  <si>
    <t>NO FUNCIONA WIFI</t>
  </si>
  <si>
    <t>K037963</t>
  </si>
  <si>
    <t>5CG31335KD</t>
  </si>
  <si>
    <t>TECLADO AVERIADO</t>
  </si>
  <si>
    <t xml:space="preserve"> NO PROCEDE LA GARANTÍA POR ROTURA</t>
  </si>
  <si>
    <t>SUSTITUCION DE TECLADO COVER POR ROTURA NO PROCEDE LA GARANTÍA</t>
  </si>
  <si>
    <t>N874350</t>
  </si>
  <si>
    <t>5CG04638FR</t>
  </si>
  <si>
    <t>BATERIA/PLACA BASE</t>
  </si>
  <si>
    <t>BATERIA / PLACA BASE</t>
  </si>
  <si>
    <t>K043205</t>
  </si>
  <si>
    <t>5CG04638RY</t>
  </si>
  <si>
    <t>TECLADO AVERIADO /ERROR BIOS</t>
  </si>
  <si>
    <t>COVER TECLADO/PANTALLA / TAPA TRASERA LCD/BATERIA</t>
  </si>
  <si>
    <t>K054880</t>
  </si>
  <si>
    <t>5CG4321Y5V</t>
  </si>
  <si>
    <t>K010807</t>
  </si>
  <si>
    <t>5CG3131D7G</t>
  </si>
  <si>
    <t>Placa quemada,garantia</t>
  </si>
  <si>
    <t>Placa garantia</t>
  </si>
  <si>
    <t>PLACA BASE GARANTIA / TAPA TRASERA</t>
  </si>
  <si>
    <t>K043314</t>
  </si>
  <si>
    <t>5CG0514GCY</t>
  </si>
  <si>
    <t>Pendiente de meter precio de teclado</t>
  </si>
  <si>
    <t>N854253</t>
  </si>
  <si>
    <t>5CG03982T3</t>
  </si>
  <si>
    <t>FALLA  VENTILADOR</t>
  </si>
  <si>
    <t>K008968</t>
  </si>
  <si>
    <t>5CG3131D0D</t>
  </si>
  <si>
    <t>PANTALLA ROTA(Sin garantia)</t>
  </si>
  <si>
    <t>Cambio pantalla, NO PROCEDE LA GARANTÍA PANTALLA ROTA</t>
  </si>
  <si>
    <t>K040842</t>
  </si>
  <si>
    <t>5CG34444G6</t>
  </si>
  <si>
    <t>N917899</t>
  </si>
  <si>
    <t>5CG051GRQ</t>
  </si>
  <si>
    <t>DESPERFECTO EN EL CHASIS</t>
  </si>
  <si>
    <t xml:space="preserve"> COVER TECLAD / TAPA TRASERA</t>
  </si>
  <si>
    <t>N916864</t>
  </si>
  <si>
    <t>5CG0515SBJ</t>
  </si>
  <si>
    <t>Limpieza general,apretar bisagras,cambio cover</t>
  </si>
  <si>
    <t>K112545</t>
  </si>
  <si>
    <t>5CG0517HX3</t>
  </si>
  <si>
    <t>Fallo placa, para reparar</t>
  </si>
  <si>
    <t>PROBLEMAS CON LA PANTALLA</t>
  </si>
  <si>
    <t>PANTALLA/BATERIA</t>
  </si>
  <si>
    <t>K103960</t>
  </si>
  <si>
    <t>5CG5091T29</t>
  </si>
  <si>
    <t>PANTALLA ROTA NO PROCEDE LA GARANTÍA</t>
  </si>
  <si>
    <t>K054677</t>
  </si>
  <si>
    <t>5CG4321Y2Z</t>
  </si>
  <si>
    <t>ERROR EN UNIDAD DE ALMACENAMIENTO </t>
  </si>
  <si>
    <t>DISCO DURO /GARANTIA</t>
  </si>
  <si>
    <t>SOLICITAR DISCO DURO POR GARANTÍA</t>
  </si>
  <si>
    <t>K040856</t>
  </si>
  <si>
    <t>5CG34444FW</t>
  </si>
  <si>
    <t>K044852</t>
  </si>
  <si>
    <t>5CG35152Q4</t>
  </si>
  <si>
    <t>PANTALLA MAL</t>
  </si>
  <si>
    <t>K057447</t>
  </si>
  <si>
    <t>5CG4181SBZ</t>
  </si>
  <si>
    <t>N932290</t>
  </si>
  <si>
    <t>5CG12568CS</t>
  </si>
  <si>
    <t>TRACK PAD MOUSE</t>
  </si>
  <si>
    <t>GOMAS/TOUCHPAD</t>
  </si>
  <si>
    <t>TOUCHPAD / GOMAS</t>
  </si>
  <si>
    <t>K036930</t>
  </si>
  <si>
    <t>5CG3131GQ9</t>
  </si>
  <si>
    <t>FALLA CAMARA</t>
  </si>
  <si>
    <t>N998337</t>
  </si>
  <si>
    <t>5CG1514C86</t>
  </si>
  <si>
    <t>N953829</t>
  </si>
  <si>
    <t>5CG1281QW4</t>
  </si>
  <si>
    <t>N923924</t>
  </si>
  <si>
    <t>5CG047273C</t>
  </si>
  <si>
    <t>Cover teclado / Cover LCD / Bateria</t>
  </si>
  <si>
    <t>N977635</t>
  </si>
  <si>
    <t>5CG22733K5</t>
  </si>
  <si>
    <t>K050986</t>
  </si>
  <si>
    <t>5CG4321Y5Z</t>
  </si>
  <si>
    <t>cambio pantalla</t>
  </si>
  <si>
    <t>K041686</t>
  </si>
  <si>
    <t>5CG3522CYM</t>
  </si>
  <si>
    <t>USB-C ROTO</t>
  </si>
  <si>
    <t>K010667</t>
  </si>
  <si>
    <t>5CG3131FBS</t>
  </si>
  <si>
    <t>TRACK PAD MOUSE Y CAMARA</t>
  </si>
  <si>
    <t>K104064</t>
  </si>
  <si>
    <t>5CG5091T7S</t>
  </si>
  <si>
    <t>TECLAS ROTAS Y SOFT</t>
  </si>
  <si>
    <t>N926960</t>
  </si>
  <si>
    <t>5CG1080BVY</t>
  </si>
  <si>
    <t>BATERIA Y TAPAS</t>
  </si>
  <si>
    <t>BATERIA SUSTITUCION</t>
  </si>
  <si>
    <t>N924058</t>
  </si>
  <si>
    <t>5CG1072L5X</t>
  </si>
  <si>
    <t>LIGAS INF Y ERROR MAQUETA</t>
  </si>
  <si>
    <t>GOMAS /COVER PANTALLA</t>
  </si>
  <si>
    <t>N936401</t>
  </si>
  <si>
    <t>5CG2020VJ8</t>
  </si>
  <si>
    <t>FALTAN GOMAS/PANTALLA EN NEGRO</t>
  </si>
  <si>
    <t>K010549</t>
  </si>
  <si>
    <t>5CG3131FPF</t>
  </si>
  <si>
    <t>N922774</t>
  </si>
  <si>
    <t>5CG0514H72</t>
  </si>
  <si>
    <t>K112536</t>
  </si>
  <si>
    <t>Conector suelto de teclado</t>
  </si>
  <si>
    <t>N923731</t>
  </si>
  <si>
    <t>5CG047273W</t>
  </si>
  <si>
    <t>Cambio bateria</t>
  </si>
  <si>
    <t>N930952</t>
  </si>
  <si>
    <t>5CG1017MXB</t>
  </si>
  <si>
    <t>TECLAS A, E y U ROTAS</t>
  </si>
  <si>
    <t>N918945</t>
  </si>
  <si>
    <t>5CG0514FS5</t>
  </si>
  <si>
    <t>FALLO TECLAS</t>
  </si>
  <si>
    <t>K040834</t>
  </si>
  <si>
    <t>5CG34444GX</t>
  </si>
  <si>
    <t>NO ENCIENDE LA PANTALLA</t>
  </si>
  <si>
    <t>N918630</t>
  </si>
  <si>
    <t>5CG0517GDL</t>
  </si>
  <si>
    <t>COVER TECLADO/CARCASA TRASERA</t>
  </si>
  <si>
    <t>K049544</t>
  </si>
  <si>
    <t>5CG1041R72</t>
  </si>
  <si>
    <t>N917047</t>
  </si>
  <si>
    <t>5CG1072JWJ</t>
  </si>
  <si>
    <t>FALLA PUERTO</t>
  </si>
  <si>
    <t>Fallo usb-c,reparar placa base</t>
  </si>
  <si>
    <t>N933724</t>
  </si>
  <si>
    <t>5CG1254MSX</t>
  </si>
  <si>
    <t>K047940</t>
  </si>
  <si>
    <t>5CG10790HJ</t>
  </si>
  <si>
    <t>PANTALLA AZUL/FALLA TECLA SUPR</t>
  </si>
  <si>
    <t>Diagnostico: OK / Cambiar teclado</t>
  </si>
  <si>
    <t>N927953</t>
  </si>
  <si>
    <t>5CG1041H9R</t>
  </si>
  <si>
    <t>N932992</t>
  </si>
  <si>
    <t>5CG12568D0</t>
  </si>
  <si>
    <t>PLACA BASE /COVER TECLADO/GOMAS</t>
  </si>
  <si>
    <t>N929898</t>
  </si>
  <si>
    <t>TECLADO BORRADO</t>
  </si>
  <si>
    <t>K047962</t>
  </si>
  <si>
    <t>5CG046392J</t>
  </si>
  <si>
    <t>NO FUNCIONA BIEN NOTEPAD</t>
  </si>
  <si>
    <t>Remplazo touchpad</t>
  </si>
  <si>
    <t>N874483</t>
  </si>
  <si>
    <t>5CG04637X5</t>
  </si>
  <si>
    <t>cambio teclado</t>
  </si>
  <si>
    <t>K053923</t>
  </si>
  <si>
    <t>5CG4482RKC</t>
  </si>
  <si>
    <t>EQUIPO CARCASA ROTA, PAD ROTO, TECLADO ROTO</t>
  </si>
  <si>
    <t>N916857</t>
  </si>
  <si>
    <t>5CG0515SBW</t>
  </si>
  <si>
    <t>K036683</t>
  </si>
  <si>
    <t>5CG3131DQM</t>
  </si>
  <si>
    <t>CAMARA ROTA</t>
  </si>
  <si>
    <t>camara rota garantia</t>
  </si>
  <si>
    <t>K050438</t>
  </si>
  <si>
    <t>5CG046385X</t>
  </si>
  <si>
    <t>TECLAS N, 2, S Y OTRAS NO FUNCIONAN</t>
  </si>
  <si>
    <t>N927426</t>
  </si>
  <si>
    <t>5CG1072LL7</t>
  </si>
  <si>
    <t>NO TIENE LIGAS TAPA INFERIOR</t>
  </si>
  <si>
    <t>K045244</t>
  </si>
  <si>
    <t>5CG40753QW</t>
  </si>
  <si>
    <t>K040077</t>
  </si>
  <si>
    <t>5CG3300SRQ</t>
  </si>
  <si>
    <t>Pantalla rota</t>
  </si>
  <si>
    <t>K010811</t>
  </si>
  <si>
    <t>5CG3131FRV</t>
  </si>
  <si>
    <t xml:space="preserve">PANTALLA ROTA NO PROCEDE LA GARANTIA </t>
  </si>
  <si>
    <t>N934255</t>
  </si>
  <si>
    <t>5CG1254SDX</t>
  </si>
  <si>
    <t>REINICIOS CONSTANTES</t>
  </si>
  <si>
    <t>Cambio pasta / gomas</t>
  </si>
  <si>
    <t>GOMAS TAPA TRASERA</t>
  </si>
  <si>
    <t>K045336</t>
  </si>
  <si>
    <t>5CG40753Q6</t>
  </si>
  <si>
    <t>Reinicios Constantes</t>
  </si>
  <si>
    <t>K045191</t>
  </si>
  <si>
    <t>5CG407542C</t>
  </si>
  <si>
    <t>Fallan teclas de Función</t>
  </si>
  <si>
    <t>N874445</t>
  </si>
  <si>
    <t>5CG04638RR</t>
  </si>
  <si>
    <t>Faltan Teclas Teclado</t>
  </si>
  <si>
    <t>K008974</t>
  </si>
  <si>
    <t>5CG3131FP1</t>
  </si>
  <si>
    <t>N914291</t>
  </si>
  <si>
    <t>5CG0514GD9</t>
  </si>
  <si>
    <t>se repara</t>
  </si>
  <si>
    <t>N874423</t>
  </si>
  <si>
    <t>5CG04638CR</t>
  </si>
  <si>
    <t>Error BIOS</t>
  </si>
  <si>
    <t>CAMBIO DISCO / VENTILADOR/PLACA BASE</t>
  </si>
  <si>
    <t>K010706</t>
  </si>
  <si>
    <t>5CG3131D85</t>
  </si>
  <si>
    <t>No carga</t>
  </si>
  <si>
    <t>K054561</t>
  </si>
  <si>
    <t>5CG4321Y1N</t>
  </si>
  <si>
    <t>Pantalla Rota</t>
  </si>
  <si>
    <t>N916870</t>
  </si>
  <si>
    <t>5CG0515RYQ</t>
  </si>
  <si>
    <t>Tecla Espacio No funcions bien</t>
  </si>
  <si>
    <t>N923587</t>
  </si>
  <si>
    <t>5CG0472745</t>
  </si>
  <si>
    <t>N874519</t>
  </si>
  <si>
    <t>5CG047277Q</t>
  </si>
  <si>
    <t>N923702</t>
  </si>
  <si>
    <t>5CG04727L1</t>
  </si>
  <si>
    <t>Sustituir pantalla</t>
  </si>
  <si>
    <t>N922375</t>
  </si>
  <si>
    <t>BATERIA DAÑADA</t>
  </si>
  <si>
    <t>N922518</t>
  </si>
  <si>
    <t>5CG0517GRD</t>
  </si>
  <si>
    <t>DAÑO CARCASA</t>
  </si>
  <si>
    <t>N918658</t>
  </si>
  <si>
    <t>5CG0517H6N</t>
  </si>
  <si>
    <t>MOJADO</t>
  </si>
  <si>
    <t>N922477</t>
  </si>
  <si>
    <t>5CG0517HHF</t>
  </si>
  <si>
    <t>N924466</t>
  </si>
  <si>
    <t>5CG1070M50</t>
  </si>
  <si>
    <t>Fallo ventilador</t>
  </si>
  <si>
    <t>Ventilador de repuesto</t>
  </si>
  <si>
    <t>N929969</t>
  </si>
  <si>
    <t>5CG107908L</t>
  </si>
  <si>
    <t>PANTALLA ROTA/PLACA BASE/COVER TECLADO</t>
  </si>
  <si>
    <t>N921564</t>
  </si>
  <si>
    <t>5CG1119GFQ</t>
  </si>
  <si>
    <t>FALLA TABULADOR</t>
  </si>
  <si>
    <t xml:space="preserve">Teclado cover, bateria y gomas </t>
  </si>
  <si>
    <t>COVER TECLADO/BATERIA /GOMAS</t>
  </si>
  <si>
    <t>N947960</t>
  </si>
  <si>
    <t>5CG1254MSB</t>
  </si>
  <si>
    <t>GOMA DE LA CARCASA ROTA</t>
  </si>
  <si>
    <t>SUSTITUCION DE GOMAS</t>
  </si>
  <si>
    <t>GOMAS</t>
  </si>
  <si>
    <t>K030402</t>
  </si>
  <si>
    <t>5CG3080SCV</t>
  </si>
  <si>
    <t xml:space="preserve">CAMBIO DE PLACA BASE POR GARANTÍA </t>
  </si>
  <si>
    <t xml:space="preserve">PLACA BASE POR GARANTÍA </t>
  </si>
  <si>
    <t>K010820</t>
  </si>
  <si>
    <t>5CG3131FJV</t>
  </si>
  <si>
    <t>FALLA TECLA Q Y W</t>
  </si>
  <si>
    <t>K037274</t>
  </si>
  <si>
    <t>5CG3131GZD</t>
  </si>
  <si>
    <t>AGARRE DE PANTALLA FLOJA Y CARCASA GOLPE</t>
  </si>
  <si>
    <t>K036900</t>
  </si>
  <si>
    <t>5CG3131H15</t>
  </si>
  <si>
    <t>TECLA D DAÑADA</t>
  </si>
  <si>
    <t>K037614</t>
  </si>
  <si>
    <t>5CG31334R7</t>
  </si>
  <si>
    <t>Si</t>
  </si>
  <si>
    <t>Fallo touchpad</t>
  </si>
  <si>
    <t>Pedir pieza</t>
  </si>
  <si>
    <t>K040866</t>
  </si>
  <si>
    <t>5CG34444HR</t>
  </si>
  <si>
    <t>N989044</t>
  </si>
  <si>
    <t>5CG207359R</t>
  </si>
  <si>
    <t>K050967</t>
  </si>
  <si>
    <t>5CG4321Y9L</t>
  </si>
  <si>
    <t>K045267</t>
  </si>
  <si>
    <t>5CG4075531</t>
  </si>
  <si>
    <t>FALLO EN UNIDAD DE ALMACENAMIENTO</t>
  </si>
  <si>
    <t>K048221</t>
  </si>
  <si>
    <t>5CG1083MF6</t>
  </si>
  <si>
    <t>Equipo golpeado | Teclado con bisagras arrancadas/Placa dañada / Pantalla marcada</t>
  </si>
  <si>
    <t>N924007</t>
  </si>
  <si>
    <t>5CG047279D</t>
  </si>
  <si>
    <t>K110577</t>
  </si>
  <si>
    <t>5CG04638D7</t>
  </si>
  <si>
    <t>FALLA CARGA USB</t>
  </si>
  <si>
    <t>K056179</t>
  </si>
  <si>
    <t>5CG4081R3D</t>
  </si>
  <si>
    <t>K050403</t>
  </si>
  <si>
    <t>5CG1017PS9</t>
  </si>
  <si>
    <t>Bateria 70%</t>
  </si>
  <si>
    <t>K037117</t>
  </si>
  <si>
    <t>5CG3131HF7</t>
  </si>
  <si>
    <t>REINICIOS CONSTANTES /PANTALLA AVERIADA</t>
  </si>
  <si>
    <t>N988394</t>
  </si>
  <si>
    <t>5CG22036SF</t>
  </si>
  <si>
    <t>k037284</t>
  </si>
  <si>
    <t>5CG3131CX9</t>
  </si>
  <si>
    <t>Cambiar teclado</t>
  </si>
  <si>
    <t>n922396</t>
  </si>
  <si>
    <t>5CG0517FYH</t>
  </si>
  <si>
    <t>DAÑO FISICO EN LA CARCASA (BISAGRA PLIEGUE)</t>
  </si>
  <si>
    <t>N922253</t>
  </si>
  <si>
    <t>5CG0514GQY</t>
  </si>
  <si>
    <t>SOBRECALENTAMIENTO (FALLO EN EL SIS DE VENTILACIÓN)</t>
  </si>
  <si>
    <t>K059947</t>
  </si>
  <si>
    <t>5CG4250KTX</t>
  </si>
  <si>
    <t>K040101</t>
  </si>
  <si>
    <t>5CG3300WH9</t>
  </si>
  <si>
    <t>Hp 845 G9</t>
  </si>
  <si>
    <t>Reinicios. Sobrecalentamiento</t>
  </si>
  <si>
    <t>K010633</t>
  </si>
  <si>
    <t>5CG3131DZ2</t>
  </si>
  <si>
    <t>Fallo de puertos</t>
  </si>
  <si>
    <t>Hp 435 G9</t>
  </si>
  <si>
    <t>Pantalla dañada/ NO PROCEDE LA GARANTÍA POR ROTURA</t>
  </si>
  <si>
    <t xml:space="preserve">COVER PANTALLA </t>
  </si>
  <si>
    <t>k050539</t>
  </si>
  <si>
    <t>HP 845 g7</t>
  </si>
  <si>
    <t>Reinicio + Carcasa</t>
  </si>
  <si>
    <t>K028173</t>
  </si>
  <si>
    <t>5CG3021J7C</t>
  </si>
  <si>
    <t>Pantalla reparada faltan gomas de tapa</t>
  </si>
  <si>
    <t xml:space="preserve">PANTALLA/ CARCASA TRASERA </t>
  </si>
  <si>
    <t>N933375</t>
  </si>
  <si>
    <t>5CG12568QH</t>
  </si>
  <si>
    <t>PLACA BASE / GOMAS</t>
  </si>
  <si>
    <t>N914474</t>
  </si>
  <si>
    <t>5CG0514HVK</t>
  </si>
  <si>
    <t>PUERTO C AVERIADO</t>
  </si>
  <si>
    <t>K028021</t>
  </si>
  <si>
    <t>5CG3020QVD</t>
  </si>
  <si>
    <t>REPARAR PUERTO USB-C DAÑADO</t>
  </si>
  <si>
    <t>Reparar placa</t>
  </si>
  <si>
    <t>Gran Vía de les Corts Catalanes 159, planta 1. 08015</t>
  </si>
  <si>
    <t>K037112</t>
  </si>
  <si>
    <t>5CG3131G05</t>
  </si>
  <si>
    <t>TECLA A Y 1 A VECES NO FUNCIONAN</t>
  </si>
  <si>
    <t>Gran Vía de les Corts Catalanes 159, planta 1. 08016</t>
  </si>
  <si>
    <t>K103925</t>
  </si>
  <si>
    <t>5CG5091T84</t>
  </si>
  <si>
    <t>SUENA TAPA INFERIOR</t>
  </si>
  <si>
    <t>Gran Vía de les Corts Catalanes 159, planta 1. 08017</t>
  </si>
  <si>
    <t>N923694</t>
  </si>
  <si>
    <t>5CG047277C</t>
  </si>
  <si>
    <t>CARCASA INFERIOR ROTA</t>
  </si>
  <si>
    <t xml:space="preserve">TAPA TRASERA LCD </t>
  </si>
  <si>
    <t>Gran Vía de les Corts Catalanes 159, planta 1. 08018</t>
  </si>
  <si>
    <t>N917699</t>
  </si>
  <si>
    <t>5CG0515RB3</t>
  </si>
  <si>
    <t>Gran Vía de les Corts Catalanes 159, planta 1. 08019</t>
  </si>
  <si>
    <t>N923899</t>
  </si>
  <si>
    <t>5CG047273L</t>
  </si>
  <si>
    <t>TECLADO DUPLICA LETRAS</t>
  </si>
  <si>
    <t>Gran Vía de les Corts Catalanes 159, planta 1. 08020</t>
  </si>
  <si>
    <t>N922403</t>
  </si>
  <si>
    <t>5CG0517J1W</t>
  </si>
  <si>
    <t>Gran Vía de les Corts Catalanes 159, planta 1. 08021</t>
  </si>
  <si>
    <t>N873716</t>
  </si>
  <si>
    <t>5CG1017RNW</t>
  </si>
  <si>
    <t>FALLA ALTAVOCES, LENTITUD SISTEMA, TAPA DAÑADA EN LAS ESQUINAS</t>
  </si>
  <si>
    <t>Gran Vía de les Corts Catalanes 159, planta 1. 08022</t>
  </si>
  <si>
    <t>N922841</t>
  </si>
  <si>
    <t>5CG0514GZ2</t>
  </si>
  <si>
    <t>USB C NO FUNCIONA CORRECTAMENTE, REPARACION DE PLACA BASE</t>
  </si>
  <si>
    <t>Gran Vía de les Corts Catalanes 159, planta 1. 08023</t>
  </si>
  <si>
    <t>N978095</t>
  </si>
  <si>
    <t>5CG2201VGB</t>
  </si>
  <si>
    <t>PANTALLA ROTA Y COVER TECLADO GOLPEADO</t>
  </si>
  <si>
    <t xml:space="preserve">SE SUSTITUYE COVER PANTALLA Y COVER TECLADO </t>
  </si>
  <si>
    <t>COVER PANTALLA/COVER TECLADO</t>
  </si>
  <si>
    <t>N918541</t>
  </si>
  <si>
    <t>5CG0514H0V</t>
  </si>
  <si>
    <t>TECLA CONTROL ROTA</t>
  </si>
  <si>
    <t>K103956</t>
  </si>
  <si>
    <t>5CG5091T00</t>
  </si>
  <si>
    <t>N953936</t>
  </si>
  <si>
    <t>5CG1281Q4W</t>
  </si>
  <si>
    <t>ABOLLADURA LATERAL NO PLATAFORMA</t>
  </si>
  <si>
    <t>K006038</t>
  </si>
  <si>
    <t>CND24001N0</t>
  </si>
  <si>
    <t>TECLAS SUELTAS</t>
  </si>
  <si>
    <t xml:space="preserve">SUSTITUCION DE TECLADO / NO PASA GARANTÍA </t>
  </si>
  <si>
    <t>SUSTITUYE TECLADO Y NO PROCEDE LA GARANTÍA POR ROTURA</t>
  </si>
  <si>
    <t>K006032</t>
  </si>
  <si>
    <t>CND24001MZ</t>
  </si>
  <si>
    <t>N871739</t>
  </si>
  <si>
    <t>5CG1095F52</t>
  </si>
  <si>
    <t>FALLO DISCO DURO Y FALLO TARJETA WIFI</t>
  </si>
  <si>
    <t>Revisado wifi ok / disco duro cambiado</t>
  </si>
  <si>
    <t>N917525</t>
  </si>
  <si>
    <t>5CG0517DQL</t>
  </si>
  <si>
    <t>AGUA VERTIDA EN LA PANTALLA</t>
  </si>
  <si>
    <t>N917984</t>
  </si>
  <si>
    <t>5CG0514HHQ</t>
  </si>
  <si>
    <t>SOBRECALENTAMIENTO HASTA APAGARSE CONTINUO</t>
  </si>
  <si>
    <t>N918573</t>
  </si>
  <si>
    <t>5CG0517FMM</t>
  </si>
  <si>
    <t>NO RECONOCE DISCO DURO FALLA HDD</t>
  </si>
  <si>
    <t>N923677</t>
  </si>
  <si>
    <t>5CG04727F4</t>
  </si>
  <si>
    <t>TECLA I ROTA TECLADO</t>
  </si>
  <si>
    <t>Reparado tecla + gomas</t>
  </si>
  <si>
    <t>N926301</t>
  </si>
  <si>
    <t>5CG10158NH</t>
  </si>
  <si>
    <t>PANTALLA ROTA Y BATERIA DAÑADA</t>
  </si>
  <si>
    <t>N920412</t>
  </si>
  <si>
    <t>5CG1012Q1L</t>
  </si>
  <si>
    <t>CONEXIÓN USB-C CON HOLGURA</t>
  </si>
  <si>
    <t>N922787</t>
  </si>
  <si>
    <t>5CG0514H0W</t>
  </si>
  <si>
    <t>TECLA "O" SUELTA</t>
  </si>
  <si>
    <t>N918531</t>
  </si>
  <si>
    <t>5CG0514GCN</t>
  </si>
  <si>
    <t>GOLPE ESQUINA Y TAPA INFERIOR ABOLLADA</t>
  </si>
  <si>
    <t>N981986</t>
  </si>
  <si>
    <t>5CG2312BPM</t>
  </si>
  <si>
    <t>PANTALLA ABIERTA</t>
  </si>
  <si>
    <t>Tornillo tapa sueltos</t>
  </si>
  <si>
    <t>K028129</t>
  </si>
  <si>
    <t>5CG3021J6S</t>
  </si>
  <si>
    <t>NO ENCIENDE, PANTALLA ROTA</t>
  </si>
  <si>
    <t>N982004</t>
  </si>
  <si>
    <t>5CG2312BNR</t>
  </si>
  <si>
    <t>SCAMBIO DE PANTALLA / FLESH DE VIDEO</t>
  </si>
  <si>
    <t>N922840</t>
  </si>
  <si>
    <t>5CG0514GS9</t>
  </si>
  <si>
    <t>ROTURA EMBELLECEDOR VISAGRA</t>
  </si>
  <si>
    <t>N916774</t>
  </si>
  <si>
    <t>5CG0517GDW</t>
  </si>
  <si>
    <t>TOUCHPAD ROTO</t>
  </si>
  <si>
    <t>BATERIA /COVER LCD</t>
  </si>
  <si>
    <t>X</t>
  </si>
  <si>
    <t>K053469</t>
  </si>
  <si>
    <t>5CG0514G42</t>
  </si>
  <si>
    <t>FALLA TECLADO NO PUEDES ESCRIBIR</t>
  </si>
  <si>
    <t>K112578</t>
  </si>
  <si>
    <t>5CG0517H6V</t>
  </si>
  <si>
    <t>NO ENCIENDE, ARRANCA, PERO NO MUESTRA NADA</t>
  </si>
  <si>
    <t>N918564</t>
  </si>
  <si>
    <t>5CG0517FPC</t>
  </si>
  <si>
    <t>N916972</t>
  </si>
  <si>
    <t>5CG0517GY9</t>
  </si>
  <si>
    <t>NO PASA DE LA PANTALLA DE BIOS</t>
  </si>
  <si>
    <t>N997070</t>
  </si>
  <si>
    <t>5CG1511BF0</t>
  </si>
  <si>
    <t>FALLO CARGA BATERIA</t>
  </si>
  <si>
    <t>N943601</t>
  </si>
  <si>
    <t>5CG127C32X</t>
  </si>
  <si>
    <t>N874451</t>
  </si>
  <si>
    <t>5CG046386W</t>
  </si>
  <si>
    <t>FALLO GENERALIZADO DE TECLADO</t>
  </si>
  <si>
    <t>N923676</t>
  </si>
  <si>
    <t>5CG047275V</t>
  </si>
  <si>
    <t>K040074</t>
  </si>
  <si>
    <t>5CG3300WLP</t>
  </si>
  <si>
    <t>TECLADO NO FUNCIONA</t>
  </si>
  <si>
    <t>N930291</t>
  </si>
  <si>
    <t>5CG1083P19</t>
  </si>
  <si>
    <t>N873786</t>
  </si>
  <si>
    <t>5CG1017Q75</t>
  </si>
  <si>
    <t>N989117</t>
  </si>
  <si>
    <t>5CG2073LFK</t>
  </si>
  <si>
    <t>N918874</t>
  </si>
  <si>
    <t>5CG0517FCQ</t>
  </si>
  <si>
    <t>NO INICIA</t>
  </si>
  <si>
    <t>K045396</t>
  </si>
  <si>
    <t>5CG40753RD</t>
  </si>
  <si>
    <t>TECLADO AVERIADO (H/W)FALLO</t>
  </si>
  <si>
    <t>K037282</t>
  </si>
  <si>
    <t>5CG3131FRT</t>
  </si>
  <si>
    <t>REINICIOS AUTOMATICOS</t>
  </si>
  <si>
    <t>FLESH DE VIDEO HUMEDO ( NO PASA GARANTÍA )</t>
  </si>
  <si>
    <t>K010908</t>
  </si>
  <si>
    <t>5CG3131CY1</t>
  </si>
  <si>
    <t>N873840</t>
  </si>
  <si>
    <t>5CG1017MY0</t>
  </si>
  <si>
    <t>N916918</t>
  </si>
  <si>
    <t>5CG0517GFW</t>
  </si>
  <si>
    <t>NO FUNCIONA CAMARA/LECTOR DE HUELLAS</t>
  </si>
  <si>
    <t>MARCO DE PANTALLA Y BATERIA</t>
  </si>
  <si>
    <t>N923984</t>
  </si>
  <si>
    <t>5CG04727B9</t>
  </si>
  <si>
    <t>N989108</t>
  </si>
  <si>
    <t>5CG2073KKL</t>
  </si>
  <si>
    <t>COVER TECLADO / MARCO DE PANTALLA/PANTALLA</t>
  </si>
  <si>
    <t>N989202</t>
  </si>
  <si>
    <t>5CG2073L58</t>
  </si>
  <si>
    <t>FALLO EN EL SISTEMA DE REFRIGERACIÓN (SE SOBRE CALIENTA)</t>
  </si>
  <si>
    <t>PLACA BASE / GOMAS/ Bateria / Fan</t>
  </si>
  <si>
    <t>N930337</t>
  </si>
  <si>
    <t>5CG1083N45</t>
  </si>
  <si>
    <t>NO FUNCIONA TACTIL, DESPERFECTO ESTETICO EN EL CHASIS</t>
  </si>
  <si>
    <t>COVER TECLADO/GOMAS</t>
  </si>
  <si>
    <t>N923629</t>
  </si>
  <si>
    <t>5CG047275K</t>
  </si>
  <si>
    <t>K040098</t>
  </si>
  <si>
    <t>5CG3300WNS</t>
  </si>
  <si>
    <t>TECLADO AVERIADO (G,R,_´)</t>
  </si>
  <si>
    <t>K037213</t>
  </si>
  <si>
    <t>5CG3131GYZ</t>
  </si>
  <si>
    <t>N989151</t>
  </si>
  <si>
    <t>5CG2073KKP</t>
  </si>
  <si>
    <t>FALLA PUERTOS USB</t>
  </si>
  <si>
    <t>K036732</t>
  </si>
  <si>
    <t>5CG3131DRP</t>
  </si>
  <si>
    <t>K038287</t>
  </si>
  <si>
    <t>5CG3300WK7</t>
  </si>
  <si>
    <t>TECLADO AVERIADO </t>
  </si>
  <si>
    <t>N914347</t>
  </si>
  <si>
    <t>5CG0514FSC</t>
  </si>
  <si>
    <t>DAÑO CARCASA/PANTALLA ROTA</t>
  </si>
  <si>
    <t>K113956</t>
  </si>
  <si>
    <t>5CG0514HT2</t>
  </si>
  <si>
    <t>NO ENCIENDE LA PANTALLA, PERO SI PROYECTA</t>
  </si>
  <si>
    <t>Fallo conector,solucionado</t>
  </si>
  <si>
    <t>N873583</t>
  </si>
  <si>
    <t>5CG1017RNB</t>
  </si>
  <si>
    <t xml:space="preserve">PANTALLA ROTA  /COVER TECLADO /MARCO LCD              .                  </t>
  </si>
  <si>
    <t>N942317</t>
  </si>
  <si>
    <t>5CG2119HJF</t>
  </si>
  <si>
    <t xml:space="preserve">     </t>
  </si>
  <si>
    <t>N873767</t>
  </si>
  <si>
    <t>5CG1017QLY</t>
  </si>
  <si>
    <t>N945708</t>
  </si>
  <si>
    <t>5CG1254S2C</t>
  </si>
  <si>
    <t>FUERA DE PLATAFORMA/NO FUNCIONA TECLADO/COVER DAÑADA</t>
  </si>
  <si>
    <t>EL TECLADO FUNCIONA CORRECTAMEMTE, SE DEBE CAMBIAR GOMAS</t>
  </si>
  <si>
    <t>K057598</t>
  </si>
  <si>
    <t>5CG4181C0F</t>
  </si>
  <si>
    <t xml:space="preserve">TOUCHPAD GARANTÍA </t>
  </si>
  <si>
    <t>N923960</t>
  </si>
  <si>
    <t>5CG04727J7</t>
  </si>
  <si>
    <t>BATERIA HINCHADA</t>
  </si>
  <si>
    <t>Bateria + cover trasero</t>
  </si>
  <si>
    <t>N914040</t>
  </si>
  <si>
    <t>5CG0514JXN</t>
  </si>
  <si>
    <t>N947567</t>
  </si>
  <si>
    <t>5CG1257XDJ</t>
  </si>
  <si>
    <t>COVER PANTALLA /GOMAS</t>
  </si>
  <si>
    <t xml:space="preserve">COVER PANTALLA / GOMAS </t>
  </si>
  <si>
    <t>K112606</t>
  </si>
  <si>
    <t>5CG1257X4P</t>
  </si>
  <si>
    <t>NO ARRANCA WINDOWS DESPUES DE MAQUETAR/COVER DAÑADA</t>
  </si>
  <si>
    <t>K010562</t>
  </si>
  <si>
    <t>5CG3131F7T</t>
  </si>
  <si>
    <t>K113561</t>
  </si>
  <si>
    <t>5CG0517FNY</t>
  </si>
  <si>
    <t>TECLA E ROTA/COVER DAÑADO</t>
  </si>
  <si>
    <t>N929956</t>
  </si>
  <si>
    <t>5CG10790HF</t>
  </si>
  <si>
    <t>PANTALLA ROTA/COVER DAÑADA</t>
  </si>
  <si>
    <t>N922412</t>
  </si>
  <si>
    <t>5CG0517HYT</t>
  </si>
  <si>
    <t>N914238</t>
  </si>
  <si>
    <t>5CG0515T65</t>
  </si>
  <si>
    <t>Reparacion de placa base</t>
  </si>
  <si>
    <t>K057230</t>
  </si>
  <si>
    <t>5CG4194B6F</t>
  </si>
  <si>
    <t>N932988</t>
  </si>
  <si>
    <t>5CG1255V1N</t>
  </si>
  <si>
    <t>FALLA TECLADO PORQUE LE HA CAIDO CAFE/ COVER DAÑADA</t>
  </si>
  <si>
    <t>K056931</t>
  </si>
  <si>
    <t>5CG42348NY</t>
  </si>
  <si>
    <t>FALTA TECLA L</t>
  </si>
  <si>
    <t>COVER TECLADO SE SUSTITUYE SIN LA GARANTÍA POR ROTURA</t>
  </si>
  <si>
    <t>COVER TECLADO NO PROCEDE GARNTIA POR ROTURA</t>
  </si>
  <si>
    <t>K045075</t>
  </si>
  <si>
    <t>5CG40753YW</t>
  </si>
  <si>
    <t>ERROR DISCODURO</t>
  </si>
  <si>
    <t>GARANTIA DISCO DURO DAÑADO</t>
  </si>
  <si>
    <t>N929992</t>
  </si>
  <si>
    <t>5CG10792LJ</t>
  </si>
  <si>
    <t>SOBRECALENTAMIENTO/FALLO BATERIA/COVER GOLPEADO</t>
  </si>
  <si>
    <t xml:space="preserve">                          </t>
  </si>
  <si>
    <t>N917792</t>
  </si>
  <si>
    <t>5CG0515TTJ</t>
  </si>
  <si>
    <t>APAGADOS CONTINUOS/SOBRECALENTAMIENTO/NO MAQUETA</t>
  </si>
  <si>
    <t>K044954</t>
  </si>
  <si>
    <t>5CG4075CQQ</t>
  </si>
  <si>
    <t xml:space="preserve">CAMBIAR PANTALLA </t>
  </si>
  <si>
    <t>N922855</t>
  </si>
  <si>
    <t>5CG10189NB</t>
  </si>
  <si>
    <t>NO FUNCIONA CAMARA</t>
  </si>
  <si>
    <t>K036780</t>
  </si>
  <si>
    <t>5CG3131D1B</t>
  </si>
  <si>
    <t>PAD HUNDIDO</t>
  </si>
  <si>
    <t>Desmontado y todo ok</t>
  </si>
  <si>
    <t xml:space="preserve">NO PROCEDE LA GARANTIA EL TOUCHPAD ESTA ROTO FISICO </t>
  </si>
  <si>
    <t>N843155</t>
  </si>
  <si>
    <t>5CG1027R4Y</t>
  </si>
  <si>
    <t>TECLADO ROTO, CARCASA ESQUINAS ROTA, BITLOCKER</t>
  </si>
  <si>
    <t>K051019</t>
  </si>
  <si>
    <t>5CG4321Y5P</t>
  </si>
  <si>
    <t xml:space="preserve">ESTADO DE BATERIA 97 % , VERIFICACION DE CARGA EN BUEN ESTADO </t>
  </si>
  <si>
    <t>SI PROCEDE LA GARANTÍA</t>
  </si>
  <si>
    <t>K110578</t>
  </si>
  <si>
    <t>TIENE DOBLE TECLA M</t>
  </si>
  <si>
    <t>Reponer tecla</t>
  </si>
  <si>
    <t>Se pone tecla que falta de repuestos</t>
  </si>
  <si>
    <t>N922414</t>
  </si>
  <si>
    <t>5CG0517HND</t>
  </si>
  <si>
    <t>Bateria 82%</t>
  </si>
  <si>
    <t>K043204</t>
  </si>
  <si>
    <t>5CG2073KRJ</t>
  </si>
  <si>
    <t>PUERTOS USB-C FLOJOS, SE DESCONECTA</t>
  </si>
  <si>
    <t>K040028</t>
  </si>
  <si>
    <t>5CG3300WP0</t>
  </si>
  <si>
    <t>NO FUNCIONA TECLADO, DUPLICA TECLAS</t>
  </si>
  <si>
    <t>N873579</t>
  </si>
  <si>
    <t>5CG1017RFW</t>
  </si>
  <si>
    <t>CARCASA INFERIOR DAÑADA GOLPES</t>
  </si>
  <si>
    <t>Cambiada</t>
  </si>
  <si>
    <t xml:space="preserve">Se le cambio la caracasa inferior </t>
  </si>
  <si>
    <t>CARCASA INFERIOR</t>
  </si>
  <si>
    <t>K010921</t>
  </si>
  <si>
    <t>5CG3131CVX</t>
  </si>
  <si>
    <t>FALLA BATERIA, PUERTOS USB-C FALLAN</t>
  </si>
  <si>
    <t>N926076</t>
  </si>
  <si>
    <t>5CG1011HPG</t>
  </si>
  <si>
    <t>LIGAS TAPA INFERIOR, NO FUNCIONAN PUERTOS</t>
  </si>
  <si>
    <t>K045304</t>
  </si>
  <si>
    <t>5CG4075492</t>
  </si>
  <si>
    <t>Bateria Hinchada</t>
  </si>
  <si>
    <t>Bateria ok / Equipo golpeado bateria fuera de sitio / Cover teclado y tapa trasera</t>
  </si>
  <si>
    <t>N922358</t>
  </si>
  <si>
    <t>5CG0517GFJ</t>
  </si>
  <si>
    <t>Hp 845 g7</t>
  </si>
  <si>
    <t>Fallo HD</t>
  </si>
  <si>
    <t>N989179</t>
  </si>
  <si>
    <t>5CG2073L44</t>
  </si>
  <si>
    <t>Hp 845 g8</t>
  </si>
  <si>
    <t>N875646</t>
  </si>
  <si>
    <t>5CG1095DLY</t>
  </si>
  <si>
    <t>Fallo Boton Encendido</t>
  </si>
  <si>
    <t>N874146</t>
  </si>
  <si>
    <t>5CG046376Z</t>
  </si>
  <si>
    <t>Teclas saltadas\Gomas de Base</t>
  </si>
  <si>
    <t>Cambio cover teclado + gomas</t>
  </si>
  <si>
    <t>COVER TECLADO / GOMA INFERIOR</t>
  </si>
  <si>
    <t>N922086</t>
  </si>
  <si>
    <t>5CG0515RYR</t>
  </si>
  <si>
    <t>Teclas saltadas</t>
  </si>
  <si>
    <t>Cambio cover teclado</t>
  </si>
  <si>
    <t>K104311</t>
  </si>
  <si>
    <t>5CG5091T0F</t>
  </si>
  <si>
    <t>Hp 845 g11</t>
  </si>
  <si>
    <t>cambio cover teclado</t>
  </si>
  <si>
    <t>K010813</t>
  </si>
  <si>
    <t>5CG3131FSY</t>
  </si>
  <si>
    <t>HP 845 g9</t>
  </si>
  <si>
    <t>No funciona Q,A,Z</t>
  </si>
  <si>
    <t>Teclado garantia</t>
  </si>
  <si>
    <t>K040035</t>
  </si>
  <si>
    <t>5CG3300WJX</t>
  </si>
  <si>
    <t>Falla 5, 6</t>
  </si>
  <si>
    <t>K042678</t>
  </si>
  <si>
    <t>5CG046378B</t>
  </si>
  <si>
    <t>No funciona C,V,B,N,M</t>
  </si>
  <si>
    <t>Diagnostico OK</t>
  </si>
  <si>
    <t>K008890</t>
  </si>
  <si>
    <t>5CG3131GPW</t>
  </si>
  <si>
    <t>Pantalla KO</t>
  </si>
  <si>
    <t>Pantalla rota / cover roto / carcasa rota</t>
  </si>
  <si>
    <t>Pantalla cambiada, falta cover</t>
  </si>
  <si>
    <t>N922220</t>
  </si>
  <si>
    <t>5CG0514H0S</t>
  </si>
  <si>
    <t>Gomas, Fallo de BIOS</t>
  </si>
  <si>
    <t>K010828</t>
  </si>
  <si>
    <t>5CG3131CVH</t>
  </si>
  <si>
    <t>Fallo Touchpad</t>
  </si>
  <si>
    <t>K028024</t>
  </si>
  <si>
    <t>5CG3020QV0</t>
  </si>
  <si>
    <t>hp 435</t>
  </si>
  <si>
    <t>TACTIL NO FUNCIONA</t>
  </si>
  <si>
    <t>COMENZANDO 2026/01</t>
  </si>
  <si>
    <t>N956383</t>
  </si>
  <si>
    <t>5CG1332J1G</t>
  </si>
  <si>
    <t>hp 845 G7</t>
  </si>
  <si>
    <t>FALLA TECLA A</t>
  </si>
  <si>
    <t>N923858</t>
  </si>
  <si>
    <t>5CG04727J6</t>
  </si>
  <si>
    <t>FALLA BATERIA/TECLADO</t>
  </si>
  <si>
    <t>K104021</t>
  </si>
  <si>
    <t>5CG5091T5M</t>
  </si>
  <si>
    <t>hp 845 G11</t>
  </si>
  <si>
    <t>K053465</t>
  </si>
  <si>
    <t>5CG3131CTG</t>
  </si>
  <si>
    <t>hp 845 G9</t>
  </si>
  <si>
    <t>FALLA ALGUNAS TECLAS</t>
  </si>
  <si>
    <t>K045197</t>
  </si>
  <si>
    <t>5CG4075544</t>
  </si>
  <si>
    <t>hp 845 G10</t>
  </si>
  <si>
    <t>N922311</t>
  </si>
  <si>
    <t>5CG0515R9B</t>
  </si>
  <si>
    <t>N874514</t>
  </si>
  <si>
    <t>5CG047278B</t>
  </si>
  <si>
    <t>K112535</t>
  </si>
  <si>
    <t>K057093</t>
  </si>
  <si>
    <t>5CG4194KLB</t>
  </si>
  <si>
    <t>N923689</t>
  </si>
  <si>
    <t>5CG04727KQ</t>
  </si>
  <si>
    <t>N918557</t>
  </si>
  <si>
    <t>5CG0514GZ1</t>
  </si>
  <si>
    <t>N914029</t>
  </si>
  <si>
    <t>5CG0514K6C</t>
  </si>
  <si>
    <t>K110911</t>
  </si>
  <si>
    <t>5CG1041JM1</t>
  </si>
  <si>
    <t>hp 435 G7</t>
  </si>
  <si>
    <t>N926039</t>
  </si>
  <si>
    <t>5CG1011JQX</t>
  </si>
  <si>
    <t>ERROR WINDOWS</t>
  </si>
  <si>
    <t>N917974</t>
  </si>
  <si>
    <t>5CG0517HGD</t>
  </si>
  <si>
    <t>N923867</t>
  </si>
  <si>
    <t>5CG04727DQ</t>
  </si>
  <si>
    <t>K008893</t>
  </si>
  <si>
    <t>5CG3131FPD</t>
  </si>
  <si>
    <t>TECLA R y A ROTAS</t>
  </si>
  <si>
    <t>K010593</t>
  </si>
  <si>
    <t>5CG3131FKF</t>
  </si>
  <si>
    <t>APAGADOS CONTINUOS </t>
  </si>
  <si>
    <t>N918716</t>
  </si>
  <si>
    <t>5CG0517F2K</t>
  </si>
  <si>
    <t>N914041</t>
  </si>
  <si>
    <t>5CG0514JYS</t>
  </si>
  <si>
    <t>PUERTO USB DAÑADO/CARCASA ROTA</t>
  </si>
  <si>
    <t>N998703</t>
  </si>
  <si>
    <t>5CG1518B0L</t>
  </si>
  <si>
    <t>hp 435 G8</t>
  </si>
  <si>
    <t>K058389</t>
  </si>
  <si>
    <t>5CG4181S36</t>
  </si>
  <si>
    <t>FALLA TOUCHPAD/TECLADO</t>
  </si>
  <si>
    <t>K116909</t>
  </si>
  <si>
    <t>LA TECLA "0" MARCA EL "1". "_", "&gt;" Y "&lt;" ESTÁN CAMBIADOS</t>
  </si>
  <si>
    <t>VOLVEMOS A ENVIAR A INFOSER ( SE HA SOLUCIONADO ESTA PARA ENTREGARLO)</t>
  </si>
  <si>
    <t>VOLVEMOS A ENVIAR A INFOSER (EN ESPERA DE UN NUEVO TECLADO COVER)</t>
  </si>
  <si>
    <t>K116902</t>
  </si>
  <si>
    <t>NO ENCIENDE NI CARGA BATERÍA</t>
  </si>
  <si>
    <t>VOLVEMOS A ENVIAR A INFOSER</t>
  </si>
  <si>
    <t>K116910</t>
  </si>
  <si>
    <t>N930601</t>
  </si>
  <si>
    <t>5CG0520724</t>
  </si>
  <si>
    <t>PANTALLA ROTA Y TECLA "V" KO</t>
  </si>
  <si>
    <t>FALLA HDMI</t>
  </si>
  <si>
    <t>N917608</t>
  </si>
  <si>
    <t>5CG0515SMG</t>
  </si>
  <si>
    <t>PANTALLA Y TECLADO KO. GOLPES LATERALES</t>
  </si>
  <si>
    <t>K110580</t>
  </si>
  <si>
    <t>5CG0517HXG</t>
  </si>
  <si>
    <t>TOUCHPAD KO</t>
  </si>
  <si>
    <t>K057752</t>
  </si>
  <si>
    <t>5CG4181BZJ</t>
  </si>
  <si>
    <t>PUERTOS KO USB Y USB-C</t>
  </si>
  <si>
    <t>N976079</t>
  </si>
  <si>
    <t>5CG2072GVQ</t>
  </si>
  <si>
    <t>hp 845 G8</t>
  </si>
  <si>
    <t>IMAGEN CONGELADA AL ENCEDER</t>
  </si>
  <si>
    <t>K010674</t>
  </si>
  <si>
    <t>5CG3131F68</t>
  </si>
  <si>
    <t>N916830</t>
  </si>
  <si>
    <t>5CG0515SML</t>
  </si>
  <si>
    <t>GOLPES CARCASA Y LATERALES. REINICIO CONTINUO</t>
  </si>
  <si>
    <t>K036761</t>
  </si>
  <si>
    <t>5CG3131DXT</t>
  </si>
  <si>
    <t>N873692</t>
  </si>
  <si>
    <t>5CG1017NZB</t>
  </si>
  <si>
    <t>PANTALLA MOVIL</t>
  </si>
  <si>
    <t>N873555</t>
  </si>
  <si>
    <t>5CG1017MXR</t>
  </si>
  <si>
    <t>GOLPES CARCASA Y LATERALES</t>
  </si>
  <si>
    <t>N923742</t>
  </si>
  <si>
    <t>5CG04727JF</t>
  </si>
  <si>
    <t>FALTA TECLA/GOLPE LATERAL</t>
  </si>
  <si>
    <t>K057732</t>
  </si>
  <si>
    <t>5CG4181BZF</t>
  </si>
  <si>
    <t>N927255</t>
  </si>
  <si>
    <t>5CG10735OT</t>
  </si>
  <si>
    <t>EQUIPO MOJADO</t>
  </si>
  <si>
    <t>N934248</t>
  </si>
  <si>
    <t>5CG1255RS3</t>
  </si>
  <si>
    <t>K040025</t>
  </si>
  <si>
    <t>5CG3300WHR</t>
  </si>
  <si>
    <t>K111130</t>
  </si>
  <si>
    <t>5CG2204Y3X</t>
  </si>
  <si>
    <t>HARD DISK</t>
  </si>
  <si>
    <t>N953980</t>
  </si>
  <si>
    <t>5CG1281NKP</t>
  </si>
  <si>
    <t>CARCASA EN MAL ESTADO</t>
  </si>
  <si>
    <t>N921041</t>
  </si>
  <si>
    <t>5CG1041QBQ</t>
  </si>
  <si>
    <t>PANTALLA ROTA ABOLLADO EN TAPA FALLO DE RAM Y DISCO</t>
  </si>
  <si>
    <t>K053781</t>
  </si>
  <si>
    <t>5CG1255THK</t>
  </si>
  <si>
    <t>N917674</t>
  </si>
  <si>
    <t>5CG0515R9D</t>
  </si>
  <si>
    <t>FALLO DISPLAY</t>
  </si>
  <si>
    <t>N916953</t>
  </si>
  <si>
    <t>5CG0517HNL</t>
  </si>
  <si>
    <t>N929924</t>
  </si>
  <si>
    <t>5CG10791QW</t>
  </si>
  <si>
    <t>BATERIA ROTA NO CARGA Y NO ENCIENDE</t>
  </si>
  <si>
    <t>K040057</t>
  </si>
  <si>
    <t>5CG3300WM0</t>
  </si>
  <si>
    <t>NO ARRANCA Y NO FUNCIONA EL TECLADO</t>
  </si>
  <si>
    <t>COMENZANDO 2026/01( 5CG33002M0)</t>
  </si>
  <si>
    <t>N922185</t>
  </si>
  <si>
    <t>5CG0517FZ7</t>
  </si>
  <si>
    <t>SUENA VENTILADOR PANTALLAZOS NEGROS CONTINUOS</t>
  </si>
  <si>
    <t>K059169</t>
  </si>
  <si>
    <t>5CG4265MCZ</t>
  </si>
  <si>
    <t>K112577</t>
  </si>
  <si>
    <t>CND2214BYW</t>
  </si>
  <si>
    <t>PANTALLAZOS AZULES ERROR MEMORIA</t>
  </si>
  <si>
    <t>K051232</t>
  </si>
  <si>
    <t>5CG4453HNF</t>
  </si>
  <si>
    <t>ERROR DISCO DURO ERROR NO MAQUETADO</t>
  </si>
  <si>
    <t>K006041</t>
  </si>
  <si>
    <t>CND24001MM</t>
  </si>
  <si>
    <t>TECLAS SUELTAS NO MAQUETA</t>
  </si>
  <si>
    <t>K006048</t>
  </si>
  <si>
    <t>CND24001L8</t>
  </si>
  <si>
    <t>PANTALLA ROTA NO ENCIENDE</t>
  </si>
  <si>
    <t>N947587</t>
  </si>
  <si>
    <t>5CG1254SJQ</t>
  </si>
  <si>
    <t>FALLO DISCO DURO LATIGILLO ROTO</t>
  </si>
  <si>
    <t>N989319</t>
  </si>
  <si>
    <t>5CG2073LQT</t>
  </si>
  <si>
    <t>FALLA DISPLAY PANTALLA</t>
  </si>
  <si>
    <t>K053468</t>
  </si>
  <si>
    <t>5CG0515VRB</t>
  </si>
  <si>
    <t>TECLA O SUELTA</t>
  </si>
  <si>
    <t>N874479</t>
  </si>
  <si>
    <t>5CG04637VK</t>
  </si>
  <si>
    <t>ERROR BIOS, NO MAQUETA, NO RECONOCE USB, MAL FUNCIONAMIENTO</t>
  </si>
  <si>
    <t>K056138</t>
  </si>
  <si>
    <t>5CG40754MT</t>
  </si>
  <si>
    <t>PANTALLA ROTA / NO DETECTA WIFI</t>
  </si>
  <si>
    <t>K044638</t>
  </si>
  <si>
    <t>5CG3515319</t>
  </si>
  <si>
    <t>FALLO BATERIA NO ENCIENDE</t>
  </si>
  <si>
    <t>N992166</t>
  </si>
  <si>
    <t>5CG1511690</t>
  </si>
  <si>
    <t>N874138</t>
  </si>
  <si>
    <t>5CG046391G</t>
  </si>
  <si>
    <t>NO FUNCIONA USB A</t>
  </si>
  <si>
    <t>N914315</t>
  </si>
  <si>
    <t>5CG0514HTL</t>
  </si>
  <si>
    <t>N991550</t>
  </si>
  <si>
    <t>5CG1518B0N</t>
  </si>
  <si>
    <t>CARCASA DAÑADA Y PANTALLA ROTA</t>
  </si>
  <si>
    <t>N953341</t>
  </si>
  <si>
    <t>5CG127C47V</t>
  </si>
  <si>
    <t>N947563</t>
  </si>
  <si>
    <t>5CG1257NPJ</t>
  </si>
  <si>
    <t>K040157</t>
  </si>
  <si>
    <t>5CG33201LV</t>
  </si>
  <si>
    <t>GOLPE EN CARCASA Y PUERTOS DAÑADOS</t>
  </si>
  <si>
    <t>K040709</t>
  </si>
  <si>
    <t>5CG101892G</t>
  </si>
  <si>
    <t>FALLAN PUERTOS Y LIGAS DE TAPA INFERIOR DAÑADAS</t>
  </si>
  <si>
    <t>K028083</t>
  </si>
  <si>
    <t>5CG3020QW6</t>
  </si>
  <si>
    <t>K042846</t>
  </si>
  <si>
    <t>5CG1083QV9</t>
  </si>
  <si>
    <t>K044997</t>
  </si>
  <si>
    <t>5CG4075CRC</t>
  </si>
  <si>
    <t>PANTALLA PARPADEA</t>
  </si>
  <si>
    <t>N873773</t>
  </si>
  <si>
    <t>5CG1017PRV</t>
  </si>
  <si>
    <t>TECLADO ROTO Y PUERTOS FALLAN</t>
  </si>
  <si>
    <t>K040087</t>
  </si>
  <si>
    <t>5CG3300WLQ</t>
  </si>
  <si>
    <t>N931961</t>
  </si>
  <si>
    <t>5CG1072LGT</t>
  </si>
  <si>
    <t>LIGAS DE TAPA INFERIOR, FALLO PUERTOS</t>
  </si>
  <si>
    <t>K008997</t>
  </si>
  <si>
    <t>5CG3131FVG</t>
  </si>
  <si>
    <t>FALLA TECLADO, NO FUNCIONAN BIEN TECLAS</t>
  </si>
  <si>
    <t>TORNILLO FLOJO TAPA INFERIOR, ERROR EN CAMARA</t>
  </si>
  <si>
    <t>N923701</t>
  </si>
  <si>
    <t>5CG047276B</t>
  </si>
  <si>
    <t>PAD NO FUNCIONA</t>
  </si>
  <si>
    <t>N927246</t>
  </si>
  <si>
    <t>5CG10734QT</t>
  </si>
  <si>
    <t>TECLADO ROTO, SE APAGA CONSTANTEMENTE, LIGAS TAPA INFERIOR</t>
  </si>
  <si>
    <t>K053977</t>
  </si>
  <si>
    <t>5CG4482RKZ</t>
  </si>
  <si>
    <t>GOLPE EN ESQUINA, DOBLADA DE CARCASA</t>
  </si>
  <si>
    <t>N918881</t>
  </si>
  <si>
    <t>5CG0517HPJ</t>
  </si>
  <si>
    <t>ESQUINA ROTA DE CARCASA</t>
  </si>
  <si>
    <t>K038273</t>
  </si>
  <si>
    <t>5CG3300WMY</t>
  </si>
  <si>
    <t>KO por agua</t>
  </si>
  <si>
    <t>N989199</t>
  </si>
  <si>
    <t>5CG2073KRL</t>
  </si>
  <si>
    <t>Tecla Flecha arriba apunto de caer \ Falla Touchpad boton derecho</t>
  </si>
  <si>
    <t>N923947</t>
  </si>
  <si>
    <t>5CG0472743</t>
  </si>
  <si>
    <t>Falla teclado</t>
  </si>
  <si>
    <t>N922318</t>
  </si>
  <si>
    <t>5CG0515SBK</t>
  </si>
  <si>
    <t>Reinicio Continuo</t>
  </si>
  <si>
    <t>N984192</t>
  </si>
  <si>
    <t>5CG2401GN5</t>
  </si>
  <si>
    <t>No pasa del logo de BIOS</t>
  </si>
  <si>
    <t>N874232</t>
  </si>
  <si>
    <t>5CG04638Q2</t>
  </si>
  <si>
    <t>HD KO</t>
  </si>
  <si>
    <t>N917614</t>
  </si>
  <si>
    <t>5CG0515RN2</t>
  </si>
  <si>
    <t>PANTALLA/COVER LCD /COVER/TECLADO /GOMAS</t>
  </si>
  <si>
    <t>K010719</t>
  </si>
  <si>
    <t>5CG3131F55</t>
  </si>
  <si>
    <t>Ventiladores \ No enciende</t>
  </si>
  <si>
    <t>K036975</t>
  </si>
  <si>
    <t>5CG3131FRJ</t>
  </si>
  <si>
    <t>Pantalla Rota\Fallos en HD</t>
  </si>
  <si>
    <t>K057756</t>
  </si>
  <si>
    <t>5CG4181BYY</t>
  </si>
  <si>
    <t>Disco Duro KO</t>
  </si>
  <si>
    <t>N922369</t>
  </si>
  <si>
    <t>5CG0517HWS</t>
  </si>
  <si>
    <t>N989196</t>
  </si>
  <si>
    <t>5CG2073LP4</t>
  </si>
  <si>
    <t>Gomas Traseras\Bateria KO\Ventiladores ruido excesivo</t>
  </si>
  <si>
    <t>K036814</t>
  </si>
  <si>
    <t>5CG3131D1S</t>
  </si>
  <si>
    <t>Equipo NO enciende</t>
  </si>
  <si>
    <t>N843357</t>
  </si>
  <si>
    <t>5CG1027R52</t>
  </si>
  <si>
    <t>Fallan teclas tclado Enter\Borrado\Shift</t>
  </si>
  <si>
    <t>K036779</t>
  </si>
  <si>
    <t>5CG3131D0H</t>
  </si>
  <si>
    <t>Falla Barra Espaciadora</t>
  </si>
  <si>
    <t>K010761</t>
  </si>
  <si>
    <t>5CG3131FZT</t>
  </si>
  <si>
    <t>Fallo Batería</t>
  </si>
  <si>
    <t>N931003</t>
  </si>
  <si>
    <t>5CG1017MX9</t>
  </si>
  <si>
    <t>Faltan teclas</t>
  </si>
  <si>
    <t>K110562</t>
  </si>
  <si>
    <t>5CG04637W0</t>
  </si>
  <si>
    <t>Falla HD</t>
  </si>
  <si>
    <t>BATERÍA /COVER TECLADO</t>
  </si>
  <si>
    <t>N922495</t>
  </si>
  <si>
    <t>5CG0517FCL</t>
  </si>
  <si>
    <t>No detecta Hd</t>
  </si>
  <si>
    <t>disco duro / bateria</t>
  </si>
  <si>
    <t>DISCO DURO / BATERIA</t>
  </si>
  <si>
    <t>Falla tecla Enter y algunas mas</t>
  </si>
  <si>
    <t>N874511</t>
  </si>
  <si>
    <t>5CG04727JK</t>
  </si>
  <si>
    <t>Faltan teclas </t>
  </si>
  <si>
    <t>N991393</t>
  </si>
  <si>
    <t>5CG15189P2</t>
  </si>
  <si>
    <t>Teclas KO</t>
  </si>
  <si>
    <t>K036770</t>
  </si>
  <si>
    <t>5CG3131DZS</t>
  </si>
  <si>
    <t>CARCASA ROTA/SUSTRAIDO</t>
  </si>
  <si>
    <t>K040093</t>
  </si>
  <si>
    <t>5CG3300WH1</t>
  </si>
  <si>
    <t>K028088</t>
  </si>
  <si>
    <t>5CG3021J74</t>
  </si>
  <si>
    <t>N918602</t>
  </si>
  <si>
    <t>5CG0517FYN</t>
  </si>
  <si>
    <t>ERROR DE BOOT DE ARRANQUE</t>
  </si>
  <si>
    <t>K113574</t>
  </si>
  <si>
    <t>5CG1017RRJ</t>
  </si>
  <si>
    <t>N923937</t>
  </si>
  <si>
    <t>5CG04727D7</t>
  </si>
  <si>
    <t>TECLA "O" ROTA</t>
  </si>
  <si>
    <t>K036722</t>
  </si>
  <si>
    <t>5CG3131DYJ</t>
  </si>
  <si>
    <t>k010523</t>
  </si>
  <si>
    <t>5CG3131FV2</t>
  </si>
  <si>
    <t>k036682</t>
  </si>
  <si>
    <t>5CG3131DQF</t>
  </si>
  <si>
    <t>K036666</t>
  </si>
  <si>
    <t>5CG3131FNW</t>
  </si>
  <si>
    <t>FALLA TECLA "Q" y "A"</t>
  </si>
  <si>
    <t>K060349</t>
  </si>
  <si>
    <t>5CG4250KWF</t>
  </si>
  <si>
    <t>K057207</t>
  </si>
  <si>
    <t>5CG4194B1M</t>
  </si>
  <si>
    <t>ERROR PANTALLA AZUL/Unexpected Store Exception/</t>
  </si>
  <si>
    <t>K113968</t>
  </si>
  <si>
    <t>5CG0514DQP</t>
  </si>
  <si>
    <t>N918811</t>
  </si>
  <si>
    <t>5CG0514G0D</t>
  </si>
  <si>
    <t>sobrecalentamiento/apagados</t>
  </si>
  <si>
    <t>K008905</t>
  </si>
  <si>
    <t>5CG3131H1K</t>
  </si>
  <si>
    <t>N918767</t>
  </si>
  <si>
    <t>5CG0514HGS</t>
  </si>
  <si>
    <t>SUENA VENTILADOR</t>
  </si>
  <si>
    <t>N919003</t>
  </si>
  <si>
    <t>5CG0514G04</t>
  </si>
  <si>
    <t>N918987</t>
  </si>
  <si>
    <t>5CG0517HP9</t>
  </si>
  <si>
    <t>K037594</t>
  </si>
  <si>
    <t>5CG3133581</t>
  </si>
  <si>
    <t>PUERTO C DAÑADO</t>
  </si>
  <si>
    <t>N924213</t>
  </si>
  <si>
    <t>5CG1072LRW</t>
  </si>
  <si>
    <t>falla teclado/touchpad/cover roto</t>
  </si>
  <si>
    <t>K037670</t>
  </si>
  <si>
    <t>5CG31335K1</t>
  </si>
  <si>
    <t>falla puerto usb-c</t>
  </si>
  <si>
    <t>N937462</t>
  </si>
  <si>
    <t>5CG1257QB2</t>
  </si>
  <si>
    <t>apagados continuos</t>
  </si>
  <si>
    <t>N875433</t>
  </si>
  <si>
    <t>5CG1119HJ3</t>
  </si>
  <si>
    <t>C/ Gabriel García Márquez 1, 28232  Las Rozas, Madrid</t>
  </si>
  <si>
    <t>N933075</t>
  </si>
  <si>
    <t>5CG1257PL5</t>
  </si>
  <si>
    <t>FALLO DISCO DURO</t>
  </si>
  <si>
    <t>NO HAN LLEGADO</t>
  </si>
  <si>
    <t>N916626</t>
  </si>
  <si>
    <t>5CG0515RQ1</t>
  </si>
  <si>
    <t>TECLA "I" ROTA</t>
  </si>
  <si>
    <t>N917976</t>
  </si>
  <si>
    <t>5CG0517GS0</t>
  </si>
  <si>
    <t>N917985</t>
  </si>
  <si>
    <t>5CG0514GC9</t>
  </si>
  <si>
    <t>N984182</t>
  </si>
  <si>
    <t>5CG2401GN1</t>
  </si>
  <si>
    <t>PANTALLA NO SE VE</t>
  </si>
  <si>
    <t>N918867</t>
  </si>
  <si>
    <t>5CG0517FC3</t>
  </si>
  <si>
    <t>K113585</t>
  </si>
  <si>
    <t>5CG3021J1W</t>
  </si>
  <si>
    <t>K113584</t>
  </si>
  <si>
    <t>5CG3021J20</t>
  </si>
  <si>
    <t>LETRA "E" Y "R" SUELTAS</t>
  </si>
  <si>
    <t>N944446</t>
  </si>
  <si>
    <t>5CG15119HQ</t>
  </si>
  <si>
    <t>DISCO DURO DAÑADO</t>
  </si>
  <si>
    <t>K048948</t>
  </si>
  <si>
    <t>5CG1070MGF</t>
  </si>
  <si>
    <t>BATERIA DAÑADA, CARCASA DAÑADA</t>
  </si>
  <si>
    <t>K060047</t>
  </si>
  <si>
    <t>CND24001NS</t>
  </si>
  <si>
    <t>DAÑADO DISCO</t>
  </si>
  <si>
    <t>K036654</t>
  </si>
  <si>
    <t>5CG3131DQ8</t>
  </si>
  <si>
    <t>5CG1511BFO</t>
  </si>
  <si>
    <t>CARCASA PANTALLA DESCOLOCADA</t>
  </si>
  <si>
    <t>POR CORREGIR Y YA ESTAN FACTURADOS</t>
  </si>
  <si>
    <t>MARCO ROTO</t>
  </si>
  <si>
    <t>N917964</t>
  </si>
  <si>
    <t>5CG0514HJ8</t>
  </si>
  <si>
    <t>CARCASA ABOLLADA LATERAL Y PICOTAZO EN TAPADERA</t>
  </si>
  <si>
    <t>N988993</t>
  </si>
  <si>
    <t>5CG2073558</t>
  </si>
  <si>
    <t>BATERIA NO CARGA Y NO ENCIENDE</t>
  </si>
  <si>
    <t>K040861</t>
  </si>
  <si>
    <t>5CG34444HB</t>
  </si>
  <si>
    <t>N922739</t>
  </si>
  <si>
    <t>5CG0514GD1</t>
  </si>
  <si>
    <t>K010823</t>
  </si>
  <si>
    <t>5CG3131FK6</t>
  </si>
  <si>
    <t>BATERIA DEFECTUOSA</t>
  </si>
  <si>
    <t>K113582</t>
  </si>
  <si>
    <t>5CG05206W1</t>
  </si>
  <si>
    <t>TECLADO NO ESPAÑOL Y CARCASA DAÑADA</t>
  </si>
  <si>
    <t>N873772</t>
  </si>
  <si>
    <t>5CG1017RRW</t>
  </si>
  <si>
    <t>teclas rotas</t>
  </si>
  <si>
    <t>N925600</t>
  </si>
  <si>
    <t>5CG1011BGJ</t>
  </si>
  <si>
    <t>sonido ventilador</t>
  </si>
  <si>
    <t>K041746</t>
  </si>
  <si>
    <t>5CG3522CZ6</t>
  </si>
  <si>
    <t>no arranca</t>
  </si>
  <si>
    <t>N873745</t>
  </si>
  <si>
    <t>5CG1017R6J</t>
  </si>
  <si>
    <t>falla teclado, teclas suprimir y up dowm</t>
  </si>
  <si>
    <t>K037165</t>
  </si>
  <si>
    <t>5CG3131GZX</t>
  </si>
  <si>
    <t>fallan puertos usb</t>
  </si>
  <si>
    <t>K050843</t>
  </si>
  <si>
    <t>5CG046385T</t>
  </si>
  <si>
    <t>N843347</t>
  </si>
  <si>
    <t>5CG1027R40</t>
  </si>
  <si>
    <t>ligas de tapa inferior</t>
  </si>
  <si>
    <t>N924631</t>
  </si>
  <si>
    <t>5CG0486QXC</t>
  </si>
  <si>
    <t>pantalla despegada y marco doblado</t>
  </si>
  <si>
    <t>N927450</t>
  </si>
  <si>
    <t>5CG1072KJC</t>
  </si>
  <si>
    <t>no enciende</t>
  </si>
  <si>
    <t>N989823</t>
  </si>
  <si>
    <t>5CG2073LPY</t>
  </si>
  <si>
    <t>pantalla con linea, puertos usb dañados</t>
  </si>
  <si>
    <t>K037306</t>
  </si>
  <si>
    <t>5CG3131CTK</t>
  </si>
  <si>
    <t>fallan teclas</t>
  </si>
  <si>
    <t>K111120</t>
  </si>
  <si>
    <t>5CG1257DST</t>
  </si>
  <si>
    <t>K047854</t>
  </si>
  <si>
    <t>5CG5091T3Z</t>
  </si>
  <si>
    <t>K113839</t>
  </si>
  <si>
    <t>5CG1072KFG</t>
  </si>
  <si>
    <t>gomas antideslizantes rotas</t>
  </si>
  <si>
    <t>K010887</t>
  </si>
  <si>
    <t>5CG3131D0C</t>
  </si>
  <si>
    <t>falla puerto jack y usb-c</t>
  </si>
  <si>
    <t>Detalles para CANTIDAD TOTAL - ESTADO: IRREPARABLE</t>
  </si>
  <si>
    <t>682687160 </t>
  </si>
  <si>
    <t>Detalles para CANTIDAD TOTAL - ESTADO: POR FACTURAR</t>
  </si>
  <si>
    <t>616866669 </t>
  </si>
  <si>
    <t>PROYECTO TELEFONICA</t>
  </si>
  <si>
    <t>ITEM</t>
  </si>
  <si>
    <t>CANTIDAD TOTAL</t>
  </si>
  <si>
    <t>FACTURACION TOTAL</t>
  </si>
  <si>
    <t>COSTES DE PIEZAS</t>
  </si>
  <si>
    <t>CODIGO</t>
  </si>
  <si>
    <t>COSTO</t>
  </si>
  <si>
    <t>PRECIO VENTA PUBLICO</t>
  </si>
  <si>
    <t>Batería Original HP ProBook X360 435 G7 Series 11.55V 3750mAh 45Wh SX03XL L78125-005 L77689-171 PCXEON</t>
  </si>
  <si>
    <t>435G7BATE_001</t>
  </si>
  <si>
    <t>Carcasa Inferior HP ProBook X360 435 G7 Series M03423-001</t>
  </si>
  <si>
    <t>435G7CARCINFER_001</t>
  </si>
  <si>
    <t>111.75€</t>
  </si>
  <si>
    <t>Pantalla Completa HP ProBook X360 435 G7 Series M03425-001 PCXEON</t>
  </si>
  <si>
    <t>435G7PANT_COVER_001</t>
  </si>
  <si>
    <t>Pantalla Completa HP ProBook X360 435 G7,G8,G9 Series M46285-001</t>
  </si>
  <si>
    <t>435G7PANT_COVER_002</t>
  </si>
  <si>
    <t>Teclado Completo HP ProBook X360 435 G7 Series Español M03449-071 PCXEON</t>
  </si>
  <si>
    <t>435G7TECL_COVER_001</t>
  </si>
  <si>
    <t>SPS-TOUCHPAD M03435-001 HP 435 G7 ICT</t>
  </si>
  <si>
    <t>435G7TOUCH_001</t>
  </si>
  <si>
    <t>Pantalla IPS 14'' HP EliteBook 840 G10 Series M74470-ND3 1920x1200 60Hz eDP   PCXEON</t>
  </si>
  <si>
    <t>840G10PANTA_001</t>
  </si>
  <si>
    <t>Pantalla LED 14'' HP EliteBook 840 G7 Series M07092-001 L76245-L91 1920x1080 Mate 30 Pines PCXEON</t>
  </si>
  <si>
    <t>840GG7PANTA_001</t>
  </si>
  <si>
    <t>Carcasa Trasera LCD HP EliteBook 840 G7 Series M07098-001 PCXEON</t>
  </si>
  <si>
    <t>845G11CARCALCD_001</t>
  </si>
  <si>
    <t>Batería Original HP EliteBook 830 840 850 G7 Series 11.55V 4400mAh 53Wh CC03XL L78555-005 PCXEON</t>
  </si>
  <si>
    <t>845G7BATE_002</t>
  </si>
  <si>
    <t>Carcasa Inferior HP EliteBook 845 G7 Series M15211-001 PCXEON</t>
  </si>
  <si>
    <t>845G7CARCA_001</t>
  </si>
  <si>
    <t>Carcasa Inferior HP EliteBook 845 G7 Series M15211-001 Plata</t>
  </si>
  <si>
    <t>845G7CARCAINFER_001</t>
  </si>
  <si>
    <t>Ventilador o fan M07102-001     Ventilador CPU HP EliteBook 830 835 840 845 G7  ICT</t>
  </si>
  <si>
    <t>845G7FAN_001</t>
  </si>
  <si>
    <t>PANTALLA LCD M07092-001 ICT</t>
  </si>
  <si>
    <t>845G7PANT_001</t>
  </si>
  <si>
    <t>Teclado Completo HP EliteBook 845 G7 Series Español M15210-071 PCXEON</t>
  </si>
  <si>
    <t>845G7TECLADO_COVER_001</t>
  </si>
  <si>
    <t>SPS-BEZEL LCD RGB ALS</t>
  </si>
  <si>
    <t>845G8MARCPANTALL_001</t>
  </si>
  <si>
    <t>M07108-001 SPS-TOUCHPAD  , 845G8 ICT</t>
  </si>
  <si>
    <t>845G8TOUCH_002</t>
  </si>
  <si>
    <t>Pantalla 14 L92716-ND2  HP EliteBook 845 G8 Series  ( COMPUPHONE-PARTS, S.L.)</t>
  </si>
  <si>
    <t>845G9G10PANTALL_001</t>
  </si>
  <si>
    <t>BISAGRAS</t>
  </si>
  <si>
    <t>BISAG_001</t>
  </si>
  <si>
    <t>70.00€</t>
  </si>
  <si>
    <t>REPARACION DE PLACA BASE  ( braisiria )</t>
  </si>
  <si>
    <t>BRAISPLACABASE_001</t>
  </si>
  <si>
    <t>CAMFLEX_001</t>
  </si>
  <si>
    <t>HD - 256 L85350-002, ICT</t>
  </si>
  <si>
    <t>DISCO_001</t>
  </si>
  <si>
    <t>HD - 256 M52025-002, ICT</t>
  </si>
  <si>
    <t>DISCO_002</t>
  </si>
  <si>
    <t>HD - 256 N45477-002, ICT</t>
  </si>
  <si>
    <t>DISCO_003</t>
  </si>
  <si>
    <t xml:space="preserve">FLEX DE TECLADO </t>
  </si>
  <si>
    <t>FLEXTECL_001</t>
  </si>
  <si>
    <t>HP ZBook Fury 15.6 inch G8 // PPTO25-000429
9Z.NHNBC.11E Teclado Español Black Retroiluminado + PointStick
HP Zbook Fury 15 G7 15 G8 , M17094-071 ,
M17094-161 , L79767-161 , 9Z.NHNBC.11E  ( COMPUPHONE-PARTS, S.L.)</t>
  </si>
  <si>
    <t>G7G8ZFTECL_001</t>
  </si>
  <si>
    <t>GARANTIA_HP</t>
  </si>
  <si>
    <t>GARANTIA_HP_001</t>
  </si>
  <si>
    <t>GOMAS_001</t>
  </si>
  <si>
    <t>REACONDICIONADO DE CHASIS</t>
  </si>
  <si>
    <t>REACOND_001</t>
  </si>
  <si>
    <t>TARJETA WIFI HP L35282-002</t>
  </si>
  <si>
    <t>TARJWIF_001</t>
  </si>
  <si>
    <t>FLEX DE TOUCHPAD</t>
  </si>
  <si>
    <t>TOUCHPADFLEX_002</t>
  </si>
  <si>
    <t>FLEX DE VIDEO</t>
  </si>
  <si>
    <t>VIDEOFLEX_001</t>
  </si>
  <si>
    <t>Mantenimiento / limpieza / embalado</t>
  </si>
  <si>
    <t>Z</t>
  </si>
  <si>
    <t xml:space="preserve">Sustitución de piezas </t>
  </si>
  <si>
    <t>Ventilador M03432-001</t>
  </si>
  <si>
    <t>Teclado Completo HP 845 G8 Series Español M52490-071</t>
  </si>
  <si>
    <t>TAPA TRASERA DE LCD  /HP EliteBook 845 G9/ N14777-001</t>
  </si>
  <si>
    <t>Teclado de BU IDS i9-11950H nWWAN Fury 15.6 G8</t>
  </si>
  <si>
    <t>Marco LCD HP EliteBook 840 G7 Series M07166-001 PCXEON</t>
  </si>
  <si>
    <t>SPS-TOPCOVER W/KB BL SR PVCY SP N95850-071  hp elitebook 845 g11. Precio por HP</t>
  </si>
  <si>
    <t xml:space="preserve">M07205-001 SPS-SCREW KIT ,  ICT   </t>
  </si>
  <si>
    <t>PANTALLA ,M74470-ND1  HP Elitebook 840 G9, 840 G10 845 G9 840 G11   ( COMPUPHONE-PARTS, S.L.)</t>
  </si>
  <si>
    <t>56.54€</t>
  </si>
  <si>
    <t>MICRO / CAMARAWEB DE 845 G8,G7</t>
  </si>
  <si>
    <t>FECHA LLEGADA</t>
  </si>
  <si>
    <t>NOMBRE DE PIEZA</t>
  </si>
  <si>
    <t>PIEZAS</t>
  </si>
  <si>
    <t>SPARE</t>
  </si>
  <si>
    <t>MODELO</t>
  </si>
  <si>
    <t>EN STOCK</t>
  </si>
  <si>
    <t>CONSUMIDAS</t>
  </si>
  <si>
    <t>Nº DE FACTURA</t>
  </si>
  <si>
    <t xml:space="preserve">OBSERVACION </t>
  </si>
  <si>
    <t>PCX2500122</t>
  </si>
  <si>
    <t>M15210-071</t>
  </si>
  <si>
    <t>ELITEBOOK - 845 G7</t>
  </si>
  <si>
    <t>F-017831</t>
  </si>
  <si>
    <t>PCX2500137</t>
  </si>
  <si>
    <t>PCX2500125</t>
  </si>
  <si>
    <t>PCX2500133</t>
  </si>
  <si>
    <t>PCX2500131</t>
  </si>
  <si>
    <t>PCX2500135</t>
  </si>
  <si>
    <t>PCX2500134</t>
  </si>
  <si>
    <t>PCX2503947</t>
  </si>
  <si>
    <t>M03423-001</t>
  </si>
  <si>
    <t>HP PROBOOK X360 435 - G7 - G8</t>
  </si>
  <si>
    <t>F-018081</t>
  </si>
  <si>
    <t>PCX2503944</t>
  </si>
  <si>
    <t>PCX2503934</t>
  </si>
  <si>
    <t>PCX2503940</t>
  </si>
  <si>
    <t>PCX2503937</t>
  </si>
  <si>
    <t>PCX2503931</t>
  </si>
  <si>
    <t>PCX2503943</t>
  </si>
  <si>
    <t>PCX2503946</t>
  </si>
  <si>
    <t>PCX2503928</t>
  </si>
  <si>
    <t>PCX2503966</t>
  </si>
  <si>
    <t>PCX2500264</t>
  </si>
  <si>
    <t>M03449-071</t>
  </si>
  <si>
    <t>PCX2500263</t>
  </si>
  <si>
    <t>PCX2500251</t>
  </si>
  <si>
    <t>PCX2500215</t>
  </si>
  <si>
    <t>PCX2500231</t>
  </si>
  <si>
    <t>PCX2500262</t>
  </si>
  <si>
    <t>PCX2500261</t>
  </si>
  <si>
    <t>PCX2500228</t>
  </si>
  <si>
    <t xml:space="preserve">  </t>
  </si>
  <si>
    <t>PCX2500248</t>
  </si>
  <si>
    <t>PCX2500240</t>
  </si>
  <si>
    <t>PCX2500234</t>
  </si>
  <si>
    <t>PCX2500242</t>
  </si>
  <si>
    <t>PCX2500243</t>
  </si>
  <si>
    <t>PCX2500246</t>
  </si>
  <si>
    <t>PCX2500237</t>
  </si>
  <si>
    <t>PCX2500255</t>
  </si>
  <si>
    <t>PCX2500216</t>
  </si>
  <si>
    <t>PCX2500143</t>
  </si>
  <si>
    <t>PCX2500249</t>
  </si>
  <si>
    <t>PCX2500245</t>
  </si>
  <si>
    <t>PCX2500253</t>
  </si>
  <si>
    <t>M03425-001</t>
  </si>
  <si>
    <t>PCX2500254</t>
  </si>
  <si>
    <t>PCX2500247</t>
  </si>
  <si>
    <t>PCX2500256</t>
  </si>
  <si>
    <t>PCX2500250</t>
  </si>
  <si>
    <t>PCX2500244</t>
  </si>
  <si>
    <t>PCX2500235</t>
  </si>
  <si>
    <t>PCX2500238</t>
  </si>
  <si>
    <t>PCX2500252</t>
  </si>
  <si>
    <t>PCX2500232</t>
  </si>
  <si>
    <t>PCX2500229</t>
  </si>
  <si>
    <t>PCX2500226</t>
  </si>
  <si>
    <t>PCX2500259</t>
  </si>
  <si>
    <t>PCX2500223</t>
  </si>
  <si>
    <t>PCX2500227</t>
  </si>
  <si>
    <t>PCX2500224</t>
  </si>
  <si>
    <t>PCX2500236</t>
  </si>
  <si>
    <t>PCX2500225</t>
  </si>
  <si>
    <t>PCX2500230</t>
  </si>
  <si>
    <t>PCX2500233</t>
  </si>
  <si>
    <t>PCX2503915</t>
  </si>
  <si>
    <t>L78555-005</t>
  </si>
  <si>
    <t>ELITEBOOK - 845 - G7 / G8</t>
  </si>
  <si>
    <t>PCX2503891</t>
  </si>
  <si>
    <t>PCX2503888</t>
  </si>
  <si>
    <t>PCX2503897</t>
  </si>
  <si>
    <t>PCX2503900</t>
  </si>
  <si>
    <t>PCX2503894</t>
  </si>
  <si>
    <t>PCX2503912</t>
  </si>
  <si>
    <t>PCX2503921</t>
  </si>
  <si>
    <t>PCX2503909</t>
  </si>
  <si>
    <t>PCX2503927</t>
  </si>
  <si>
    <t>PCX2503938</t>
  </si>
  <si>
    <t>L78125-005</t>
  </si>
  <si>
    <t>PCX2503941</t>
  </si>
  <si>
    <t>PCX2503945</t>
  </si>
  <si>
    <t>PCX2503948</t>
  </si>
  <si>
    <t>PCX2503942</t>
  </si>
  <si>
    <t>PCX2503935</t>
  </si>
  <si>
    <t>PCX2503933</t>
  </si>
  <si>
    <t>PCX2503932</t>
  </si>
  <si>
    <t>PCX2503930</t>
  </si>
  <si>
    <t>PCX2503936</t>
  </si>
  <si>
    <t>PCX2504428</t>
  </si>
  <si>
    <t>PCX2504419</t>
  </si>
  <si>
    <t>PCX2504418</t>
  </si>
  <si>
    <t>PCX2504860</t>
  </si>
  <si>
    <t>F-018811</t>
  </si>
  <si>
    <t>PCX2504869</t>
  </si>
  <si>
    <t>PCX2504866</t>
  </si>
  <si>
    <t>5CG046377VL</t>
  </si>
  <si>
    <t>PCX2504851</t>
  </si>
  <si>
    <t>PCX2504848</t>
  </si>
  <si>
    <t>PCX2504849</t>
  </si>
  <si>
    <t>PCX2504878</t>
  </si>
  <si>
    <t>PCX2504846</t>
  </si>
  <si>
    <t>PCX2504874</t>
  </si>
  <si>
    <t>PCX2504880</t>
  </si>
  <si>
    <t>PCX2504844</t>
  </si>
  <si>
    <t>PCX2504871</t>
  </si>
  <si>
    <t>PCX2504886</t>
  </si>
  <si>
    <t>PCX2504856</t>
  </si>
  <si>
    <t>PCX2504879</t>
  </si>
  <si>
    <t>PCX2504876</t>
  </si>
  <si>
    <t>PCX2504872</t>
  </si>
  <si>
    <t>PCX2504854</t>
  </si>
  <si>
    <t>PCX2504857</t>
  </si>
  <si>
    <t>PCX2504875</t>
  </si>
  <si>
    <t>PCX2504863</t>
  </si>
  <si>
    <t>PCX2504881</t>
  </si>
  <si>
    <t>PCX2504847</t>
  </si>
  <si>
    <t>PCX2504853</t>
  </si>
  <si>
    <t>PCX2504883</t>
  </si>
  <si>
    <t>PCX2504859</t>
  </si>
  <si>
    <t>PCX2504868</t>
  </si>
  <si>
    <t>PCX2504877</t>
  </si>
  <si>
    <t>PCX2504850</t>
  </si>
  <si>
    <t>PCX2504843</t>
  </si>
  <si>
    <t>PCX2504870</t>
  </si>
  <si>
    <t>PCX2504873</t>
  </si>
  <si>
    <t>PCX2504861</t>
  </si>
  <si>
    <t>PCX2504882</t>
  </si>
  <si>
    <t xml:space="preserve">
1</t>
  </si>
  <si>
    <t>PCX2504864</t>
  </si>
  <si>
    <t>PCX2504852</t>
  </si>
  <si>
    <t>PCX2504845</t>
  </si>
  <si>
    <t>PCX2504884</t>
  </si>
  <si>
    <t>PCX2504867</t>
  </si>
  <si>
    <t>PCX2504887</t>
  </si>
  <si>
    <t xml:space="preserve">5CG0517GSX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</si>
  <si>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PCX2504934</t>
  </si>
  <si>
    <t>M07166-001</t>
  </si>
  <si>
    <t>F-018774</t>
  </si>
  <si>
    <t>PCX2504928</t>
  </si>
  <si>
    <t>PCX2504939</t>
  </si>
  <si>
    <t>5CD3334RLY</t>
  </si>
  <si>
    <t xml:space="preserve">Se coge para un presupuesto aceptado 13/11/2025 de Anticipa /aliseda </t>
  </si>
  <si>
    <t>PCX2504931</t>
  </si>
  <si>
    <t>PCX2504940</t>
  </si>
  <si>
    <t>PCX2504945</t>
  </si>
  <si>
    <t xml:space="preserve">M74470-ND3 </t>
  </si>
  <si>
    <t>5CG</t>
  </si>
  <si>
    <t>PCX2504930</t>
  </si>
  <si>
    <t xml:space="preserve"> </t>
  </si>
  <si>
    <t>PCX2504942</t>
  </si>
  <si>
    <t>ICT-824444290</t>
  </si>
  <si>
    <t>N22328-001</t>
  </si>
  <si>
    <t xml:space="preserve">ICT </t>
  </si>
  <si>
    <t>ICT-501585882</t>
  </si>
  <si>
    <t>ICT-824940840</t>
  </si>
  <si>
    <t>ICT-501585881</t>
  </si>
  <si>
    <t>ICT-501585878</t>
  </si>
  <si>
    <t>]</t>
  </si>
  <si>
    <t>ICT-824444289</t>
  </si>
  <si>
    <t>ICT-824940896</t>
  </si>
  <si>
    <t>ICT-501866436</t>
  </si>
  <si>
    <t>ICT-501866437</t>
  </si>
  <si>
    <t>ICT824444288</t>
  </si>
  <si>
    <t>5CG4194823</t>
  </si>
  <si>
    <t>ICT-501660445</t>
  </si>
  <si>
    <t>M07092-001</t>
  </si>
  <si>
    <t>ICT-825063111</t>
  </si>
  <si>
    <t>ICT-502126431</t>
  </si>
  <si>
    <t>ICT-822961223</t>
  </si>
  <si>
    <t>ICT-825063109</t>
  </si>
  <si>
    <t>ICT-825063105</t>
  </si>
  <si>
    <t>ICT-822961224</t>
  </si>
  <si>
    <t>ICT-501617113</t>
  </si>
  <si>
    <t>ICT-501866570</t>
  </si>
  <si>
    <t>ICT-cmmrr01l1fzjm0</t>
  </si>
  <si>
    <t>VENTILADORES</t>
  </si>
  <si>
    <t>M071020014270B0AFKCQ</t>
  </si>
  <si>
    <t>M07102-001</t>
  </si>
  <si>
    <t>5CG1095F51</t>
  </si>
  <si>
    <t>M071020014260Z0O9TCQ</t>
  </si>
  <si>
    <t>M071020014270B0AFJCQ</t>
  </si>
  <si>
    <t>M071020014270B0AFYCQ</t>
  </si>
  <si>
    <t>M071020014270B0AQ6CQ</t>
  </si>
  <si>
    <t>Carcasa Inferior</t>
  </si>
  <si>
    <t>pcx2505191</t>
  </si>
  <si>
    <t>M15211-001</t>
  </si>
  <si>
    <t xml:space="preserve">                                                                                                                                </t>
  </si>
  <si>
    <t>pcx2505200</t>
  </si>
  <si>
    <t>pcx2505226</t>
  </si>
  <si>
    <t>pcx2505217</t>
  </si>
  <si>
    <t>pcx2505223</t>
  </si>
  <si>
    <t>pcx2505197</t>
  </si>
  <si>
    <t>pcx2505179</t>
  </si>
  <si>
    <t>pcx2505173</t>
  </si>
  <si>
    <t>pcx2505188</t>
  </si>
  <si>
    <t>pcx2505194</t>
  </si>
  <si>
    <t>pcx2505185</t>
  </si>
  <si>
    <t>pcx2505222</t>
  </si>
  <si>
    <t>pcx2505215</t>
  </si>
  <si>
    <t>pcx2505214</t>
  </si>
  <si>
    <t>pcx2505208</t>
  </si>
  <si>
    <t>Carcasa Trasera LCD</t>
  </si>
  <si>
    <t>PCX2505302</t>
  </si>
  <si>
    <t>M07098-001</t>
  </si>
  <si>
    <t>F-019077</t>
  </si>
  <si>
    <t>PCX2505311</t>
  </si>
  <si>
    <t>PCX2505313</t>
  </si>
  <si>
    <t>PCX2505305</t>
  </si>
  <si>
    <t>PCX2505307</t>
  </si>
  <si>
    <t>ICT</t>
  </si>
  <si>
    <t>N45477-002</t>
  </si>
  <si>
    <t>5CGG0517J0S</t>
  </si>
  <si>
    <t>ICT -825797207</t>
  </si>
  <si>
    <t>N14777-001</t>
  </si>
  <si>
    <t>ICT - 501984559</t>
  </si>
  <si>
    <t>ICT - 825797206</t>
  </si>
  <si>
    <t>ICT - 826003798</t>
  </si>
  <si>
    <t>ICT - 823363987</t>
  </si>
  <si>
    <t>ICT - 502072215</t>
  </si>
  <si>
    <t>ICT - 825797231</t>
  </si>
  <si>
    <t>ICT - 408000194</t>
  </si>
  <si>
    <t>ICT - 406045866</t>
  </si>
  <si>
    <t>ICT - 502113628</t>
  </si>
  <si>
    <t>PCX2505306</t>
  </si>
  <si>
    <t>PCX2505312</t>
  </si>
  <si>
    <t>PCX2505318</t>
  </si>
  <si>
    <t>PCX2505317</t>
  </si>
  <si>
    <t>PCX2505310</t>
  </si>
  <si>
    <t>PCX2503903</t>
  </si>
  <si>
    <t>F-020512</t>
  </si>
  <si>
    <t>PCX2507199</t>
  </si>
  <si>
    <t>F-020513</t>
  </si>
  <si>
    <t>PCX2507193</t>
  </si>
  <si>
    <t>PCX2507196</t>
  </si>
  <si>
    <t>PCX2507206</t>
  </si>
  <si>
    <t>PCX2507202</t>
  </si>
  <si>
    <t>PCX2507210</t>
  </si>
  <si>
    <t>PCX2507213</t>
  </si>
  <si>
    <t>PCX2507200</t>
  </si>
  <si>
    <t>PCX2507205</t>
  </si>
  <si>
    <t>PCX2507190</t>
  </si>
  <si>
    <t>PCX2507191</t>
  </si>
  <si>
    <t>PCX2507216</t>
  </si>
  <si>
    <t>PCX2507222</t>
  </si>
  <si>
    <t>PCX2507207</t>
  </si>
  <si>
    <t>PCX2507219</t>
  </si>
  <si>
    <t>PCX2507225</t>
  </si>
  <si>
    <t>PCX2507197</t>
  </si>
  <si>
    <t>L92716-ND2</t>
  </si>
  <si>
    <t>PCX2507194</t>
  </si>
  <si>
    <t>PCX2507169</t>
  </si>
  <si>
    <t>PCX2507187</t>
  </si>
  <si>
    <t>PCX2507175</t>
  </si>
  <si>
    <t>PCX2507184</t>
  </si>
  <si>
    <t>PCX2507203</t>
  </si>
  <si>
    <t>PCX2507178</t>
  </si>
  <si>
    <t>PCX2507181</t>
  </si>
  <si>
    <t>PCX2507172</t>
  </si>
  <si>
    <t>bkscha18bi3003</t>
  </si>
  <si>
    <t>M17094-161 , L79767-161</t>
  </si>
  <si>
    <t>FRA25- 000290</t>
  </si>
  <si>
    <t>bksdba18bhw00q</t>
  </si>
  <si>
    <t>24DSS23-0202114AKP1P21O851316</t>
  </si>
  <si>
    <t>FRA25- 000289</t>
  </si>
  <si>
    <t>24dss23'0202114akp1p21o8b4089</t>
  </si>
  <si>
    <t>24dss23'0202114akp1p21o711656</t>
  </si>
  <si>
    <t>24dss13'0102114akp1p21n672297</t>
  </si>
  <si>
    <t>24dss13'0102114akp1p21n676505</t>
  </si>
  <si>
    <t>24dss23'0202114akp1p21o710674</t>
  </si>
  <si>
    <t>24dss13'0102114akp1p21n672496</t>
  </si>
  <si>
    <t>24dss23'0202114akp1p21o9b2444</t>
  </si>
  <si>
    <t>24dss23'0202114akp1p21o8j2301</t>
  </si>
  <si>
    <t>24dss23'0202114akp1p21o8g2757</t>
  </si>
  <si>
    <t>24dss23'0202114akp1p21o895018</t>
  </si>
  <si>
    <t>md14c110vzks1kstoc90019</t>
  </si>
  <si>
    <t>md14c110vzks1kstoc90029</t>
  </si>
  <si>
    <t>24dss23'0202114akp1p21o8b3641</t>
  </si>
  <si>
    <t>24dss23'0202114akp1p21obo0238</t>
  </si>
  <si>
    <t>24dss23'0202114akp1p21o8j3109</t>
  </si>
  <si>
    <t>md14c110vzks1kstoc90066</t>
  </si>
  <si>
    <t>24dss23'0202114akp1p21o9d0890</t>
  </si>
  <si>
    <t>24dss23'0202114akp1p21o8f5221</t>
  </si>
  <si>
    <t>24DSS23-0202114AKP1P21O8O0264</t>
  </si>
  <si>
    <t>24dss22'0202114bk61j21obs7334</t>
  </si>
  <si>
    <t>M74470-ND1</t>
  </si>
  <si>
    <t>24dss22'0202114bk61j21oam0910</t>
  </si>
  <si>
    <t>5CD45088ZP</t>
  </si>
  <si>
    <t>MARLEX-6968, PANTALLA</t>
  </si>
  <si>
    <t>24dss22'0202114bk61j21oab2907</t>
  </si>
  <si>
    <t>24dss22'0202114bk61j21oco1815</t>
  </si>
  <si>
    <t>24dss22'0202114bk61j21ob84013</t>
  </si>
  <si>
    <t>PANTALLA DEFECTUOSA</t>
  </si>
  <si>
    <t>24dss22'0202114bk61j21obg3028</t>
  </si>
  <si>
    <t>md14j010vzks1ksup1c0117</t>
  </si>
  <si>
    <t>0md14j010vzks1ksup1c0069</t>
  </si>
  <si>
    <t>24dss22'0202114bk61j21obt3684</t>
  </si>
  <si>
    <t>24dss22'0202114bk61j21oap3103</t>
  </si>
  <si>
    <t>24dss22'0202114bk61j21obq1339</t>
  </si>
  <si>
    <t>24dss22'0202114bk61j21oaj2123</t>
  </si>
  <si>
    <t>24dss22'0202114bk61j21obf1442</t>
  </si>
  <si>
    <t>md14j01avzks1kstoab0001</t>
  </si>
  <si>
    <t>md14j01avzks1kstoab0012</t>
  </si>
  <si>
    <t>24dss22'0202114bk61j21oal0269</t>
  </si>
  <si>
    <t>24dss22'0202114bk61j21oaa3074</t>
  </si>
  <si>
    <t>24dss22'0202114bk61j21o9d0207</t>
  </si>
  <si>
    <t>24dss22'0202114bk61j21ocm3607</t>
  </si>
  <si>
    <t>24dss22'0202114bk61j21p170662</t>
  </si>
  <si>
    <t>24dss22'0202114bk61j21obm2132</t>
  </si>
  <si>
    <t>md14j010vzks1ksup1c0095</t>
  </si>
  <si>
    <t>24DSS22-0202114BK61J21O994001</t>
  </si>
  <si>
    <t>24dss22'0202114bk61j21o9r2118</t>
  </si>
  <si>
    <t>5CG31316YZ</t>
  </si>
  <si>
    <t>24dss22'0202114bk61j21p174316</t>
  </si>
  <si>
    <t>SPS-TOUCHPAD</t>
  </si>
  <si>
    <t>m071080014040b0dq8cq</t>
  </si>
  <si>
    <t>M07108-001</t>
  </si>
  <si>
    <t>ICT-FB25/03787</t>
  </si>
  <si>
    <t>m071080011360z00sxcq</t>
  </si>
  <si>
    <t>m071080014040b0dq9cq</t>
  </si>
  <si>
    <t>m071080014040b0dqacq</t>
  </si>
  <si>
    <t>m071080014040b0dqbcq</t>
  </si>
  <si>
    <t>m071080015340z06secq</t>
  </si>
  <si>
    <t>m071080015340z06skcq</t>
  </si>
  <si>
    <t xml:space="preserve">SPS-SCREW KIT </t>
  </si>
  <si>
    <t>24dss22'0202114bk61j21oas1615</t>
  </si>
  <si>
    <t>M07205-001</t>
  </si>
  <si>
    <t>SKO- SSD 256 GB</t>
  </si>
  <si>
    <t>n454770024430b0dmacq</t>
  </si>
  <si>
    <t>ICT-.FB25/03786</t>
  </si>
  <si>
    <t>n454770025381z00i0cz</t>
  </si>
  <si>
    <t>n454770025381z00i1cz</t>
  </si>
  <si>
    <t>N454770025381Z00I9CZ</t>
  </si>
  <si>
    <t>n454770025381z00i3cz</t>
  </si>
  <si>
    <t>n454770025381z00ibcz</t>
  </si>
  <si>
    <t>m071080015340z06sfcq</t>
  </si>
  <si>
    <t>ICT-FB25/03876</t>
  </si>
  <si>
    <t>m071080011380z00zecq</t>
  </si>
  <si>
    <t>m071080014320a055gcq</t>
  </si>
  <si>
    <t>m072050015360z01gqcq</t>
  </si>
  <si>
    <t>m072050015360z01grcq</t>
  </si>
  <si>
    <t>N187560013410Z000GCQ</t>
  </si>
  <si>
    <t>N18756-001</t>
  </si>
  <si>
    <t>N187560012420Z0003CQ</t>
  </si>
  <si>
    <t>6JKMH08WYEB2RK</t>
  </si>
  <si>
    <t>PCX2509038</t>
  </si>
  <si>
    <t>L72970-J93</t>
  </si>
  <si>
    <t>PCXEON</t>
  </si>
  <si>
    <t>PCX2509033</t>
  </si>
  <si>
    <t>pcx2509047</t>
  </si>
  <si>
    <t>pcx2509050</t>
  </si>
  <si>
    <t>pcx2509053</t>
  </si>
  <si>
    <t>pcx2509035</t>
  </si>
  <si>
    <t>pcx2509045</t>
  </si>
  <si>
    <t>pcx2509049</t>
  </si>
  <si>
    <t>pcx2509041</t>
  </si>
  <si>
    <t>pcx2509044</t>
  </si>
  <si>
    <t>pcx2508737</t>
  </si>
  <si>
    <t>pcx2508731</t>
  </si>
  <si>
    <t>pcx2508740</t>
  </si>
  <si>
    <t>pcx2508745</t>
  </si>
  <si>
    <t>5CG087277C</t>
  </si>
  <si>
    <t>pcx2508727</t>
  </si>
  <si>
    <t>pcx2508741</t>
  </si>
  <si>
    <t>pcx2508736</t>
  </si>
  <si>
    <t>pcx2508725</t>
  </si>
  <si>
    <t>pcx2508728</t>
  </si>
  <si>
    <t>pcx2508738</t>
  </si>
  <si>
    <t>pcx2508742</t>
  </si>
  <si>
    <t>pcx2508724</t>
  </si>
  <si>
    <t>pcx2508739</t>
  </si>
  <si>
    <t>pcx2508730</t>
  </si>
  <si>
    <t>pcx2508696</t>
  </si>
  <si>
    <t>pcx2508717</t>
  </si>
  <si>
    <t>pcx2508723</t>
  </si>
  <si>
    <t>pcx2508735</t>
  </si>
  <si>
    <t>pcx2508711</t>
  </si>
  <si>
    <t>pcx2508708</t>
  </si>
  <si>
    <t>pcx2508729</t>
  </si>
  <si>
    <t>pcx2508726</t>
  </si>
  <si>
    <t>pcx2508714</t>
  </si>
  <si>
    <t>pcx2508720</t>
  </si>
  <si>
    <t>TAPA TRASERA LCD</t>
  </si>
  <si>
    <t>pcx2509450</t>
  </si>
  <si>
    <t>pcx2509449</t>
  </si>
  <si>
    <t>pcx2509452</t>
  </si>
  <si>
    <t>pcx2509456</t>
  </si>
  <si>
    <t>pcx2509447</t>
  </si>
  <si>
    <t>pcx2509465</t>
  </si>
  <si>
    <t>pcx2509483</t>
  </si>
  <si>
    <t>pcx2509471</t>
  </si>
  <si>
    <t>pcx2509453</t>
  </si>
  <si>
    <t>pcx2509468</t>
  </si>
  <si>
    <t>pcx2509455</t>
  </si>
  <si>
    <t>pcx2509473</t>
  </si>
  <si>
    <t>pcx2509457</t>
  </si>
  <si>
    <t>pcx2509448</t>
  </si>
  <si>
    <t>pcx2509451</t>
  </si>
  <si>
    <t>pcx2509486</t>
  </si>
  <si>
    <t>pcx2509474</t>
  </si>
  <si>
    <t>pcx2509446</t>
  </si>
  <si>
    <t>pcx2509459</t>
  </si>
  <si>
    <t>pcx2509477</t>
  </si>
  <si>
    <t>pcx2509487</t>
  </si>
  <si>
    <t>PCX2509472</t>
  </si>
  <si>
    <t>PCX2509475</t>
  </si>
  <si>
    <t>PCX2509484</t>
  </si>
  <si>
    <t>PCX2509469</t>
  </si>
  <si>
    <t>PCX2509466</t>
  </si>
  <si>
    <t>PCX2509478</t>
  </si>
  <si>
    <t>PCX2509463</t>
  </si>
  <si>
    <t>PCX2509481</t>
  </si>
  <si>
    <t>pcx2508753</t>
  </si>
  <si>
    <t>pcx2508756</t>
  </si>
  <si>
    <t>pcx2508759</t>
  </si>
  <si>
    <t>pcx2508750</t>
  </si>
  <si>
    <t>pcx2508746</t>
  </si>
  <si>
    <t>pcx2508749</t>
  </si>
  <si>
    <t>pcx2508752</t>
  </si>
  <si>
    <t>pcx2508763</t>
  </si>
  <si>
    <t>pcx2508751</t>
  </si>
  <si>
    <t>pcx2508769</t>
  </si>
  <si>
    <t>PCX2508772</t>
  </si>
  <si>
    <t>PCX2508774</t>
  </si>
  <si>
    <t>PCX2508762</t>
  </si>
  <si>
    <t>PCX2508775</t>
  </si>
  <si>
    <t>PCX2508765</t>
  </si>
  <si>
    <t>PCX2508768</t>
  </si>
  <si>
    <t>PCX2508761</t>
  </si>
  <si>
    <t>PCX2508755</t>
  </si>
  <si>
    <t>PCX2508758</t>
  </si>
  <si>
    <t>PCX2508773</t>
  </si>
  <si>
    <t>PCX2508764</t>
  </si>
  <si>
    <t>PCX2508767</t>
  </si>
  <si>
    <t>PCX2508770</t>
  </si>
  <si>
    <t>PCX2508757</t>
  </si>
  <si>
    <t>PCX2508760</t>
  </si>
  <si>
    <t>PCX2508778</t>
  </si>
  <si>
    <t>PCX2508766</t>
  </si>
  <si>
    <t>PCX2508777</t>
  </si>
  <si>
    <t>PCX2508776</t>
  </si>
  <si>
    <t>PCX2508771</t>
  </si>
  <si>
    <t>N454770024110B06SVCQ</t>
  </si>
  <si>
    <t>N454770024110B06V5CQ</t>
  </si>
  <si>
    <t>N454770024110B06YDCQ</t>
  </si>
  <si>
    <t>PCX2604912</t>
  </si>
  <si>
    <t>F-022513</t>
  </si>
  <si>
    <t>PCX2604903</t>
  </si>
  <si>
    <t>PCX2604906</t>
  </si>
  <si>
    <t>PCX2604905</t>
  </si>
  <si>
    <t>PCX2604919</t>
  </si>
  <si>
    <t>PCX2604955</t>
  </si>
  <si>
    <t>PCX2604952</t>
  </si>
  <si>
    <t>PCX2604967</t>
  </si>
  <si>
    <t>PCX2604943</t>
  </si>
  <si>
    <t>PCX2604925</t>
  </si>
  <si>
    <t>PCX2604954</t>
  </si>
  <si>
    <t>PCX2604970</t>
  </si>
  <si>
    <t>PCX2604958</t>
  </si>
  <si>
    <t>PCX2604966</t>
  </si>
  <si>
    <t>PCX2604972</t>
  </si>
  <si>
    <t>PCX2604961</t>
  </si>
  <si>
    <t>PCX2604924</t>
  </si>
  <si>
    <t>PCX2604937</t>
  </si>
  <si>
    <t>PCX2604940</t>
  </si>
  <si>
    <t>PCX2604957</t>
  </si>
  <si>
    <t>PCX2604963</t>
  </si>
  <si>
    <t>PCX2604946</t>
  </si>
  <si>
    <t>PCX2604922</t>
  </si>
  <si>
    <t>PCX2604928</t>
  </si>
  <si>
    <t>PCX2509789</t>
  </si>
  <si>
    <t>PCX2604931</t>
  </si>
  <si>
    <t xml:space="preserve"> PCX2604942</t>
  </si>
  <si>
    <t>PCX2604934</t>
  </si>
  <si>
    <t>PCX2604939</t>
  </si>
  <si>
    <t>PCX2604897</t>
  </si>
  <si>
    <t>PCX2604900</t>
  </si>
  <si>
    <t>PCX2604927</t>
  </si>
  <si>
    <t>PCX2604948</t>
  </si>
  <si>
    <t>PCX2604945</t>
  </si>
  <si>
    <t>PCX2604926</t>
  </si>
  <si>
    <t>PCX2604941</t>
  </si>
  <si>
    <t>PCX2604918</t>
  </si>
  <si>
    <t>PCX2604933</t>
  </si>
  <si>
    <t>PCX2604936</t>
  </si>
  <si>
    <t>PCX2604909</t>
  </si>
  <si>
    <t>PCX2604921</t>
  </si>
  <si>
    <t>PCX2604930</t>
  </si>
  <si>
    <t>PCX2605618</t>
  </si>
  <si>
    <t>935443-JD1</t>
  </si>
  <si>
    <t xml:space="preserve"> F-022812</t>
  </si>
  <si>
    <t>PCX2605621</t>
  </si>
  <si>
    <t>PCX2605605</t>
  </si>
  <si>
    <t>PCX2605581</t>
  </si>
  <si>
    <t>PCX260562</t>
  </si>
  <si>
    <t>PCX2605614</t>
  </si>
  <si>
    <t>M81328-L62</t>
  </si>
  <si>
    <t>PCX2605617</t>
  </si>
  <si>
    <t>PCX2605612</t>
  </si>
  <si>
    <t>PCX2605615</t>
  </si>
  <si>
    <t>PCX2605623</t>
  </si>
  <si>
    <t>TCAZ4100DCQ9T0AAGP</t>
  </si>
  <si>
    <t>M034490714440A00VRCQ</t>
  </si>
  <si>
    <t>TCAZ4100DCQ9T0AATF</t>
  </si>
  <si>
    <t>TCAZ4100DCQ9T0AAIH</t>
  </si>
  <si>
    <t>TCAZ4100DCQ9T0AAHN</t>
  </si>
  <si>
    <t>TCAZ4100DCQ9T0AABL</t>
  </si>
  <si>
    <t>PCX2600028</t>
  </si>
  <si>
    <t>PCX2600052</t>
  </si>
  <si>
    <t>HP PROBOOK 435 G7 / G8 / G9</t>
  </si>
  <si>
    <t>PCX2600049</t>
  </si>
  <si>
    <t>PCX2600026</t>
  </si>
  <si>
    <t>PCX2600126</t>
  </si>
  <si>
    <t>PCX2600150</t>
  </si>
  <si>
    <t>PCX2600038</t>
  </si>
  <si>
    <t>PCX2600129</t>
  </si>
  <si>
    <t>PCX2600124</t>
  </si>
  <si>
    <t>PCX2600019</t>
  </si>
  <si>
    <t>PCX2600009</t>
  </si>
  <si>
    <t>PCX2600016</t>
  </si>
  <si>
    <t>PCX2600018</t>
  </si>
  <si>
    <t>PCX2604402</t>
  </si>
  <si>
    <t>PCX2604407</t>
  </si>
  <si>
    <t>PCX2604410</t>
  </si>
  <si>
    <t>PCX2600008</t>
  </si>
  <si>
    <t>PCX2604401</t>
  </si>
  <si>
    <t>PCX2600005</t>
  </si>
  <si>
    <t>PCX2600023</t>
  </si>
  <si>
    <t>PCX2600021</t>
  </si>
  <si>
    <t>PCX2600011</t>
  </si>
  <si>
    <t>PCX2600013</t>
  </si>
  <si>
    <t>PCX2600006</t>
  </si>
  <si>
    <t>PCX2600003</t>
  </si>
  <si>
    <t>PCX2600025</t>
  </si>
  <si>
    <t>PCX2600002</t>
  </si>
  <si>
    <t>PCX2600017</t>
  </si>
  <si>
    <t>PCX2600020</t>
  </si>
  <si>
    <t>PCX2600044</t>
  </si>
  <si>
    <t>PCX2600048</t>
  </si>
  <si>
    <t>PCX2600041</t>
  </si>
  <si>
    <t>PCX2600050</t>
  </si>
  <si>
    <t>PCX2600015</t>
  </si>
  <si>
    <t>PCX2600027</t>
  </si>
  <si>
    <t>PCX2600007</t>
  </si>
  <si>
    <t>PCX2600024</t>
  </si>
  <si>
    <t>PCX2600037</t>
  </si>
  <si>
    <t>PCX2600040</t>
  </si>
  <si>
    <t>PCX2600043</t>
  </si>
  <si>
    <t>PCX2600046</t>
  </si>
  <si>
    <t>PCX2600055</t>
  </si>
  <si>
    <t>PCX2600045</t>
  </si>
  <si>
    <t>PCX2600051</t>
  </si>
  <si>
    <t>PCX2600031</t>
  </si>
  <si>
    <t>PCX2600053</t>
  </si>
  <si>
    <t>PCX2600054</t>
  </si>
  <si>
    <t>PCX2600039</t>
  </si>
  <si>
    <t>PCX2600042</t>
  </si>
  <si>
    <t>PCX2600093</t>
  </si>
  <si>
    <t>PCX2600116</t>
  </si>
  <si>
    <t>PCX2600119</t>
  </si>
  <si>
    <t>PCX2600113</t>
  </si>
  <si>
    <t>PCX2600110</t>
  </si>
  <si>
    <t>PCX2600107</t>
  </si>
  <si>
    <t>PCX2600104</t>
  </si>
  <si>
    <t>PCX2600098</t>
  </si>
  <si>
    <t>PCX2600090</t>
  </si>
  <si>
    <t>PCX2600099</t>
  </si>
  <si>
    <t>PCX2600117</t>
  </si>
  <si>
    <t>PCX2600114</t>
  </si>
  <si>
    <t>PCX2600111</t>
  </si>
  <si>
    <t>PCX2600105</t>
  </si>
  <si>
    <t>PCX2600108</t>
  </si>
  <si>
    <t>PCX2600112</t>
  </si>
  <si>
    <t>PCX2600109</t>
  </si>
  <si>
    <t>PCX2600100</t>
  </si>
  <si>
    <t>PCX2600118</t>
  </si>
  <si>
    <t>PCX2600102</t>
  </si>
  <si>
    <t>PCX2600115</t>
  </si>
  <si>
    <t>PCX2600096</t>
  </si>
  <si>
    <t>PCX2600091</t>
  </si>
  <si>
    <t>PCX2600137</t>
  </si>
  <si>
    <t>PCX2600120</t>
  </si>
  <si>
    <t>PCX2600128</t>
  </si>
  <si>
    <t>PCX2600097</t>
  </si>
  <si>
    <t>PCX2600106</t>
  </si>
  <si>
    <t>PCX2600130</t>
  </si>
  <si>
    <t>PCX2600152</t>
  </si>
  <si>
    <t>PCX2600103</t>
  </si>
  <si>
    <t>PCX2600149</t>
  </si>
  <si>
    <t>PCX2600121</t>
  </si>
  <si>
    <t>PCX2600146</t>
  </si>
  <si>
    <t>PCX2600122</t>
  </si>
  <si>
    <t>PCX2600143</t>
  </si>
  <si>
    <t>PCX2600125</t>
  </si>
  <si>
    <t>PCX2600140</t>
  </si>
  <si>
    <t>PCX2600134</t>
  </si>
  <si>
    <t>PCX2600131</t>
  </si>
  <si>
    <t>PCX2600127</t>
  </si>
  <si>
    <t>PCX2600142</t>
  </si>
  <si>
    <t>PCX2600133</t>
  </si>
  <si>
    <t>PCX2600151</t>
  </si>
  <si>
    <t>PCX2600136</t>
  </si>
  <si>
    <t>PCX2600148</t>
  </si>
  <si>
    <t>PCX2600139</t>
  </si>
  <si>
    <t>PCX2600145</t>
  </si>
  <si>
    <t>PCX2600089</t>
  </si>
  <si>
    <t>PCX2600067</t>
  </si>
  <si>
    <t>PCX2600088</t>
  </si>
  <si>
    <t>PCX2600082</t>
  </si>
  <si>
    <t>PCX2600079</t>
  </si>
  <si>
    <t>PCX2600086</t>
  </si>
  <si>
    <t>PCX2600101</t>
  </si>
  <si>
    <t>PCX2600083</t>
  </si>
  <si>
    <t>PCX2600092</t>
  </si>
  <si>
    <t>PCX2600080</t>
  </si>
  <si>
    <t>PCX2600095</t>
  </si>
  <si>
    <t>PCX2600068</t>
  </si>
  <si>
    <t>PCX2600071</t>
  </si>
  <si>
    <t>PCX2600065</t>
  </si>
  <si>
    <t>PCX2600062</t>
  </si>
  <si>
    <t>PCX2600077</t>
  </si>
  <si>
    <t>PCX2600059</t>
  </si>
  <si>
    <t>PCX2600074</t>
  </si>
  <si>
    <t>PCX2600076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</si>
  <si>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</si>
  <si>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PCX2600069</t>
  </si>
  <si>
    <t>PCX2600073</t>
  </si>
  <si>
    <t>PCX2600072</t>
  </si>
  <si>
    <t>PCX2600070</t>
  </si>
  <si>
    <t>PCX2600075</t>
  </si>
  <si>
    <t>PCX2600061</t>
  </si>
  <si>
    <t>PCX2600081</t>
  </si>
  <si>
    <t>PCX2600085</t>
  </si>
  <si>
    <t>PCX2600056</t>
  </si>
  <si>
    <t>PCX2600058</t>
  </si>
  <si>
    <t>PCX2600057</t>
  </si>
  <si>
    <t>PCX2606150</t>
  </si>
  <si>
    <t>PCX2606165</t>
  </si>
  <si>
    <t>PCX2606039</t>
  </si>
  <si>
    <t>PCX2606042</t>
  </si>
  <si>
    <t>PCX2606162</t>
  </si>
  <si>
    <t>PCX2606147</t>
  </si>
  <si>
    <t>PCX2606051</t>
  </si>
  <si>
    <t>PCX2606033</t>
  </si>
  <si>
    <t>PCX2606030</t>
  </si>
  <si>
    <t>PCX2606027</t>
  </si>
  <si>
    <t>PCX2606099</t>
  </si>
  <si>
    <t>PCX2606081</t>
  </si>
  <si>
    <t>PCX2606078</t>
  </si>
  <si>
    <t>PCX2606087</t>
  </si>
  <si>
    <t>PCX2606096</t>
  </si>
  <si>
    <t>PCX2606024</t>
  </si>
  <si>
    <t>PCX2605958</t>
  </si>
  <si>
    <t>PCX2605757</t>
  </si>
  <si>
    <t>PCX2605955</t>
  </si>
  <si>
    <t>PCX2605943</t>
  </si>
  <si>
    <t>PCX2605763</t>
  </si>
  <si>
    <t>Marco inferior LCD</t>
  </si>
  <si>
    <t>PCX2606138</t>
  </si>
  <si>
    <t>PCX2606135</t>
  </si>
  <si>
    <t>PCX2606132</t>
  </si>
  <si>
    <t>PCX2606060</t>
  </si>
  <si>
    <t>PCX2606141</t>
  </si>
  <si>
    <t>PCX2606174</t>
  </si>
  <si>
    <t>PCX2605751</t>
  </si>
  <si>
    <t>PCX2606156</t>
  </si>
  <si>
    <t>PCX2606159</t>
  </si>
  <si>
    <t>PCX2606090</t>
  </si>
  <si>
    <t>PCX2606168</t>
  </si>
  <si>
    <t>PCX2605745</t>
  </si>
  <si>
    <t xml:space="preserve">EQUIPOS DE GARANTIA </t>
  </si>
  <si>
    <t>EQUIPOS QUE HAN VUELTO POR OTRA AVERIA</t>
  </si>
  <si>
    <t>EQUIPOS QUE HAN SIDO REPARADOS LA PLACA BASE POR BRAISIRIA</t>
  </si>
  <si>
    <t>EQUIPOS QUE HAN LLEGADO A NUESTRAS INSTALACIONES ( POR REPARAR , POR ENTREGAR )</t>
  </si>
  <si>
    <t>EQUIPOS QUE SE PRESUPUESTA Y SE ENVIA AL USUARIO</t>
  </si>
  <si>
    <t>EQUIPOS ENVIADOS A CADA CEDE PARA FACTURAR</t>
  </si>
  <si>
    <t>EQUIPOS QUE NO ESTAN EN NUESTRAS INSTALACIONES</t>
  </si>
  <si>
    <t xml:space="preserve">MARCO DE PANTALLA </t>
  </si>
  <si>
    <t xml:space="preserve">CAMBIO DE PANTALLA/ FLESH DE VIDEO </t>
  </si>
  <si>
    <t>PCX2605703</t>
  </si>
  <si>
    <t>PCX2605304</t>
  </si>
  <si>
    <t>PCX2605301</t>
  </si>
  <si>
    <t>PCX2605298</t>
  </si>
  <si>
    <t>PCX2605979</t>
  </si>
  <si>
    <t>PCX2605994</t>
  </si>
  <si>
    <t>PCX2605652</t>
  </si>
  <si>
    <t>PCX2605646</t>
  </si>
  <si>
    <t>PCX2605709</t>
  </si>
  <si>
    <t>PLACA BASE ( GARANTIA )</t>
  </si>
  <si>
    <t>COVER TECLADO ( GARANTÍA)</t>
  </si>
  <si>
    <t>PLACA BASE SI PROCEDE LA GARANTÍA</t>
  </si>
  <si>
    <t>PANTALLA ROTA NO PROCEDE GARANTÍA</t>
  </si>
  <si>
    <t>PLACA BASE  PROCEDE LA GARANTÍA</t>
  </si>
  <si>
    <t>COVER TECLADO  PROCEDE LA GARANTIA</t>
  </si>
  <si>
    <t xml:space="preserve">NO </t>
  </si>
  <si>
    <t xml:space="preserve">SI </t>
  </si>
  <si>
    <t xml:space="preserve">NO  </t>
  </si>
  <si>
    <t>PLACA BASE(NO PROCEDE LA GARANTIA )/ COVER TECLADO</t>
  </si>
  <si>
    <t xml:space="preserve">PLACA BASE NO PROCEDE LA GARANTIA POR HUMEDAD </t>
  </si>
  <si>
    <t xml:space="preserve">PLACA BASE NO ENCIENDE </t>
  </si>
  <si>
    <t xml:space="preserve"> PLACA BASE / COVER PANTALLA /GOMAS </t>
  </si>
  <si>
    <t>COVER PANTALLA/PLACA BASE/COVER TECLADO</t>
  </si>
  <si>
    <t>BATERIA /COVER TECLADO</t>
  </si>
  <si>
    <t xml:space="preserve">PLACA BASE ( GARANTÍA ) /PANTALLA ROTA </t>
  </si>
  <si>
    <t>COVER TECLADO NO PROCEDE LA GARANTIA</t>
  </si>
  <si>
    <t>COVER TECLADO  PRCEDE LA GARANTIA</t>
  </si>
  <si>
    <t>PLACA BASE/ GOMAS /COVER TECLADO</t>
  </si>
  <si>
    <t xml:space="preserve">COVER PANTALLA/TAPA TRASERA </t>
  </si>
  <si>
    <t>FALLA TOUCHPAD/BISAGRAS</t>
  </si>
  <si>
    <t>TOUCHPAD/BISAGRAS/BATERIA</t>
  </si>
  <si>
    <t>Cambio pantalla / tapa trasera</t>
  </si>
  <si>
    <t xml:space="preserve">COVER PANTALLA/TAPATRASERA </t>
  </si>
  <si>
    <t>PLACA BASE POR GARANTÍA</t>
  </si>
  <si>
    <t xml:space="preserve">5CG05206W3   </t>
  </si>
  <si>
    <t xml:space="preserve"> TAPA TRASERA LCD / PANTALLA / TECLADO COVER</t>
  </si>
  <si>
    <t>COVER PANTALLA/COVER TECLADO/TAPA TRASERA</t>
  </si>
  <si>
    <t>COVER PANTALLA /TAPA TRASERA</t>
  </si>
  <si>
    <t xml:space="preserve"> TCBWA101DCN3S0ACFT</t>
  </si>
  <si>
    <t>COVER TECLADO/PANTALLA/TOUCHPAD/BATERIA/TAPA LCD</t>
  </si>
  <si>
    <t>COVER TECLADO /TAPA TRASERA</t>
  </si>
  <si>
    <t>reparacion de placa base</t>
  </si>
  <si>
    <t>PANTALLA/TOUCHPAD /BATERIA</t>
  </si>
  <si>
    <t>04/03/2026 SE VUELVE A ENVIAR</t>
  </si>
  <si>
    <t>LLEGO CON ESTE NUMERO DE SERIE EN LA LISTA DE CRISTINA CANO 5CG0517DRK</t>
  </si>
  <si>
    <t>5CG1017Q0T</t>
  </si>
  <si>
    <t>BATERIA/FLESH DE TOUCHPAD</t>
  </si>
  <si>
    <t>reparacion placa base</t>
  </si>
  <si>
    <t xml:space="preserve">HP 845 G8 </t>
  </si>
  <si>
    <t xml:space="preserve">HP 845 G7 </t>
  </si>
  <si>
    <t xml:space="preserve">hP 845 G9 </t>
  </si>
  <si>
    <t>24DSS13-0102114AKP1P21N672496</t>
  </si>
  <si>
    <t xml:space="preserve">PANTALLA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</si>
  <si>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</si>
  <si>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HP ELITEBOOK 845 G7</t>
  </si>
  <si>
    <t>5CG0520754</t>
  </si>
  <si>
    <t>K104488</t>
  </si>
  <si>
    <t>5CG509415M</t>
  </si>
  <si>
    <t>fallo de pantalla</t>
  </si>
  <si>
    <t>K053631</t>
  </si>
  <si>
    <t>5CG1279WNP</t>
  </si>
  <si>
    <t>TECLA 8 ROTA</t>
  </si>
  <si>
    <t>K104489</t>
  </si>
  <si>
    <t>5CG50940XR</t>
  </si>
  <si>
    <t>HP845 G11</t>
  </si>
  <si>
    <t>FALLO DE PANTALLA</t>
  </si>
  <si>
    <t>K045348</t>
  </si>
  <si>
    <t>5CG40753RJ</t>
  </si>
  <si>
    <t>FALLA TECLAS "SHIFT" "ALT GR"</t>
  </si>
  <si>
    <t>N989165</t>
  </si>
  <si>
    <t>5CG2073LNW</t>
  </si>
  <si>
    <t>HP845 G8</t>
  </si>
  <si>
    <t>N989160</t>
  </si>
  <si>
    <t>5CG2073KLR</t>
  </si>
  <si>
    <t>FALLA DISCO</t>
  </si>
  <si>
    <t>N874219</t>
  </si>
  <si>
    <t>5CG04637V9</t>
  </si>
  <si>
    <t>PARPADEOS DE PANTALLA</t>
  </si>
  <si>
    <t>TECLAS "B", "Y" FUNCIONAN DE FORMA IRREGULAR</t>
  </si>
  <si>
    <t>K008935</t>
  </si>
  <si>
    <t>5CG3131HFF</t>
  </si>
  <si>
    <t>Falla tecla "A"</t>
  </si>
  <si>
    <t>K055995</t>
  </si>
  <si>
    <t>5CG407542V</t>
  </si>
  <si>
    <t>K104072</t>
  </si>
  <si>
    <t>5CG5091TCS</t>
  </si>
  <si>
    <t>K008833</t>
  </si>
  <si>
    <t>5CG3131GXT</t>
  </si>
  <si>
    <t>Tecla saltada</t>
  </si>
  <si>
    <t>No carga batería</t>
  </si>
  <si>
    <t>N989079</t>
  </si>
  <si>
    <t>5CG207350M</t>
  </si>
  <si>
    <t>Fallo Pantalla</t>
  </si>
  <si>
    <t>K116921</t>
  </si>
  <si>
    <t>N917653</t>
  </si>
  <si>
    <t>5CG0515VRJ</t>
  </si>
  <si>
    <t>Falla tecla E</t>
  </si>
  <si>
    <t>K010643</t>
  </si>
  <si>
    <t>5CG3131FZN</t>
  </si>
  <si>
    <t>Touchpad ko</t>
  </si>
  <si>
    <t>K116907</t>
  </si>
  <si>
    <t>N873827</t>
  </si>
  <si>
    <t>5CG1017Q7X</t>
  </si>
  <si>
    <t>Teclado y bateria ko</t>
  </si>
  <si>
    <t>K010906</t>
  </si>
  <si>
    <t>5CG3131D57</t>
  </si>
  <si>
    <t>Fallo tecla suprimir</t>
  </si>
  <si>
    <t>Falla tecla espacio</t>
  </si>
  <si>
    <t>K110561</t>
  </si>
  <si>
    <t>5CG04727M9</t>
  </si>
  <si>
    <t>Teclado Ko</t>
  </si>
  <si>
    <t>N874286</t>
  </si>
  <si>
    <t>5CG046391K</t>
  </si>
  <si>
    <t>teclado ko</t>
  </si>
  <si>
    <t>COVER TECLADO/COVER PANTALLA</t>
  </si>
  <si>
    <t>N924478</t>
  </si>
  <si>
    <t>5CG1070LWN</t>
  </si>
  <si>
    <t>Fallo conector de carga</t>
  </si>
  <si>
    <t>Fallo Tarjeta de red</t>
  </si>
  <si>
    <t>N923989</t>
  </si>
  <si>
    <t>5CG04727LC</t>
  </si>
  <si>
    <t>Batería KO</t>
  </si>
  <si>
    <t>N921427</t>
  </si>
  <si>
    <t>5CG1041GRJ</t>
  </si>
  <si>
    <t>Falla teclado por liquido</t>
  </si>
  <si>
    <t>N874142</t>
  </si>
  <si>
    <t>5CG0463923</t>
  </si>
  <si>
    <t>Tecla E KO</t>
  </si>
  <si>
    <t>Parte inferior Pantalla KO</t>
  </si>
  <si>
    <t>K008894</t>
  </si>
  <si>
    <t>5CG3131FVN</t>
  </si>
  <si>
    <t>Teclas lado izquierdo no funcionan</t>
  </si>
  <si>
    <t>vino de barcelona pero en el Equipos de reparacion aparece en noviembre enviado desde plaza castilla</t>
  </si>
  <si>
    <t>K116914</t>
  </si>
  <si>
    <t>Touchpad no va</t>
  </si>
  <si>
    <t>al mover pantalla pierde la imagen</t>
  </si>
  <si>
    <t>N953926</t>
  </si>
  <si>
    <t>5CG1281RNB</t>
  </si>
  <si>
    <t>N036911</t>
  </si>
  <si>
    <t>5CG3131GZL</t>
  </si>
  <si>
    <t>Teclado tecla T</t>
  </si>
  <si>
    <t>SUSTITUCION DE TOUCHPAD/BATERIA</t>
  </si>
  <si>
    <t>TOUCHPAD/BATERIA</t>
  </si>
  <si>
    <t>REPARACION DE PLACA BASE/COVER TECLADO</t>
  </si>
  <si>
    <t xml:space="preserve"> PLACA BASE/COVER TECLADO</t>
  </si>
  <si>
    <t>REPACION DE PLACA BASE / COVER TECLADO ( FALTA)</t>
  </si>
  <si>
    <t>PLACA BASE/DISCO DURO /TECLADO COVER ( FALTA)</t>
  </si>
  <si>
    <t>PLACA BASE/DISCO DURO/BATERIA/TECLADO COVER</t>
  </si>
  <si>
    <t xml:space="preserve">VOLVIO EL EQUIPO </t>
  </si>
  <si>
    <t>18/02/202</t>
  </si>
  <si>
    <t>5CG0514G0X</t>
  </si>
  <si>
    <t>5CG3131DYZ</t>
  </si>
  <si>
    <t>5CG1070N10</t>
  </si>
  <si>
    <t>5CG5101G7B</t>
  </si>
  <si>
    <t>5CG1254R2W</t>
  </si>
  <si>
    <t>5CG3131DXR</t>
  </si>
  <si>
    <t>5CG3131F82</t>
  </si>
  <si>
    <t>5CG0515SSJ</t>
  </si>
  <si>
    <t>5CG4194KLR</t>
  </si>
  <si>
    <t>5CG33549LV</t>
  </si>
  <si>
    <t>5CG3131GQW</t>
  </si>
  <si>
    <t>5CG046385P</t>
  </si>
  <si>
    <t>5CG0515TT4</t>
  </si>
  <si>
    <t>5CG1072D68</t>
  </si>
  <si>
    <t>5CG0515RXQ</t>
  </si>
  <si>
    <t>5CG0517FBD</t>
  </si>
  <si>
    <t>5CG0514G0M</t>
  </si>
  <si>
    <t>5CG3131FV8</t>
  </si>
  <si>
    <t>5CG1083MKK</t>
  </si>
  <si>
    <t>5CG1017Q0B</t>
  </si>
  <si>
    <t>HP435 G10</t>
  </si>
  <si>
    <t>HP435 </t>
  </si>
  <si>
    <t>FALLO BATERIA/COVER TRASERA DAÑADO</t>
  </si>
  <si>
    <t>PANTALLA ROTA/NO ENCIENDE</t>
  </si>
  <si>
    <t>PUERTO USB C DAÑADO</t>
  </si>
  <si>
    <t>NO FUNCION TOUCHPAD</t>
  </si>
  <si>
    <t>APAGADOS</t>
  </si>
  <si>
    <t>apagados continuos/teclado roto</t>
  </si>
  <si>
    <t>CARCASA GOLPEADA/FALLO BATERIA</t>
  </si>
  <si>
    <t>CARCASA ROTA/CAMARA ROTA</t>
  </si>
  <si>
    <t>TECLA SHIFT ROTA</t>
  </si>
  <si>
    <t>TECLA R ROTA</t>
  </si>
  <si>
    <t>n929967</t>
  </si>
  <si>
    <t>k043323</t>
  </si>
  <si>
    <t>n923841</t>
  </si>
  <si>
    <t>n922716</t>
  </si>
  <si>
    <t>n922657</t>
  </si>
  <si>
    <t>N918949</t>
  </si>
  <si>
    <t>K036671</t>
  </si>
  <si>
    <t>N920641</t>
  </si>
  <si>
    <t>K047356</t>
  </si>
  <si>
    <t>N945647</t>
  </si>
  <si>
    <t>K010561</t>
  </si>
  <si>
    <t>K010570</t>
  </si>
  <si>
    <t>N917639</t>
  </si>
  <si>
    <t>K057122</t>
  </si>
  <si>
    <t>K040441</t>
  </si>
  <si>
    <t>K010546</t>
  </si>
  <si>
    <t>N855966</t>
  </si>
  <si>
    <t>n914122</t>
  </si>
  <si>
    <t>n875207</t>
  </si>
  <si>
    <t>N916637</t>
  </si>
  <si>
    <t>N918632</t>
  </si>
  <si>
    <t>N922523</t>
  </si>
  <si>
    <t>K037266</t>
  </si>
  <si>
    <t>N931357</t>
  </si>
  <si>
    <t xml:space="preserve">K113576 </t>
  </si>
  <si>
    <t>HP435 G10</t>
  </si>
  <si>
    <t>hp 435 G10</t>
  </si>
  <si>
    <t>5CG3131FBF</t>
  </si>
  <si>
    <t>5CG5091SZC</t>
  </si>
  <si>
    <t>5CG0515SRC</t>
  </si>
  <si>
    <t>5CG3131FV9</t>
  </si>
  <si>
    <t>5CG3300WLZ</t>
  </si>
  <si>
    <t>5CG15117WK</t>
  </si>
  <si>
    <t>5CG4081QLY</t>
  </si>
  <si>
    <t>5CG0517HYH</t>
  </si>
  <si>
    <t>5CG15116W8</t>
  </si>
  <si>
    <t>5CG3021J71</t>
  </si>
  <si>
    <t>5CG34444G8</t>
  </si>
  <si>
    <t>5CG3515314</t>
  </si>
  <si>
    <t>5CG3131HDK</t>
  </si>
  <si>
    <t>5CG3131CWM</t>
  </si>
  <si>
    <t>5CG1279Z2M</t>
  </si>
  <si>
    <t>5CG2401GP5</t>
  </si>
  <si>
    <t>5CG2073LFM</t>
  </si>
  <si>
    <t>5CG5091TFS</t>
  </si>
  <si>
    <t>FALLA PANTALLA</t>
  </si>
  <si>
    <t>Cambiar Etiqueta NAME en BIOS</t>
  </si>
  <si>
    <t>Falla Touchpad (parte izda)</t>
  </si>
  <si>
    <t>Teclado Letra "i"</t>
  </si>
  <si>
    <t>TOUCHPAD DAÑADO, TAPA SEMIABIERTA</t>
  </si>
  <si>
    <t>PANTALLA EN NEGRO Y BLOQUEADO</t>
  </si>
  <si>
    <t xml:space="preserve">FALLAS TECLAS Q ,A, Z, </t>
  </si>
  <si>
    <t>FALLA TECLA 5</t>
  </si>
  <si>
    <t>Fallo HW</t>
  </si>
  <si>
    <t>FALLO TOUCHPAD</t>
  </si>
  <si>
    <t>S.O. KO POSIBLE ROTURA DISCO</t>
  </si>
  <si>
    <t>PANTALLA DAÑADA GOMAS PARTE POSTERIOR</t>
  </si>
  <si>
    <t>SE CALIENTA MUCHO + GOMAS DE ABAJO</t>
  </si>
  <si>
    <t>FALLO BIOS</t>
  </si>
  <si>
    <t>Pantallazos Azules</t>
  </si>
  <si>
    <t>Tarjeta de red KO</t>
  </si>
  <si>
    <t>Pantallazos azules</t>
  </si>
  <si>
    <t>Camara Ko</t>
  </si>
  <si>
    <t>teclas ko</t>
  </si>
  <si>
    <t>bsod (PANTALLAZOS AZULES)</t>
  </si>
  <si>
    <t>BAteria KO</t>
  </si>
  <si>
    <t>K010949</t>
  </si>
  <si>
    <t>K047870</t>
  </si>
  <si>
    <t>K116913</t>
  </si>
  <si>
    <t>N916833</t>
  </si>
  <si>
    <t>K008803</t>
  </si>
  <si>
    <t>K116911</t>
  </si>
  <si>
    <t>K038288</t>
  </si>
  <si>
    <t>N992144</t>
  </si>
  <si>
    <t>K058676</t>
  </si>
  <si>
    <t>N922466</t>
  </si>
  <si>
    <t>N992138</t>
  </si>
  <si>
    <t>K028160</t>
  </si>
  <si>
    <t>K040914</t>
  </si>
  <si>
    <t>K044674</t>
  </si>
  <si>
    <t>K037234</t>
  </si>
  <si>
    <t>K010891</t>
  </si>
  <si>
    <t>N944747</t>
  </si>
  <si>
    <t>N984151</t>
  </si>
  <si>
    <t>N989283</t>
  </si>
  <si>
    <t>K104297</t>
  </si>
  <si>
    <t>HP435 G8</t>
  </si>
  <si>
    <t>POR VER 5CG3021J7J</t>
  </si>
  <si>
    <t>HP435  G9</t>
  </si>
  <si>
    <t>K104467</t>
  </si>
  <si>
    <t>K040145</t>
  </si>
  <si>
    <t>N916901</t>
  </si>
  <si>
    <t>K006547</t>
  </si>
  <si>
    <t>K037170</t>
  </si>
  <si>
    <t>N933422</t>
  </si>
  <si>
    <t>K037215</t>
  </si>
  <si>
    <t>K036778</t>
  </si>
  <si>
    <t>5CG50940T2</t>
  </si>
  <si>
    <t>5CG33201LT</t>
  </si>
  <si>
    <t>5CG0515RXN</t>
  </si>
  <si>
    <t>5CG2412STH</t>
  </si>
  <si>
    <t>5CG3131HDY</t>
  </si>
  <si>
    <t>5CG1254PGD</t>
  </si>
  <si>
    <t>5CG3131FW9</t>
  </si>
  <si>
    <t>5CG3131D0V</t>
  </si>
  <si>
    <t>RUIDO VENTILADOR CONTINUO, NO MUESTRA IMAGEN</t>
  </si>
  <si>
    <t>TECLADO ROTO, RUIDO VENTILADOR</t>
  </si>
  <si>
    <t>TAPA FLOJA, HDMI NO FUNCIONA</t>
  </si>
  <si>
    <t>TAPA INFERIOR ROTA, PUERTOS Y PLASTICOS ROTOS</t>
  </si>
  <si>
    <t>BATERIA CARGA REGULAR</t>
  </si>
  <si>
    <t>TECLAS Q, A, 1, 2 NO FUNCIONAN</t>
  </si>
  <si>
    <t>N997098</t>
  </si>
  <si>
    <t>K113590</t>
  </si>
  <si>
    <t>K113587</t>
  </si>
  <si>
    <t>N922758</t>
  </si>
  <si>
    <t>K051085</t>
  </si>
  <si>
    <t>K036715</t>
  </si>
  <si>
    <t>K056033</t>
  </si>
  <si>
    <t>K114333</t>
  </si>
  <si>
    <t>M991589</t>
  </si>
  <si>
    <t>N922498</t>
  </si>
  <si>
    <t>N915935</t>
  </si>
  <si>
    <t>N914316</t>
  </si>
  <si>
    <t>K040011</t>
  </si>
  <si>
    <t>N918766</t>
  </si>
  <si>
    <t>N919007</t>
  </si>
  <si>
    <t>5CG1017RMB</t>
  </si>
  <si>
    <t>HP360 435 G8</t>
  </si>
  <si>
    <t>HP360 435 G7</t>
  </si>
  <si>
    <t>TECLA "T" NO FUNCIONA</t>
  </si>
  <si>
    <t>FALLO DE BATERIA</t>
  </si>
  <si>
    <t>FALLO BATERIA/TECLADO ROTO</t>
  </si>
  <si>
    <t>FALLO BATERIA/TECLADO ROTO/FALTA GOMA DE LA BASE</t>
  </si>
  <si>
    <t>ERROR PANTALLA AZUL</t>
  </si>
  <si>
    <t>MANCHA EN LA ESQUINA INFERIOR IZQUIERDA DE LA PANTALLA</t>
  </si>
  <si>
    <t>CARCASA TRASERA DESCUADRADA Y BISAGRA DERECHA ROTA</t>
  </si>
  <si>
    <t>CARCASA DE LAS BISAGRAS ROTA</t>
  </si>
  <si>
    <t>GOLPEADO EN LA ESQUINA SUPERIOR IZQUIERDA</t>
  </si>
  <si>
    <t>TECLADO DAÑADO</t>
  </si>
  <si>
    <t>FALLA TECLADO/SOPORTE DE PANTALLA ROTO</t>
  </si>
  <si>
    <t xml:space="preserve">5CG1511BK5  </t>
  </si>
  <si>
    <t xml:space="preserve">5CG1255V1N  </t>
  </si>
  <si>
    <t xml:space="preserve">5CG0486M7G  </t>
  </si>
  <si>
    <t xml:space="preserve">5CG0515TTJ  </t>
  </si>
  <si>
    <t xml:space="preserve">5CG0517HWW  </t>
  </si>
  <si>
    <t xml:space="preserve">5CG1072DM5  </t>
  </si>
  <si>
    <t xml:space="preserve">5CG3131CYG </t>
  </si>
  <si>
    <t xml:space="preserve">5CG4075414  </t>
  </si>
  <si>
    <t xml:space="preserve">5CG1070N18  </t>
  </si>
  <si>
    <t xml:space="preserve">5CG1518BR2  </t>
  </si>
  <si>
    <t xml:space="preserve">5CG0517FYJ  </t>
  </si>
  <si>
    <t xml:space="preserve">5CG10486H7  </t>
  </si>
  <si>
    <t xml:space="preserve">5CG0514HV3  </t>
  </si>
  <si>
    <t xml:space="preserve">5CG3300WK5  </t>
  </si>
  <si>
    <t xml:space="preserve">5CG0514HVD  </t>
  </si>
  <si>
    <t xml:space="preserve">5CG0514G4T  </t>
  </si>
  <si>
    <t>N930319</t>
  </si>
  <si>
    <t>K116906</t>
  </si>
  <si>
    <t>N916663</t>
  </si>
  <si>
    <t>N922468</t>
  </si>
  <si>
    <t>K008829</t>
  </si>
  <si>
    <t>K036647</t>
  </si>
  <si>
    <t>K051014</t>
  </si>
  <si>
    <t>K010838</t>
  </si>
  <si>
    <t>N874256</t>
  </si>
  <si>
    <t>N918720</t>
  </si>
  <si>
    <t>K105033</t>
  </si>
  <si>
    <t>K010843</t>
  </si>
  <si>
    <t>N988975</t>
  </si>
  <si>
    <t>N957035</t>
  </si>
  <si>
    <t>K057232</t>
  </si>
  <si>
    <t>N922944</t>
  </si>
  <si>
    <t>N923920</t>
  </si>
  <si>
    <t>K057242</t>
  </si>
  <si>
    <t>K010877</t>
  </si>
  <si>
    <t>K054659</t>
  </si>
  <si>
    <t>N874247</t>
  </si>
  <si>
    <t>N922396</t>
  </si>
  <si>
    <t>N917926</t>
  </si>
  <si>
    <t>K010830</t>
  </si>
  <si>
    <t>5CG1083MK8</t>
  </si>
  <si>
    <t>5CG0514G0C</t>
  </si>
  <si>
    <t>5CG0517FC9</t>
  </si>
  <si>
    <t>5CG3131GQ0</t>
  </si>
  <si>
    <t>5CG3131DZ1</t>
  </si>
  <si>
    <t>5CG4321YJF</t>
  </si>
  <si>
    <t>5CG3131CTZ</t>
  </si>
  <si>
    <t>5CG04638FN</t>
  </si>
  <si>
    <t>5CG5101G9D</t>
  </si>
  <si>
    <t>5CG3131FW2</t>
  </si>
  <si>
    <t>5CG2073LNG</t>
  </si>
  <si>
    <t>5CG9250PTH</t>
  </si>
  <si>
    <t>5CG4194B6D</t>
  </si>
  <si>
    <t>5CG1018BBP</t>
  </si>
  <si>
    <t>5CG04727C6</t>
  </si>
  <si>
    <t>5CG4194B6C</t>
  </si>
  <si>
    <t>5CG3131CXD</t>
  </si>
  <si>
    <t>5CG4321Y3C</t>
  </si>
  <si>
    <t>5CG046392G</t>
  </si>
  <si>
    <t>5CG0517H78</t>
  </si>
  <si>
    <t>5CG3131D43</t>
  </si>
  <si>
    <t>Ventilador</t>
  </si>
  <si>
    <t>Gomas y Golpeado</t>
  </si>
  <si>
    <t>Fallo HD &amp; Fallo maqueta</t>
  </si>
  <si>
    <t>Posible fallo placa o ram</t>
  </si>
  <si>
    <t>Fallo Pantalla, bateria y Falta tecla</t>
  </si>
  <si>
    <t>Pantalla KO, Teclado falta tecla</t>
  </si>
  <si>
    <t>touchpad ko</t>
  </si>
  <si>
    <t>Puertos USB y jack KO</t>
  </si>
  <si>
    <t>Teclado lateral izq del teclado falla</t>
  </si>
  <si>
    <t>Faltan tecla, pantallazos azules</t>
  </si>
  <si>
    <t>Fallan Puertos USB-C</t>
  </si>
  <si>
    <t>PARA DESPIECE</t>
  </si>
  <si>
    <t>teclado averiado</t>
  </si>
  <si>
    <t>touchpad averiado</t>
  </si>
  <si>
    <t>No arranca</t>
  </si>
  <si>
    <t>BOLITA DEL RATÓN DAÑADA</t>
  </si>
  <si>
    <t>NO ARRANCA POSIBLE BIOS O RAM</t>
  </si>
  <si>
    <t>HP435  G7</t>
  </si>
  <si>
    <t>5CG3131DX7</t>
  </si>
  <si>
    <t>HP  845 G7</t>
  </si>
  <si>
    <t>HP  435 G8</t>
  </si>
  <si>
    <t>HP  845 G10</t>
  </si>
  <si>
    <t>HP  845 G11</t>
  </si>
  <si>
    <t>HP  845 G9</t>
  </si>
  <si>
    <t>HP  435 G7</t>
  </si>
  <si>
    <t xml:space="preserve"> HP 435 G8</t>
  </si>
  <si>
    <t>5CG42665KC</t>
  </si>
  <si>
    <t>5CG2020VJ2</t>
  </si>
  <si>
    <t>5CG1330CWM</t>
  </si>
  <si>
    <t>5CG2303CLZ</t>
  </si>
  <si>
    <t>5CG4194B7K</t>
  </si>
  <si>
    <t>5CG04638CM</t>
  </si>
  <si>
    <t>5CG5091T5Q</t>
  </si>
  <si>
    <t>5CG3131DY8</t>
  </si>
  <si>
    <t>5CG3131DZK</t>
  </si>
  <si>
    <t>5CG0517GF8</t>
  </si>
  <si>
    <t>5CG0515V9Y</t>
  </si>
  <si>
    <t>5CG1072M24</t>
  </si>
  <si>
    <t>5CG0515SBC</t>
  </si>
  <si>
    <t>5CG1119HGZ</t>
  </si>
  <si>
    <t>5CG10792KH</t>
  </si>
  <si>
    <t>5CG1254S8B</t>
  </si>
  <si>
    <t>K051955</t>
  </si>
  <si>
    <t>N936302</t>
  </si>
  <si>
    <t>N956439</t>
  </si>
  <si>
    <t>N982309</t>
  </si>
  <si>
    <t>k057221</t>
  </si>
  <si>
    <t>k113571</t>
  </si>
  <si>
    <t>K104123</t>
  </si>
  <si>
    <t>K036741</t>
  </si>
  <si>
    <t>K112607</t>
  </si>
  <si>
    <t>K036786</t>
  </si>
  <si>
    <t>N916941</t>
  </si>
  <si>
    <t>N922555</t>
  </si>
  <si>
    <t>N924091</t>
  </si>
  <si>
    <t>N917745</t>
  </si>
  <si>
    <t>K050419</t>
  </si>
  <si>
    <t>N930000</t>
  </si>
  <si>
    <t>N933679</t>
  </si>
  <si>
    <t>PARTE IZQUIERDA DE LA PANTALLA QUEMADA</t>
  </si>
  <si>
    <t>TACTIL NO FUNCIONA, LED DE ENCENDIDO FUNDIDO</t>
  </si>
  <si>
    <t>PANTALLA DAÑADA/GOMAS TRASERAS DAÑADAS</t>
  </si>
  <si>
    <t>APAGADOS CONTINUOS / FALLA BATERIA</t>
  </si>
  <si>
    <t>SE HA CAIDO UN VASO DE AGUA EN TECLADO</t>
  </si>
  <si>
    <t>FALLA TECLA ENTER</t>
  </si>
  <si>
    <t>PUERTO HDMI DAÑADO</t>
  </si>
  <si>
    <t>APAGADOS CONTINUOS/TECLA E ROTA</t>
  </si>
  <si>
    <t>APAGADOS CONTINUOS/GOMAS TRASERAS ROTAS</t>
  </si>
  <si>
    <t>FALLA VENTILADOR/GOMAS TRASERAS ROTAS</t>
  </si>
  <si>
    <t>PUERTO USB C DAÑADO/GOMA TRASERA ROTA</t>
  </si>
  <si>
    <t>SE HA TESTEADO Y ACTUALIZADO BIOS Y SU FUNCIONAMIENTO CORRECTO ,LA PLACA ESTA CAMBIADA POR GARANTÍA</t>
  </si>
  <si>
    <t>RECAMBIAMOS COVER TECLADO Y SU FUNCIONAMIENTO CORRECTO</t>
  </si>
  <si>
    <t>COVER PANTALLA/COVER TECLADDO</t>
  </si>
  <si>
    <t>BATERIA ( GARANTÍA )</t>
  </si>
  <si>
    <t>COVER TECLADO /COVER PANTALLA</t>
  </si>
  <si>
    <t>PANTALLA/COVER TECLADO</t>
  </si>
  <si>
    <t>CAMARA WEB ( GARANTÍA )</t>
  </si>
  <si>
    <t>GOMAS TRASERAS/PLACA BASE</t>
  </si>
  <si>
    <t>PLACA BASE REPARACION</t>
  </si>
  <si>
    <t xml:space="preserve">GOMAS TAPA TRASERA/PLACA BASE </t>
  </si>
  <si>
    <t xml:space="preserve">BATERIA ( GARANTÍA )/BISAGRAS </t>
  </si>
  <si>
    <t>BATERIA ( GARANTÍA )/BISAGRAS</t>
  </si>
  <si>
    <t xml:space="preserve">TODO OK, SE REACONDICIONADO LA PARTE DE COVER TECLADO PINTADO </t>
  </si>
  <si>
    <t xml:space="preserve">FALLO DE TECLAS </t>
  </si>
  <si>
    <t>PLACA BASE SE REPARO EL USB C EL OTRO PUERTO NO SE PUDO REPARAR , FUNCIONA CORRECTAMENTE CON UNO</t>
  </si>
  <si>
    <t>SE ACTUALIZADO BIOS Y SU FUNCIONAMIENTO CORRECTO/COVER TECLADO ( GARANTÍA )</t>
  </si>
  <si>
    <t>PLACA BASE (GARANTÍA )</t>
  </si>
  <si>
    <t>PLACA BASE REPARACION/ DISCO DURO</t>
  </si>
  <si>
    <t>ACTUALIZACION DE BIOS Y PASTA TERMICA,FUNCIONAMIENTO CORRECTO</t>
  </si>
  <si>
    <t>SE RETIRA SU TOUCHPAD AL EQUIPO 5CG3131GXP ( SOLICITAR POR GARANTÍA TOUCHPAD)</t>
  </si>
  <si>
    <t>PANTALLA/COVER TECLADO( GARANTIA )</t>
  </si>
  <si>
    <t>COVER TECLADO ( GARANTIA ) / PANTALLA</t>
  </si>
  <si>
    <t>PLACA BASE ( GARANTIA )/TOUCHPAD</t>
  </si>
  <si>
    <t>SE HA UTILIZADO LA PANTALLA COMPLETA DE ESTE EQUIPO PARA EL EQUIPO 5CG3131H15,PERO ES SOLICITAR SOLAMENTE EL COVER LCD COMO GARANTÍA</t>
  </si>
  <si>
    <t>COVER TECLADO ( GARANTÍA)/COVER LCD NO PROCEDE GARANTÍA POR GOLPE</t>
  </si>
  <si>
    <t>PLACA BASE REPARACION /COVER TECLADO</t>
  </si>
  <si>
    <t>VOLVIO CON LAS TECLAS FISICAMENTE ROTAS Y SIN TECLAS</t>
  </si>
  <si>
    <t>BATERIA ( GARANTIA )</t>
  </si>
  <si>
    <t>BATERIA ( GARANTÍA)</t>
  </si>
  <si>
    <t>TOUCHPAD / BATERIA / COVER LCD</t>
  </si>
  <si>
    <t>PANTALLA/GOMAS TRASERAS</t>
  </si>
  <si>
    <t>GOMA TRASERA/PANTALLA</t>
  </si>
  <si>
    <t>SOLO SE COLOCO LA GOMA DE ABAJO ( SOLO UNA )</t>
  </si>
  <si>
    <t>GOMAS TRASERA</t>
  </si>
  <si>
    <t>SE HABIA DESCOLOCADO EL TOUCHPAD</t>
  </si>
  <si>
    <t>TOUCHPAD( ROTO)</t>
  </si>
  <si>
    <t>COVER TECLADO / GOMAS TRASERAS</t>
  </si>
  <si>
    <t>MARCO DE PANTALLA/COVER LCD</t>
  </si>
  <si>
    <t>SE ACTUALIZADO BIOS / SE HA MEJORADO SISTEMA DE REFRIGERACIÓN</t>
  </si>
  <si>
    <t>TESTEO Y TODO OK</t>
  </si>
  <si>
    <t>TESTEO TODO OK</t>
  </si>
  <si>
    <t>COVER TECLADO(GARANTÍA)</t>
  </si>
  <si>
    <t>COVER TECLADO ( GARANTÍA )</t>
  </si>
  <si>
    <t>COVER TECLADO / COVER LCD / PANTALLA</t>
  </si>
  <si>
    <t>BRAISIRIA</t>
  </si>
  <si>
    <t>ACTUALIZACION DE BIOS Y SU FUNCIONAMIENTO CORRECTO</t>
  </si>
  <si>
    <t>ACTUALIZACION BIOS Y FUNCIONAMIENTO CORRECTO</t>
  </si>
  <si>
    <t>ACTUALIZACION DE BIOS</t>
  </si>
  <si>
    <t>ACTUALIZACION DE BIOS FUNCIONAMIENTO CORRECTO</t>
  </si>
  <si>
    <t>COVER TECLADO /GOMAS TRASERA</t>
  </si>
  <si>
    <t>COVER TECLADO / COVER PANTALLA/GOMAS</t>
  </si>
  <si>
    <t>COVER PANTALLA ( NO PROCEDE LA GARANTIA POR ROTURA)</t>
  </si>
  <si>
    <t>COVER PANTALLA ( NO PROCEDE GARANTÍA POR GOLPE )</t>
  </si>
  <si>
    <t>SE HA SUSTITUIDO SU COVER PANTALLA POR EL EQUIPO 5CG3133581, SOLICITAR PIEZA POR GARANTÍA</t>
  </si>
  <si>
    <t xml:space="preserve">PLACA BASE /COVER LCD/DISCO DURO </t>
  </si>
  <si>
    <t>PLACA BASE ( GARANTÍA)</t>
  </si>
  <si>
    <t>PLACA BASE (GARANTÍA)</t>
  </si>
  <si>
    <t>COVER LCD</t>
  </si>
  <si>
    <t>BATERIA ( BATERIA)</t>
  </si>
  <si>
    <t>FLESH DE TOUCHPAD</t>
  </si>
  <si>
    <t>FLESH TOUCHPAD</t>
  </si>
  <si>
    <t>NO VEMOS NADA MUY NOTORIO PARA REEMPLAZAR PIEZA</t>
  </si>
  <si>
    <t>NO VEO NADA NOTORIO EN LA CARCASA PARA SER REEMPLAZADA</t>
  </si>
  <si>
    <t>COVER TECLADO /GOMAS TRASERAS</t>
  </si>
  <si>
    <t>COVER TECLADO/COVER PANTALLA/GOMAS</t>
  </si>
  <si>
    <t xml:space="preserve">SE ACTULIZACION DE BIOS Y MEJORA DE REFRIGERACION </t>
  </si>
  <si>
    <t>COVER LCD/PANTALLA</t>
  </si>
  <si>
    <t xml:space="preserve">REPARACION DE PLACA BASE / COVER TECLADO </t>
  </si>
  <si>
    <t>COVERTECLADO /GOMAS/REPARACION DE PLACA BASE</t>
  </si>
  <si>
    <t>FLESH DE TECLADO</t>
  </si>
  <si>
    <t>GOMAS TRASERAS/REPARACION DE PLACA BASE</t>
  </si>
  <si>
    <t>REPARACION DE PLACA BASE/COVER LCD</t>
  </si>
  <si>
    <t>REPARACION DE PLACA BASE/DISCO DURO/BATERIA/TECLADO COVER</t>
  </si>
  <si>
    <t>REPARACION DE PLACA BASE / COVER TECLADO</t>
  </si>
  <si>
    <t>SE SUSTITUYE PANTALLA A OTRO EQUIPO</t>
  </si>
  <si>
    <t>COVER TECLADO /COVER LCD</t>
  </si>
  <si>
    <t>PANTALLA/ TOUCHPAD</t>
  </si>
  <si>
    <t>COVER TECLADO (GARANTÍA)</t>
  </si>
  <si>
    <t xml:space="preserve">5CG127C3DD  </t>
  </si>
  <si>
    <t>HP EliteBook 845 G7/G8</t>
  </si>
  <si>
    <t>HP ProBook x360 435 G7/G8</t>
  </si>
  <si>
    <t>PCX2607797</t>
  </si>
  <si>
    <t>PCX2607826</t>
  </si>
  <si>
    <t>PCX2607830</t>
  </si>
  <si>
    <t>PCX2607823</t>
  </si>
  <si>
    <t>PCX2607820</t>
  </si>
  <si>
    <t>PCX2607817</t>
  </si>
  <si>
    <t>PCX2604796</t>
  </si>
  <si>
    <t>PCX2606016</t>
  </si>
  <si>
    <t>PCX2606001</t>
  </si>
  <si>
    <t>PCX2606022</t>
  </si>
  <si>
    <t>PCX2606006</t>
  </si>
  <si>
    <t>PCX2606000</t>
  </si>
  <si>
    <t>PCX2606019</t>
  </si>
  <si>
    <t>PCX2605998</t>
  </si>
  <si>
    <t>PCX2607807</t>
  </si>
  <si>
    <t>PCX2607795</t>
  </si>
  <si>
    <t>PCX2607810</t>
  </si>
  <si>
    <t>PCX2607813</t>
  </si>
  <si>
    <t>PCX2607804</t>
  </si>
  <si>
    <t>M15210-072</t>
  </si>
  <si>
    <t>M15210-073</t>
  </si>
  <si>
    <t>M15210-074</t>
  </si>
  <si>
    <t>M15210-075</t>
  </si>
  <si>
    <t>PCX2607791</t>
  </si>
  <si>
    <t>PCX2607794</t>
  </si>
  <si>
    <t>PCX2607809</t>
  </si>
  <si>
    <t>PCX2607803</t>
  </si>
  <si>
    <t>PCX2607806</t>
  </si>
  <si>
    <t>24DSS22'0202114AK61J21NBP0864</t>
  </si>
  <si>
    <t>24DSS22'0202114BK61J21O570625</t>
  </si>
  <si>
    <t>24DSS22'0202114AK61J21O211634</t>
  </si>
  <si>
    <t>24DSS22'0202114BK61J21OC43113</t>
  </si>
  <si>
    <t>24DSS22'0202114BK61J21OBD1825</t>
  </si>
  <si>
    <t>24DSS22'0202114BK61J21OBQ4323</t>
  </si>
  <si>
    <t>24DSS22'0202114BK61J21OC11938</t>
  </si>
  <si>
    <t>24DSS22'0202114BK61J21OCQ2009</t>
  </si>
  <si>
    <t>24DSS22'0202114BK61J21OBP3256</t>
  </si>
  <si>
    <t>24DSS22'0202114AK61J21O2B1673</t>
  </si>
  <si>
    <t>24DSS22'0102114AK61J21N6L2236</t>
  </si>
  <si>
    <t>24DSS22'0102114AK61J21N7J4227</t>
  </si>
  <si>
    <t>24DSS22'0202114BK61J21O3R2927</t>
  </si>
  <si>
    <t>24DSS22'0102114AK61J21N5J1487</t>
  </si>
  <si>
    <t>24DSS22'0202114BK61J21O8E0332</t>
  </si>
  <si>
    <t>24DSS22'0202114AK61J21O211868</t>
  </si>
  <si>
    <t>24DSS22'0202114AK61J21NBK1673</t>
  </si>
  <si>
    <t>24DSS22'0202114AK61J21O3L4694</t>
  </si>
  <si>
    <t>24DSS22'0202114BK61J21O8F0226</t>
  </si>
  <si>
    <t>24DSS22'0202114AK61J21NBT2710</t>
  </si>
  <si>
    <t>24DSS22'0202114BK61J21O821611</t>
  </si>
  <si>
    <t>24DSS22'0202114AK61J21O1P0056</t>
  </si>
  <si>
    <t>24DSS22'0202114BK61J21OBQ1066</t>
  </si>
  <si>
    <t>24DSS22'0202114BK61J21OC43678</t>
  </si>
  <si>
    <t>24DSS22'0202114BK61J21OC41113</t>
  </si>
  <si>
    <t>24DSS22'0202114BK61J21O8N3094</t>
  </si>
  <si>
    <t>24DSS22'0202114AK61J21O3N4346</t>
  </si>
  <si>
    <t>24DSS22'0202114BK61J21O9E3855</t>
  </si>
  <si>
    <t>24DSS22'0202114BK61J21O9E2444</t>
  </si>
  <si>
    <t>24DSS22'0202114BK61J21OA85088</t>
  </si>
  <si>
    <t>24DSS22'0202114BK61J21O843255</t>
  </si>
  <si>
    <t>24DSS22'0202114BK61J21OBM4018</t>
  </si>
  <si>
    <t>24DSS22'0202114BK61J21OC10729</t>
  </si>
  <si>
    <t>24DSS22'0202114BK61J21OBO2037</t>
  </si>
  <si>
    <t>24DSS22'0202114BK61J21O8N4245</t>
  </si>
  <si>
    <t>24DSS22'0202114BK61J21OBM5348</t>
  </si>
  <si>
    <t>24DSS22'0202114BK61J21O9Q3209</t>
  </si>
  <si>
    <t>24DSS22'0202114BK61J21OAM2844</t>
  </si>
  <si>
    <t>24DSS22'0202114BK61J21O8G0282</t>
  </si>
  <si>
    <t>24DSS22'0202114BK61J21OAT3722</t>
  </si>
  <si>
    <t>24DSS22'0202114BK61J21OBG0701</t>
  </si>
  <si>
    <t>24DSS22'0202114BK61J21OBT6449</t>
  </si>
  <si>
    <t>24DSS22'0202114BK61J21O9L2558</t>
  </si>
  <si>
    <t>24DSS22'0202114BK61J21O9H3651</t>
  </si>
  <si>
    <t>24DSS22'0202114BK61J21OAT0284</t>
  </si>
  <si>
    <t>24DSS22'0202114BK61J21O3R1678</t>
  </si>
  <si>
    <t>24DSS22'0202114AK61J21O1N0041</t>
  </si>
  <si>
    <t>24DSS22'0202114AK61J21O3A4326</t>
  </si>
  <si>
    <t>24DSS22'0202114AK61J21O2G4619</t>
  </si>
  <si>
    <t>HP ELITEBOOK 845-G9,G10</t>
  </si>
  <si>
    <t xml:space="preserve">COVER TECLADO (GARANTÍA)/COVER TRASERO </t>
  </si>
  <si>
    <t>PLACA BASE/DISCO DURO /TECLADO COVER /MARCO DE PANTALLA</t>
  </si>
  <si>
    <t>PLACA BASE/DISCO DURO /TECLADO COVER/MARCO DE PANTALLA</t>
  </si>
  <si>
    <t>COVER TECLADO / BATERIA</t>
  </si>
  <si>
    <t>COVER TECLADO /BATERIA</t>
  </si>
  <si>
    <t>5cg0472743</t>
  </si>
  <si>
    <t>SE RETIRA DEL USB EL METAL INTERIOR Y FUNCIONA CORRECTAMENTE</t>
  </si>
  <si>
    <t>COVER TECLADO/TOUCHPAD REPARADO</t>
  </si>
  <si>
    <t>DISCO DURO / MEMORIA RAM</t>
  </si>
  <si>
    <t>COVER TECLADO/DISCO DURO</t>
  </si>
  <si>
    <t>PCX2604505</t>
  </si>
  <si>
    <t>PCX2604513</t>
  </si>
  <si>
    <t>PCX2605448</t>
  </si>
  <si>
    <t>PCX2604515</t>
  </si>
  <si>
    <t>PCX2605443</t>
  </si>
  <si>
    <t>PCX2605445</t>
  </si>
  <si>
    <t>PCX2605432</t>
  </si>
  <si>
    <t>PCX2605444</t>
  </si>
  <si>
    <t>PCX2605919</t>
  </si>
  <si>
    <t>PCX2605928</t>
  </si>
  <si>
    <t>PCX2605916</t>
  </si>
  <si>
    <t>PCX2605931</t>
  </si>
  <si>
    <t>PCX2605922</t>
  </si>
  <si>
    <t>PCX2605934</t>
  </si>
  <si>
    <t>PCX2605910</t>
  </si>
  <si>
    <t>PCX2605429</t>
  </si>
  <si>
    <t>PCX2605913</t>
  </si>
  <si>
    <t>PCX2604512</t>
  </si>
  <si>
    <t>PCX2605814</t>
  </si>
  <si>
    <t>PCX2605805</t>
  </si>
  <si>
    <t>PCX2605811</t>
  </si>
  <si>
    <t>PCX2605820</t>
  </si>
  <si>
    <t>PCX2606021</t>
  </si>
  <si>
    <t>PCX2605817</t>
  </si>
  <si>
    <t>PCX2605808</t>
  </si>
  <si>
    <t>PCX2604508</t>
  </si>
  <si>
    <t>PCX2604511</t>
  </si>
  <si>
    <t>PCX2605850</t>
  </si>
  <si>
    <t>PCX2604507</t>
  </si>
  <si>
    <t>PCX2604509</t>
  </si>
  <si>
    <t>PCX2604510</t>
  </si>
  <si>
    <t>PCX2604514</t>
  </si>
  <si>
    <t>PCX2605823</t>
  </si>
  <si>
    <t>PCX2605559</t>
  </si>
  <si>
    <t>PCX2605562</t>
  </si>
  <si>
    <t>PCX2605577</t>
  </si>
  <si>
    <t>PCX2605574</t>
  </si>
  <si>
    <t>PCX2605508</t>
  </si>
  <si>
    <t>PCX2605571</t>
  </si>
  <si>
    <t>PCX2605529</t>
  </si>
  <si>
    <t>PCX2605832</t>
  </si>
  <si>
    <t>PLACA BASE REPARACION/BATERIA</t>
  </si>
  <si>
    <t xml:space="preserve">PLACA BSE REPARACION / BATERIA </t>
  </si>
  <si>
    <t>N922370</t>
  </si>
  <si>
    <t>5CG0517GG8</t>
  </si>
  <si>
    <t>Falla la carga de batería</t>
  </si>
  <si>
    <t>K058241</t>
  </si>
  <si>
    <t>5CG4181T3W</t>
  </si>
  <si>
    <t>PANTALLA EN NEGRO NO ENCIENDE</t>
  </si>
  <si>
    <t>N922313</t>
  </si>
  <si>
    <t>5CG0515S9Z</t>
  </si>
  <si>
    <t>K105061</t>
  </si>
  <si>
    <t>5CG5101G90</t>
  </si>
  <si>
    <t>PUERTO USB-C NO CARGA CORRIENTE</t>
  </si>
  <si>
    <t>N874385</t>
  </si>
  <si>
    <t>5CG04638G4</t>
  </si>
  <si>
    <t xml:space="preserve">TAPA SUPERIOR FLOJA </t>
  </si>
  <si>
    <t>K006986</t>
  </si>
  <si>
    <t>5CG3300WMJ</t>
  </si>
  <si>
    <t>FALLAN LAS TECLAS NUMERICAS "5" Y "6", Y FALLA EL EXCEL Y SE CIERRA</t>
  </si>
  <si>
    <t>N994736</t>
  </si>
  <si>
    <t>5CG2204Z8J</t>
  </si>
  <si>
    <t>VENTILADOR HACE RUIDO</t>
  </si>
  <si>
    <t>K045099</t>
  </si>
  <si>
    <t>5CG40754MZ</t>
  </si>
  <si>
    <t>PORTATIL PANTALLA CON MANCHA NEGRA EN ESQUINA INFERIOR IZQ.</t>
  </si>
  <si>
    <t>K056972</t>
  </si>
  <si>
    <t>5CG4194B1W</t>
  </si>
  <si>
    <t>EL SEGUNDO PUERTO USB-C ESTA ROTO HARDWARE</t>
  </si>
  <si>
    <t>N930944</t>
  </si>
  <si>
    <t>5CG1017RFG</t>
  </si>
  <si>
    <t>N871385</t>
  </si>
  <si>
    <t>5CG1257DB8</t>
  </si>
  <si>
    <t>CARCASA ROTA VISAGRA NO AGUANTA LA PANTALLA</t>
  </si>
  <si>
    <t>N840862</t>
  </si>
  <si>
    <t>5CG03296D9</t>
  </si>
  <si>
    <t>PORTATIL NO ARRANCA, SE HACE HARD RESET Y NO ARRANCA, ERROR BIOS</t>
  </si>
  <si>
    <t>K040053</t>
  </si>
  <si>
    <t>5CG3300WNR</t>
  </si>
  <si>
    <t>K037319</t>
  </si>
  <si>
    <t>5CG3131FB2</t>
  </si>
  <si>
    <t>N918664</t>
  </si>
  <si>
    <t>5CG0517FCH</t>
  </si>
  <si>
    <t>GOMAS ROTAS Y TECLADO ROTO</t>
  </si>
  <si>
    <t>K105208</t>
  </si>
  <si>
    <t>5CG5101GFL</t>
  </si>
  <si>
    <t>SE APAGA LA PANTALLA</t>
  </si>
  <si>
    <t>N874131</t>
  </si>
  <si>
    <t>5CG04638DN</t>
  </si>
  <si>
    <t>APAGADOS CONTINUOS / TECLA "A" ROTA</t>
  </si>
  <si>
    <t>K113577</t>
  </si>
  <si>
    <t>NO FUNCIONA BIEN / TOUCHPAD NO FUNCIONA CORRECTAMENTE</t>
  </si>
  <si>
    <t>K116759</t>
  </si>
  <si>
    <t>5CG1514CQV</t>
  </si>
  <si>
    <t>N922568</t>
  </si>
  <si>
    <t>5CG0517HYL</t>
  </si>
  <si>
    <t>APAGADOS CONTINUOS/SOBRECALENTAMIENTO</t>
  </si>
  <si>
    <t>K037167</t>
  </si>
  <si>
    <t>5CG3131GXX</t>
  </si>
  <si>
    <t>TECLAS ROTAS (1,Q,A y Z)</t>
  </si>
  <si>
    <t>K036754</t>
  </si>
  <si>
    <t>5CG3131CV8</t>
  </si>
  <si>
    <t>N922656</t>
  </si>
  <si>
    <t>5CG0514GQW</t>
  </si>
  <si>
    <t>BISAGRA ROTA</t>
  </si>
  <si>
    <t>N918659</t>
  </si>
  <si>
    <t>5CG0517FBG</t>
  </si>
  <si>
    <t>APAGADOS CONTINUOS/ERROR BATERIA BIOS</t>
  </si>
  <si>
    <t>K046033</t>
  </si>
  <si>
    <t>5CG50617SZ</t>
  </si>
  <si>
    <t>APAGADOS CONTINUOS/RUIDO VENTILADOR</t>
  </si>
  <si>
    <t>K036700</t>
  </si>
  <si>
    <t>5CG3131DXD</t>
  </si>
  <si>
    <t>CARACASA EN MAL ESTADO Y DESCUADRADA</t>
  </si>
  <si>
    <t>K051080</t>
  </si>
  <si>
    <t>5CG4321Y1M</t>
  </si>
  <si>
    <t>K047348</t>
  </si>
  <si>
    <t>5CG5101G91</t>
  </si>
  <si>
    <t>NO ESTA EN LA LISTA DE LOS EQUIPOS PROVENIENTES DE LAS 2 CAJAS DEL 14/04/2026</t>
  </si>
  <si>
    <t>K104819</t>
  </si>
  <si>
    <t>5CG50940RK</t>
  </si>
  <si>
    <t>K104814</t>
  </si>
  <si>
    <t>5CG50940RO</t>
  </si>
  <si>
    <t>5CG15189M7</t>
  </si>
  <si>
    <t>N991338</t>
  </si>
  <si>
    <t>DESPRENDIMIENTO PANTALLA</t>
  </si>
  <si>
    <t>5CG3131FNC</t>
  </si>
  <si>
    <t>K010739</t>
  </si>
  <si>
    <t>PANTALLA DANADA</t>
  </si>
  <si>
    <t>TECLAS F R V ESTAN KO</t>
  </si>
  <si>
    <t>5CG2073KKF</t>
  </si>
  <si>
    <t>N988981</t>
  </si>
  <si>
    <t>5CG0517HWZ</t>
  </si>
  <si>
    <t>N917947</t>
  </si>
  <si>
    <t>NO COGE REDES WIFI</t>
  </si>
  <si>
    <t>5CG3021J6L</t>
  </si>
  <si>
    <t>k050842</t>
  </si>
  <si>
    <t>TECLAS, TOUCHPAD Y PANTALLA ROTA</t>
  </si>
  <si>
    <t>5CG40754J4</t>
  </si>
  <si>
    <t>k055925</t>
  </si>
  <si>
    <t>FALLO PARTE IZQUIERDA TECLADO</t>
  </si>
  <si>
    <t>5CG3131F6W</t>
  </si>
  <si>
    <t>K036813</t>
  </si>
  <si>
    <t>5CG3140VMK</t>
  </si>
  <si>
    <t>k036338</t>
  </si>
  <si>
    <t>SE CLICA EL TACTIL SOLO</t>
  </si>
  <si>
    <t>PUERTOS TIPO C</t>
  </si>
  <si>
    <t>K116949</t>
  </si>
  <si>
    <t>TECLAS M YN KO</t>
  </si>
  <si>
    <t>5CG3131FP4</t>
  </si>
  <si>
    <t>K010642</t>
  </si>
  <si>
    <t>5CG407548V</t>
  </si>
  <si>
    <t>K056057</t>
  </si>
  <si>
    <t>5CG3131FWQ</t>
  </si>
  <si>
    <t>k037258</t>
  </si>
  <si>
    <t xml:space="preserve"> HP 845 G7</t>
  </si>
  <si>
    <t>5CG4321Y7G</t>
  </si>
  <si>
    <t>K054621</t>
  </si>
  <si>
    <t>5CG0515VRQ</t>
  </si>
  <si>
    <t>N916549</t>
  </si>
  <si>
    <t xml:space="preserve">TOUCHPAD/COVER TECLADO </t>
  </si>
  <si>
    <t xml:space="preserve"> SE VOLVIO A COLOCAR UN NUEVO COVER TECLADO PORQUE EL ANTERIOR LO MANIPULARON MAL Y NO FUNCIONABA LAS TECLAS F9 Y F10</t>
  </si>
  <si>
    <t>TOUCHPAD/COVER TECLADO</t>
  </si>
  <si>
    <t xml:space="preserve">FALLABA BATERIA Y SE VOLVIO A CAMBIAR </t>
  </si>
  <si>
    <t>BATERIA ( NO SE COBRA )</t>
  </si>
  <si>
    <t>COVER TECLADO( GARANTÍA)</t>
  </si>
  <si>
    <t>COVER TECLADO ( GARANTIA)</t>
  </si>
  <si>
    <t xml:space="preserve"> COVER TECLADO /BATERIA /TAPA TRASERA</t>
  </si>
  <si>
    <t xml:space="preserve">ELITEBOOK - 845 - G7 </t>
  </si>
  <si>
    <t>xxx</t>
  </si>
  <si>
    <t>ELITEBOOK - 845 - G10 /G11</t>
  </si>
  <si>
    <t>F-021804</t>
  </si>
  <si>
    <t>ELITEBOOK - 845 - G8</t>
  </si>
  <si>
    <t>PANTALLA Y COVER TECLADO</t>
  </si>
  <si>
    <t>SE HA UTILIZADO PANTALLA Y FLEX DE PANTALLA DE EQUIPOS IRREPARABLES Y TECLAS COMO EL F2 NO FUNCIONABAN</t>
  </si>
  <si>
    <t>PANTALLA, FLEX PANTALLA Y COVER 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</si>
</sst>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19">
    <font>
      <sz val="11"/>
      <color theme="1"/>
      <name val="Aptos Narrow"/>
      <family val="2"/>
      <scheme val="minor"/>
    </font>
    <font>
      <b/>
      <sz val="11"/>
      <color rgb="FF242424"/>
      <name val="Calibri"/>
      <family val="2"/>
    </font>
    <font>
      <sz val="11"/>
      <color rgb="FF000000"/>
      <name val="Calibri"/>
      <family val="2"/>
    </font>
    <font>
      <i/>
      <sz val="9"/>
      <color rgb="FF1F497D"/>
      <name val="Inherit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7.5"/>
      <color rgb="FF1F497D"/>
      <name val="Verdana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485563"/>
      <name val="Forma DJR UI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</cellStyleXfs>
  <cellXfs count="15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3" borderId="4" xfId="0" applyFont="1" applyFill="1" applyBorder="1" applyAlignment="1">
      <alignment horizontal="center" vertical="center" wrapText="1"/>
    </xf>
    <xf numFmtId="8" fontId="0" fillId="0" borderId="0" xfId="0" applyNumberFormat="1"/>
    <xf numFmtId="0" fontId="4" fillId="0" borderId="0" xfId="0" applyFont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center"/>
    </xf>
    <xf numFmtId="14" fontId="6" fillId="5" borderId="5" xfId="0" applyNumberFormat="1" applyFont="1" applyFill="1" applyBorder="1"/>
    <xf numFmtId="0" fontId="0" fillId="5" borderId="5" xfId="0" applyFill="1" applyBorder="1" applyAlignment="1">
      <alignment horizontal="center"/>
    </xf>
    <xf numFmtId="1" fontId="6" fillId="5" borderId="5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6" fillId="3" borderId="5" xfId="0" applyNumberFormat="1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4" fontId="6" fillId="5" borderId="6" xfId="0" applyNumberFormat="1" applyFont="1" applyFill="1" applyBorder="1"/>
    <xf numFmtId="1" fontId="6" fillId="5" borderId="6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4" fontId="6" fillId="3" borderId="7" xfId="0" applyNumberFormat="1" applyFont="1" applyFill="1" applyBorder="1"/>
    <xf numFmtId="0" fontId="0" fillId="3" borderId="8" xfId="0" applyFill="1" applyBorder="1" applyAlignment="1">
      <alignment horizontal="center"/>
    </xf>
    <xf numFmtId="14" fontId="6" fillId="3" borderId="9" xfId="0" applyNumberFormat="1" applyFont="1" applyFill="1" applyBorder="1"/>
    <xf numFmtId="0" fontId="0" fillId="3" borderId="10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0" fillId="5" borderId="5" xfId="0" applyNumberFormat="1" applyFill="1" applyBorder="1" applyAlignment="1">
      <alignment horizontal="right"/>
    </xf>
    <xf numFmtId="14" fontId="0" fillId="5" borderId="6" xfId="0" applyNumberFormat="1" applyFill="1" applyBorder="1" applyAlignment="1">
      <alignment horizontal="right"/>
    </xf>
    <xf numFmtId="8" fontId="4" fillId="0" borderId="0" xfId="0" applyNumberFormat="1" applyFont="1" applyAlignment="1">
      <alignment horizontal="right"/>
    </xf>
    <xf numFmtId="14" fontId="2" fillId="3" borderId="4" xfId="0" applyNumberFormat="1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8" fontId="2" fillId="3" borderId="4" xfId="0" applyNumberFormat="1" applyFont="1" applyFill="1" applyBorder="1" applyAlignment="1">
      <alignment vertical="center" wrapText="1"/>
    </xf>
    <xf numFmtId="6" fontId="2" fillId="3" borderId="4" xfId="0" applyNumberFormat="1" applyFont="1" applyFill="1" applyBorder="1" applyAlignment="1">
      <alignment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8" fontId="2" fillId="3" borderId="4" xfId="0" applyNumberFormat="1" applyFont="1" applyFill="1" applyBorder="1" applyAlignment="1">
      <alignment horizontal="right" vertical="center" wrapText="1"/>
    </xf>
    <xf numFmtId="0" fontId="2" fillId="6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2" fillId="3" borderId="4" xfId="0" quotePrefix="1" applyFont="1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right"/>
    </xf>
    <xf numFmtId="14" fontId="9" fillId="6" borderId="4" xfId="0" applyNumberFormat="1" applyFont="1" applyFill="1" applyBorder="1" applyAlignment="1">
      <alignment horizontal="center" vertical="center" wrapText="1"/>
    </xf>
    <xf numFmtId="14" fontId="0" fillId="3" borderId="5" xfId="0" applyNumberFormat="1" applyFill="1" applyBorder="1"/>
    <xf numFmtId="8" fontId="2" fillId="3" borderId="4" xfId="0" applyNumberFormat="1" applyFont="1" applyFill="1" applyBorder="1" applyAlignment="1">
      <alignment horizontal="center" vertical="center" wrapText="1"/>
    </xf>
    <xf numFmtId="8" fontId="2" fillId="3" borderId="4" xfId="0" applyNumberFormat="1" applyFont="1" applyFill="1" applyBorder="1" applyAlignment="1">
      <alignment horizontal="left" vertical="center" wrapText="1"/>
    </xf>
    <xf numFmtId="14" fontId="6" fillId="8" borderId="9" xfId="0" applyNumberFormat="1" applyFont="1" applyFill="1" applyBorder="1"/>
    <xf numFmtId="0" fontId="0" fillId="8" borderId="5" xfId="0" applyFill="1" applyBorder="1" applyAlignment="1">
      <alignment horizontal="center"/>
    </xf>
    <xf numFmtId="1" fontId="6" fillId="8" borderId="5" xfId="0" applyNumberFormat="1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4" fontId="0" fillId="10" borderId="5" xfId="0" applyNumberFormat="1" applyFill="1" applyBorder="1" applyAlignment="1">
      <alignment horizontal="right"/>
    </xf>
    <xf numFmtId="0" fontId="0" fillId="10" borderId="5" xfId="0" applyFill="1" applyBorder="1" applyAlignment="1">
      <alignment horizontal="center"/>
    </xf>
    <xf numFmtId="14" fontId="6" fillId="10" borderId="9" xfId="0" applyNumberFormat="1" applyFont="1" applyFill="1" applyBorder="1"/>
    <xf numFmtId="14" fontId="0" fillId="10" borderId="5" xfId="0" applyNumberFormat="1" applyFill="1" applyBorder="1"/>
    <xf numFmtId="14" fontId="6" fillId="5" borderId="9" xfId="0" applyNumberFormat="1" applyFont="1" applyFill="1" applyBorder="1"/>
    <xf numFmtId="0" fontId="0" fillId="5" borderId="10" xfId="0" applyFill="1" applyBorder="1" applyAlignment="1">
      <alignment horizontal="center"/>
    </xf>
    <xf numFmtId="164" fontId="2" fillId="3" borderId="4" xfId="0" applyNumberFormat="1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4" fontId="2" fillId="7" borderId="4" xfId="0" applyNumberFormat="1" applyFont="1" applyFill="1" applyBorder="1" applyAlignment="1">
      <alignment horizontal="right" wrapText="1"/>
    </xf>
    <xf numFmtId="14" fontId="2" fillId="7" borderId="4" xfId="0" applyNumberFormat="1" applyFont="1" applyFill="1" applyBorder="1" applyAlignment="1">
      <alignment horizontal="right" vertical="center" wrapText="1"/>
    </xf>
    <xf numFmtId="164" fontId="0" fillId="0" borderId="0" xfId="0" applyNumberFormat="1" applyAlignment="1">
      <alignment horizontal="right"/>
    </xf>
    <xf numFmtId="0" fontId="2" fillId="3" borderId="4" xfId="0" applyFont="1" applyFill="1" applyBorder="1" applyAlignment="1">
      <alignment horizontal="right" vertical="center" wrapText="1"/>
    </xf>
    <xf numFmtId="0" fontId="11" fillId="3" borderId="4" xfId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4" fontId="12" fillId="10" borderId="4" xfId="0" applyNumberFormat="1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11" fillId="13" borderId="4" xfId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8" fontId="2" fillId="13" borderId="4" xfId="0" applyNumberFormat="1" applyFont="1" applyFill="1" applyBorder="1" applyAlignment="1">
      <alignment vertical="center" wrapText="1"/>
    </xf>
    <xf numFmtId="164" fontId="2" fillId="13" borderId="4" xfId="0" applyNumberFormat="1" applyFont="1" applyFill="1" applyBorder="1" applyAlignment="1">
      <alignment horizontal="right" vertical="center" wrapText="1"/>
    </xf>
    <xf numFmtId="14" fontId="2" fillId="13" borderId="4" xfId="0" applyNumberFormat="1" applyFont="1" applyFill="1" applyBorder="1" applyAlignment="1">
      <alignment horizontal="right" vertical="center" wrapText="1"/>
    </xf>
    <xf numFmtId="14" fontId="2" fillId="13" borderId="4" xfId="0" applyNumberFormat="1" applyFont="1" applyFill="1" applyBorder="1" applyAlignment="1">
      <alignment vertical="center" wrapText="1"/>
    </xf>
    <xf numFmtId="0" fontId="0" fillId="13" borderId="0" xfId="0" applyFill="1"/>
    <xf numFmtId="1" fontId="2" fillId="13" borderId="4" xfId="0" applyNumberFormat="1" applyFont="1" applyFill="1" applyBorder="1" applyAlignment="1">
      <alignment horizontal="center" vertical="center" wrapText="1"/>
    </xf>
    <xf numFmtId="164" fontId="2" fillId="13" borderId="4" xfId="0" applyNumberFormat="1" applyFont="1" applyFill="1" applyBorder="1" applyAlignment="1">
      <alignment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12" fillId="3" borderId="4" xfId="0" applyFont="1" applyFill="1" applyBorder="1" applyAlignment="1">
      <alignment horizontal="center" vertical="center" wrapText="1"/>
    </xf>
    <xf numFmtId="0" fontId="14" fillId="15" borderId="0" xfId="0" applyFont="1" applyFill="1"/>
    <xf numFmtId="0" fontId="13" fillId="15" borderId="0" xfId="0" applyFont="1" applyFill="1"/>
    <xf numFmtId="14" fontId="0" fillId="3" borderId="5" xfId="0" applyNumberFormat="1" applyFill="1" applyBorder="1" applyAlignment="1">
      <alignment horizontal="center"/>
    </xf>
    <xf numFmtId="14" fontId="6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 vertical="top"/>
    </xf>
    <xf numFmtId="14" fontId="6" fillId="8" borderId="5" xfId="0" applyNumberFormat="1" applyFont="1" applyFill="1" applyBorder="1" applyAlignment="1">
      <alignment horizontal="center"/>
    </xf>
    <xf numFmtId="0" fontId="2" fillId="16" borderId="4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164" fontId="0" fillId="3" borderId="0" xfId="0" applyNumberFormat="1" applyFill="1"/>
    <xf numFmtId="164" fontId="1" fillId="2" borderId="1" xfId="0" applyNumberFormat="1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8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/>
    </xf>
    <xf numFmtId="0" fontId="0" fillId="17" borderId="0" xfId="0" applyFill="1" applyAlignment="1">
      <alignment horizontal="center"/>
    </xf>
    <xf numFmtId="8" fontId="6" fillId="0" borderId="0" xfId="0" applyNumberFormat="1" applyFont="1"/>
    <xf numFmtId="0" fontId="6" fillId="0" borderId="0" xfId="0" applyFont="1"/>
    <xf numFmtId="8" fontId="6" fillId="0" borderId="0" xfId="0" applyNumberFormat="1" applyFont="1" applyAlignment="1">
      <alignment horizontal="right"/>
    </xf>
    <xf numFmtId="6" fontId="6" fillId="0" borderId="0" xfId="0" applyNumberFormat="1" applyFont="1" applyAlignment="1">
      <alignment horizontal="right"/>
    </xf>
    <xf numFmtId="14" fontId="0" fillId="0" borderId="0" xfId="0" applyNumberFormat="1"/>
    <xf numFmtId="0" fontId="5" fillId="0" borderId="0" xfId="0" applyFont="1"/>
    <xf numFmtId="0" fontId="0" fillId="0" borderId="0" xfId="0" applyAlignment="1">
      <alignment wrapText="1"/>
    </xf>
    <xf numFmtId="14" fontId="2" fillId="6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center" vertical="center"/>
    </xf>
    <xf numFmtId="14" fontId="9" fillId="3" borderId="4" xfId="0" applyNumberFormat="1" applyFont="1" applyFill="1" applyBorder="1" applyAlignment="1">
      <alignment horizontal="center" vertical="center" wrapText="1"/>
    </xf>
    <xf numFmtId="0" fontId="0" fillId="18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center"/>
    </xf>
    <xf numFmtId="14" fontId="2" fillId="7" borderId="4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0" fillId="0" borderId="5" xfId="0" applyNumberFormat="1" applyBorder="1"/>
    <xf numFmtId="0" fontId="16" fillId="16" borderId="5" xfId="0" applyFont="1" applyFill="1" applyBorder="1"/>
    <xf numFmtId="49" fontId="2" fillId="3" borderId="4" xfId="0" applyNumberFormat="1" applyFont="1" applyFill="1" applyBorder="1" applyAlignment="1">
      <alignment horizontal="center" vertical="center" wrapText="1"/>
    </xf>
    <xf numFmtId="8" fontId="2" fillId="3" borderId="4" xfId="0" applyNumberFormat="1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  <xf numFmtId="0" fontId="2" fillId="8" borderId="4" xfId="0" applyFont="1" applyFill="1" applyBorder="1" applyAlignment="1">
      <alignment horizontal="center" vertical="center" wrapText="1"/>
    </xf>
    <xf numFmtId="14" fontId="9" fillId="3" borderId="4" xfId="0" applyNumberFormat="1" applyFont="1" applyFill="1" applyBorder="1" applyAlignment="1">
      <alignment horizontal="right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11" fillId="19" borderId="4" xfId="1" applyFill="1" applyBorder="1" applyAlignment="1">
      <alignment horizontal="center" vertical="center" wrapText="1"/>
    </xf>
    <xf numFmtId="14" fontId="18" fillId="19" borderId="4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/>
    </xf>
    <xf numFmtId="0" fontId="18" fillId="19" borderId="4" xfId="0" applyFont="1" applyFill="1" applyBorder="1" applyAlignment="1">
      <alignment horizontal="center" vertical="center" wrapText="1"/>
    </xf>
    <xf numFmtId="0" fontId="18" fillId="19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 wrapText="1"/>
    </xf>
    <xf numFmtId="0" fontId="18" fillId="21" borderId="4" xfId="0" applyFont="1" applyFill="1" applyBorder="1" applyAlignment="1">
      <alignment horizontal="center" vertical="center" wrapText="1"/>
    </xf>
    <xf numFmtId="14" fontId="18" fillId="21" borderId="4" xfId="0" applyNumberFormat="1" applyFont="1" applyFill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8" fontId="2" fillId="16" borderId="4" xfId="0" applyNumberFormat="1" applyFont="1" applyFill="1" applyBorder="1" applyAlignment="1">
      <alignment vertical="center" wrapText="1"/>
    </xf>
    <xf numFmtId="164" fontId="2" fillId="16" borderId="4" xfId="0" applyNumberFormat="1" applyFont="1" applyFill="1" applyBorder="1" applyAlignment="1">
      <alignment vertical="center" wrapText="1"/>
    </xf>
    <xf numFmtId="0" fontId="0" fillId="16" borderId="0" xfId="0" applyFill="1"/>
    <xf numFmtId="0" fontId="18" fillId="19" borderId="11" xfId="0" applyFont="1" applyFill="1" applyBorder="1" applyAlignment="1">
      <alignment horizontal="center" vertical="center" wrapText="1"/>
    </xf>
    <xf numFmtId="14" fontId="18" fillId="19" borderId="11" xfId="0" applyNumberFormat="1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8" fontId="0" fillId="3" borderId="12" xfId="0" applyNumberFormat="1" applyFill="1" applyBorder="1" applyAlignment="1">
      <alignment horizontal="right"/>
    </xf>
    <xf numFmtId="0" fontId="0" fillId="3" borderId="12" xfId="0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0" fillId="3" borderId="0" xfId="0" applyNumberFormat="1" applyFill="1"/>
  </cellXfs>
  <cellStyles count="4">
    <cellStyle name="Hipervínculo" xfId="1" builtinId="8"/>
    <cellStyle name="Moneda 2" xfId="2" xr:uid="{A8DF5A40-0A63-4886-A2CD-B05B40D828BA}"/>
    <cellStyle name="Moneda 3" xfId="3" xr:uid="{D5DA7479-8457-4B00-9627-7D2E6D1D9195}"/>
    <cellStyle name="Normal" xfId="0" builtinId="0"/>
  </cellStyles>
  <dxfs count="14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9.967252430557" createdVersion="8" refreshedVersion="8" minRefreshableVersion="3" recordCount="950" xr:uid="{F048AB82-9D3C-4593-972F-932E467BA2F9}">
  <cacheSource type="worksheet">
    <worksheetSource ref="A1:X1048576" sheet="REPARACIONES"/>
  </cacheSource>
  <cacheFields count="24">
    <cacheField name="Ubicacion" numFmtId="0">
      <sharedItems containsBlank="1"/>
    </cacheField>
    <cacheField name="Contacto" numFmtId="0">
      <sharedItems containsBlank="1"/>
    </cacheField>
    <cacheField name="Telefono" numFmtId="0">
      <sharedItems containsBlank="1" containsMixedTypes="1" containsNumber="1" containsInteger="1" minValue="616866669" maxValue="682687169"/>
    </cacheField>
    <cacheField name="Email" numFmtId="0">
      <sharedItems containsBlank="1"/>
    </cacheField>
    <cacheField name="Direccion" numFmtId="0">
      <sharedItems containsBlank="1"/>
    </cacheField>
    <cacheField name="Fecha de entrada" numFmtId="0">
      <sharedItems containsDate="1" containsBlank="1" containsMixedTypes="1" minDate="2025-01-17T00:00:00" maxDate="2026-12-06T00:00:00"/>
    </cacheField>
    <cacheField name="Caso" numFmtId="0">
      <sharedItems containsDate="1" containsBlank="1" containsMixedTypes="1" minDate="1900-01-04T02:56:04" maxDate="1900-01-07T01:11:04"/>
    </cacheField>
    <cacheField name="Etiqueta" numFmtId="0">
      <sharedItems containsBlank="1"/>
    </cacheField>
    <cacheField name="Nº DE SERIE" numFmtId="0">
      <sharedItems containsBlank="1"/>
    </cacheField>
    <cacheField name="Modelo" numFmtId="0">
      <sharedItems containsBlank="1" containsMixedTypes="1" containsNumber="1" containsInteger="1" minValue="435" maxValue="435" count="73">
        <m/>
        <s v="PORT-HPCK-R7-845"/>
        <s v="PORT-HPCK-R9-845C"/>
        <s v="TAPC-HPCK-X360-435C"/>
        <s v="PORT-HPCK-R10-845D"/>
        <s v="TAPC-HPCK-G4-X2BK"/>
        <s v="HP 845 G9"/>
        <s v="HP 845 G7"/>
        <s v="HP 845 G8"/>
        <s v="HP 435 G8"/>
        <s v="HP 845 G10"/>
        <s v="HP 435 G7"/>
        <s v="HP G7"/>
        <s v="HP G8"/>
        <s v="HP G9/G10"/>
        <s v="HP 435 G9"/>
        <s v="HP 840 G6"/>
        <s v="HP 435 G10"/>
        <s v="HP 435"/>
        <s v="HP 845 G11"/>
        <s v="ZBOOK FURY 15,6 G8"/>
        <s v="HP ZBOOK FURY"/>
        <s v="HP 845"/>
        <s v="HP HP R7-845"/>
        <s v="HP ZBOOK G10"/>
        <s v="HP ZBOOK G8"/>
        <s v="HP ZBOOK  G8"/>
        <s v="435 G10"/>
        <s v="435 G7"/>
        <s v="435 G9"/>
        <s v="845 G10"/>
        <s v="845 G7"/>
        <s v="845 G9"/>
        <s v="845 G8"/>
        <s v="HP 845 G9 "/>
        <s v="HP 845 G8 "/>
        <s v="HP 845 G7 "/>
        <s v="HP 845 G10 "/>
        <s v="HP 845 G7    "/>
        <s v="HP 435 G9 "/>
        <s v="HP 435 G7 "/>
        <s v="HP 435 G8 "/>
        <s v="HP 854 G7 "/>
        <s v="HP 845 G8  "/>
        <s v="ZBOOK FURY G8 "/>
        <s v="435 G8"/>
        <s v="845 G11"/>
        <s v="HP845 G11"/>
        <s v="HP845 G10"/>
        <s v="HP845 G8"/>
        <s v="HP845 G7"/>
        <s v="HP845 G9"/>
        <s v="HP435 G7"/>
        <s v="HP435 G10"/>
        <s v="HP435 G10"/>
        <s v="HP435 G8"/>
        <s v="HP435  G9"/>
        <s v="HP435 "/>
        <s v="HP435 G8"/>
        <s v="HP360 435 G8"/>
        <s v="HP360 435 G7"/>
        <s v="HP435 G9"/>
        <s v="HP435"/>
        <s v="HP435  G7"/>
        <s v="HP  845 G7"/>
        <s v="HP  435 G8"/>
        <s v="HP  845 G10"/>
        <s v="HP  845 G11"/>
        <s v="HP  845 G9"/>
        <s v="HP  435 G7"/>
        <s v=" HP 435 G8"/>
        <s v=" HP 845 G7"/>
        <n v="435" u="1"/>
      </sharedItems>
    </cacheField>
    <cacheField name="Garantía" numFmtId="0">
      <sharedItems containsBlank="1"/>
    </cacheField>
    <cacheField name="DIAGNOSTICO DE CAIXA" numFmtId="0">
      <sharedItems containsBlank="1"/>
    </cacheField>
    <cacheField name="DIAGNOSTICO DE INFOSER" numFmtId="0">
      <sharedItems containsBlank="1"/>
    </cacheField>
    <cacheField name="ESTADO" numFmtId="0">
      <sharedItems containsBlank="1" count="12">
        <m/>
        <s v="POR FACTURAR"/>
        <s v="PRESUPUESTO NO ACEPTADO"/>
        <s v="POR REPARAR"/>
        <s v="IRREPARABLE"/>
        <s v="POR ENVIAR" u="1"/>
        <s v="NO HA LLEGADO" u="1"/>
        <s v="POR FACTURAR 02,19" u="1"/>
        <s v="POR ENTREGAR" u="1"/>
        <s v="POR FACTURAR -02" u="1"/>
        <s v="                                 " u="1"/>
        <s v="REPARADO" u="1"/>
      </sharedItems>
    </cacheField>
    <cacheField name="CANTIDAD" numFmtId="0">
      <sharedItems containsString="0" containsBlank="1" containsNumber="1" containsInteger="1" minValue="0" maxValue="1"/>
    </cacheField>
    <cacheField name="OBSERVACION" numFmtId="0">
      <sharedItems containsBlank="1"/>
    </cacheField>
    <cacheField name="PIEZAS CAMBIADAS" numFmtId="0">
      <sharedItems containsBlank="1" containsMixedTypes="1" containsNumber="1" containsInteger="1" minValue="0" maxValue="0" count="259">
        <m/>
        <s v="REP.PLACBASE /BATERIA"/>
        <s v="TOUCHPAD "/>
        <s v=" FLESH DE VIDEO"/>
        <s v="TECLADO COVER"/>
        <s v="PLACA BASE GARANTÍA"/>
        <s v="BATERIA"/>
        <s v="DISCO DURO"/>
        <s v="REPARACION DE FLESH DE VIDEO / FLESH DE TOUCHPAD"/>
        <s v="REPARACION EN PLACA BASE EL FLESH DE VIDEO Y DE BATERIA"/>
        <s v="TARJETA WIFI"/>
        <s v="PLACA BASE GARANTIA"/>
        <s v="TOUCHPAD"/>
        <s v="REP.PLACBASE"/>
        <s v="PLACA BASE"/>
        <s v="EQUIPO REPARADO SIN PIEZAS / CONECTOR EN PLACA BASE DE BATERIA"/>
        <s v="COVER TECLADO "/>
        <s v="VENTILADOR"/>
        <s v="CARCASA TRASERA"/>
        <s v="REP.PLACBASE/ GOMAS TAPA TRASERA"/>
        <s v="DISCO DURO/ PANTALLA / COVER TECLADO "/>
        <s v="PANTALLA COVER"/>
        <s v="FLESH DE TOUCHPAD /FLESH DE VIDEO"/>
        <s v="DISCO DURO /COVER PANTALLA"/>
        <s v="DISCO DURO "/>
        <s v="REACONDICIONADO DE CHASIS TECLADO "/>
        <s v="PLACA BASE "/>
        <s v="PLACA BASE/ COVER TECLADO /TAPA TRASEREA/PANTALLA COVER"/>
        <s v="PANTALLA Y COVER"/>
        <s v="COVER PANTALLA /REP.PLACBASE"/>
        <s v="REPARACION DE FLESH DE TECLADO"/>
        <s v="TECLADO COVER "/>
        <s v="PANTALLA"/>
        <s v="BATERIA / cover teclado"/>
        <s v="PANTALLA Y COVER /TECLADO COVER/TAPA TRASERA /REP.PLACBASE"/>
        <s v="REP.PLACBASE / BATERIA"/>
        <s v="VENTILADOR / DISCO DURO"/>
        <s v="REPARACION DE BISAGRAS /FLESH DE VIDEO"/>
        <s v="TECLADO COVER /BATERIA"/>
        <s v="TECLADO COVER / TAPA TRASERA"/>
        <s v="TAPA TRASERA"/>
        <s v="FLESH DE TECLADO REPARADO"/>
        <s v="COVER PANTALLA / COVER TECLADO"/>
        <s v="REP.PLACBASE / DISCO DURO"/>
        <s v="SOLUCION( BATERIA Y ACTUALIZACION DE BIOS )"/>
        <s v="REP.PLACBASE/EMBELLECEDOR DE PANTALLA"/>
        <s v="COVER TECLADO"/>
        <s v="TAPA TRASERA/COVER TERCLADO /PANTALLA COVER"/>
        <s v="COVER TECLADO/COVER PANTALLA/TAPA TRASERA/REP.PLACBASE"/>
        <s v=" COVER TECLADO /GOMAS"/>
        <s v="COVER TECLADO / TAPA TRASERA"/>
        <s v="ALTAVOCES"/>
        <s v="PLACA BASE,REPARACION/TECLADO COVER "/>
        <s v="TECLADO COVER / TAPA TRASERA / PANTALLA"/>
        <s v=" TECLADO COVER/  PANTALLA"/>
        <s v=" PANTALLA"/>
        <s v="PANTALLA /REP.PLACBASE"/>
        <s v=" TECLADO COVER/ MARCO DE PANTALLA /REP.PLACBASE"/>
        <s v=" PLACA BASE ,REPARACION"/>
        <s v="TECLADO COVER/PANTALLA"/>
        <s v="TAPA TRASERA/PANTALLA/COVER TECLADO"/>
        <s v="PANTALLA / COVER TECLADO/TAPA TRASERA"/>
        <s v="COVER TECLADO/COVER LCD"/>
        <s v=" TAPA TRASERA LCD / PANTALLA / TECLADO COVER"/>
        <s v="COVER PANTALLA"/>
        <s v="PANTALLA/MARCO DE PANTALLA"/>
        <s v="TECLADO COVER/ GOMAS TAPA TRASERA"/>
        <s v=" TECLADO COVER / TAPA TRASERA / PANTALLA"/>
        <s v="PLACA BASE,REPARACION"/>
        <s v=" TECLADO COVER / TAPA TRASERA"/>
        <s v=" TECLADO COVER / GOMAS DE TAPA TRASERA"/>
        <s v="BATERIA /GOMAS TAPA TRASERA"/>
        <s v="VENTILADOR/REP.PLACBASE"/>
        <s v="DISCO DURO / COVER TECLADO"/>
        <s v="TECLADO COVER/COVER PANTALLA /TAPA TRASERA"/>
        <s v="FLEX DE CAMARA"/>
        <s v=" TECLADO COVER"/>
        <s v="MARCO DE PANTALLA"/>
        <s v="IRREPARABLE"/>
        <s v="REP.PLACBASE /TECLADO COVER/ GOMAS DE TAPA TRASERA"/>
        <s v="VENTILADOR /TAPA TRASERA /TECLADO COVER"/>
        <s v="TECLADO COVER / BISAGRAS"/>
        <s v=" COVER PANTALLA"/>
        <s v="TAPA TRASERA / TECLADO COVER "/>
        <s v="COVER PANTALLA / GOMAS TAPA TRASERA"/>
        <s v="REINSTALACION DE SISTEMA"/>
        <s v="REP.PLACBASE / TECLADO COVER"/>
        <s v="PANTALLA /BATERIA"/>
        <s v="BATERIA "/>
        <s v="PLACA BASE(NO PROCEDE LA GARANTIA )/ COVER TECLADO"/>
        <s v="TECLADO"/>
        <s v="SIN PIEZAS POR GARANTÍA"/>
        <s v="PLACA BASE /GOMAS"/>
        <s v=" PLACA BASE / COVER PANTALLA /GOMAS "/>
        <s v="PLACA BASE / COVER PANTALLA /GOMAS"/>
        <s v="COVER TECALDO / GOMAS"/>
        <s v="CAMARA WEB"/>
        <s v="COVER TECLADO / GOMAS"/>
        <s v="COVER TECLADO / TAPARA TRASERA"/>
        <s v="PLACA BASE / TECLADO COVER"/>
        <s v="BATERIA / TAPA TRASERA"/>
        <s v=" PLACA BASE,REPARACION / GOMAS"/>
        <s v="TOUCHPAD /GOMAS /PLACA BASE"/>
        <s v="C0VER TECLADO"/>
        <s v="PLACA BASE SI PROCEDE LA GARANTÍA"/>
        <s v="SE HA TESTEADO Y ACTUALIZADO BIOS Y SU FUNCIONAMIENTO CORRECTO ,LA PLACA ESTA CAMBIADA POR GARANTÍA"/>
        <s v=" PLACA BASE,REPARACION /BATERIA"/>
        <s v="GARANTIA"/>
        <s v="COVER TECLADO / MARCO DE LCD"/>
        <s v="COVER PANTALLA/BATERIA"/>
        <s v="COVER LCD / PANTALLA"/>
        <s v="COVER TECLADO / VENTILADOR"/>
        <s v="COVER TECLADO /REPARACION DE PLACA BASE "/>
        <s v="BATERIA / GOMAS"/>
        <n v="0"/>
        <s v=" PLACA BASE,REPARACION "/>
        <s v="PLACA BASE ( GARANTIA )/TOUCHPAD"/>
        <s v="COVER TECLADO/REPARACION DE PLACA BASE "/>
        <s v="REPARACION DE PLACA BASE "/>
        <s v="PLACA BASE/ GOMAS /COVER PANTALLA"/>
        <s v=" PLACA BASE,REPARACION / COVER TECLADO"/>
        <s v="COVER TECLADO / TOUCHPAD / MARCO"/>
        <s v=" PLACA BASE"/>
        <s v="MICRO Y CAMARA WEB"/>
        <s v="ACTUALIZACION DE BIOS Y PASTA TERMICA,FUNCIONAMIENTO CORRECTO"/>
        <s v="REPARACION DE PLACA BASE"/>
        <s v="COVER PANTALLA/COVER TECLADO"/>
        <s v="PLACA BASE/ GOMAS /COVER TECLADO"/>
        <s v="PLACA BASE/DISCO DURO /TECLADO COVER/MARCO DE PANTALLA"/>
        <s v="TAPA TRASERA/BATERIA"/>
        <s v=" PLACA BASE ,REPARACION/TAPA TRASERA"/>
        <s v="COVER TECLADO ,POR GARANTÍA "/>
        <s v="COVER TECLADO/PLACA BASE"/>
        <s v="SE ACTUALIZADO BIOS Y SU FUNCIONAMIENTO CORRECTO/COVER TECLADO ( GARANTÍA )"/>
        <s v="BATERIA ( GARANTÍA )"/>
        <s v="PLACA BASE REPARACION "/>
        <s v="BATERIA / PLACA BASE"/>
        <s v="COVER TECLADO/PANTALLA / TAPA TRASERA LCD/BATERIA"/>
        <s v="PLACA BASE GARANTIA / TAPA TRASERA"/>
        <s v="COVER TECLADO /COVER PANTALLA"/>
        <s v=" COVER TECLAD / TAPA TRASERA"/>
        <s v="PLACA BASE REPARACION /COVER TECLADO"/>
        <s v="PANTALLA/BATERIA"/>
        <s v="DISCO DURO /GARANTIA"/>
        <s v="TOUCHPAD / GOMAS"/>
        <s v="COVER TECLADO (GARANTÍA)"/>
        <s v="CAMARA WEB ( GARANTÍA )"/>
        <s v="COVER TECLADO /TAPA TRASERA"/>
        <s v="COVER PANTALLA/TAPATRASERA "/>
        <s v="Cover teclado / Cover LCD / Bateria"/>
        <s v="PLACA BASE ( GARANTIA )"/>
        <s v="GOMAS /COVER PANTALLA"/>
        <s v="GOMAS TRASERAS/PLACA BASE"/>
        <s v="COVER TECLADO/CARCASA TRASERA"/>
        <s v="PLACA BASE /COVER TECLADO/GOMAS"/>
        <s v="PANTALLA ROTA NO PROCEDE GARANTÍA"/>
        <s v="PANTALLA ROTA NO PROCEDE LA GARANTIA "/>
        <s v="GOMAS TAPA TRASERA/PLACA BASE "/>
        <s v="CAMBIO DISCO / VENTILADOR/PLACA BASE"/>
        <s v="PANTALLA ROTA NO PROCEDE LA GARANTÍA"/>
        <s v=" PLACA BASE/COVER TECLADO"/>
        <s v="COVER PANTALLA/PLACA BASE/COVER TECLADO"/>
        <s v="COVER TECLADO/BATERIA /GOMAS"/>
        <s v="GOMAS"/>
        <s v="PLACA BASE POR GARANTÍA "/>
        <s v="COVER TECLADO ( GARANTÍA)"/>
        <s v="BATERIA ( GARANTÍA )/BISAGRAS"/>
        <s v="COVER TECLADO ( GARANTÍA)/COVER LCD NO PROCEDE GARANTÍA POR GOLPE"/>
        <s v="SE ACTULIZACION DE BIOS Y MEJORA DE REFRIGERACION "/>
        <s v="PLACA BASE  PROCEDE LA GARANTÍA"/>
        <s v="COVER TECLADO /GOMAS"/>
        <s v="TAPA TRASERA LCD"/>
        <s v="SE ACTUALIZADO BIOS / SE HA MEJORADO SISTEMA DE REFRIGERACIÓN"/>
        <s v="BATERIA ( GARANTÍA)"/>
        <s v="COVER PANTALLA "/>
        <s v="PLACA BASE /COVER LCD/DISCO DURO "/>
        <s v="PANTALLA/ CARCASA TRASERA "/>
        <s v="PLACA BASE / GOMAS"/>
        <s v="TAPA TRASERA LCD "/>
        <s v="COVER TECLADO / COVER LCD / PANTALLA"/>
        <s v="COVER LCD"/>
        <s v="PLACA BASE/DISCO DURO/BATERIA/TECLADO COVER"/>
        <s v="COVER PANTALLA /TAPA TRASERA"/>
        <s v="PLACA BASE /BATERIA"/>
        <s v="CAMBIO DE PANTALLA/ FLESH DE VIDEO "/>
        <s v="BATERIA /COVER LCD"/>
        <s v="PLACA BASE/DISCO DURO /TECLADO COVER ( FALTA)"/>
        <s v="BATERIA /COVER TECLADO"/>
        <s v="COVER TECLADO ( GARANTÍA )"/>
        <s v="FLESH DE VIDEO HUMEDO ( NO PASA GARANTÍA )"/>
        <s v="PLACA BASE ( GARANTÍA ) /PANTALLA ROTA "/>
        <s v="MARCO DE PANTALLA Y BATERIA"/>
        <s v="COVER TECLADO / MARCO DE PANTALLA/PANTALLA"/>
        <s v="PLACA BASE / GOMAS/ Bateria / Fan"/>
        <s v="COVER TECLADO/GOMAS"/>
        <s v="COVER TECLADO/PANTALLA/TOUCHPAD/BATERIA/TAPA LCD"/>
        <s v="COVER TECLADO NO PROCEDE LA GARANTIA"/>
        <s v="REPACION DE PLACA BASE / COVER TECLADO ( FALTA)"/>
        <s v="COVER TECLADO  PROCEDE LA GARANTIA"/>
        <s v="COVER TECLADO  PRCEDE LA GARANTIA"/>
        <s v="COVER TECLADO / GOMAS TRASERAS"/>
        <s v="TOUCHPAD GARANTÍA "/>
        <s v="COVER PANTALLA / GOMAS "/>
        <s v="COVER PANTALLA/COVER TECLADO/TAPA TRASERA"/>
        <s v="COVER TECLADO NO PROCEDE GARNTIA POR ROTURA"/>
        <s v="GARANTIA DISCO DURO DAÑADO"/>
        <s v="COVER TECLADO( GARANTÍA)"/>
        <s v="CARCASA INFERIOR"/>
        <s v="COVER TECLADO / GOMA INFERIOR"/>
        <s v="COVER TECLADO ( GARANTIA ) / PANTALLA"/>
        <s v="COVER LCD/PANTALLA"/>
        <s v="REPARACION DE PLACA BASE / COVER TECLADO "/>
        <s v="COVER TECLADO /GOMAS TRASERA"/>
        <s v="RECAMBIAMOS COVER TECLADO Y SU FUNCIONAMIENTO CORRECTO"/>
        <s v="PANTALLA/GOMAS TRASERAS"/>
        <s v="TESTEO TODO OK"/>
        <s v="MARCO DE PANTALLA/COVER LCD"/>
        <s v="COVERTECLADO /GOMAS/REPARACION DE PLACA BASE"/>
        <s v="GOMAS TRASERA"/>
        <s v="COVER TECLADO/DISCO DURO"/>
        <s v="PLACA BASE (GARANTÍA )"/>
        <s v="PANTALLA/ TOUCHPAD"/>
        <s v="PLACA BASE REPARACION"/>
        <s v="NO VEO NADA NOTORIO EN LA CARCASA PARA SER REEMPLAZADA"/>
        <s v="COVER TECLADO/COVER PANTALLA/GOMAS"/>
        <s v="TOUCHPAD / BATERIA / COVER LCD"/>
        <s v=" COVER TECLADO /BATERIA /TAPA TRASERA"/>
        <s v="COVER TECLADO/TOUCHPAD REPARADO"/>
        <s v="DISCO DURO / MEMORIA RAM"/>
        <s v="PANTALLA/COVER LCD /COVER/TECLADO /GOMAS"/>
        <s v="BATERÍA /COVER TECLADO"/>
        <s v="DISCO DURO / BATERIA"/>
        <s v="TODO OK, SE REACONDICIONADO LA PARTE DE COVER TECLADO PINTADO "/>
        <s v="TOUCHPAD( ROTO)"/>
        <s v="TOUCHPAD/BISAGRAS/BATERIA"/>
        <s v="PLACA BASE REPARACION/ DISCO DURO"/>
        <s v="PLACA BASE ( GARANTÍA)"/>
        <s v="PLACA BASE (GARANTÍA)"/>
        <s v="ACTUALIZACION BIOS Y FUNCIONAMIENTO CORRECTO"/>
        <s v="BATERIA/FLESH DE TOUCHPAD"/>
        <s v="COVER PANTALLA ( NO PROCEDE GARANTÍA POR GOLPE )"/>
        <s v="ACTUALIZACION DE BIOS FUNCIONAMIENTO CORRECTO"/>
        <s v="COVER TECLADO / COVER PANTALLA/GOMAS"/>
        <s v="FLESH TOUCHPAD"/>
        <s v="MARCO DE PANTALLA "/>
        <s v="COVER TECLADO (GARANTÍA)/COVER TRASERO "/>
        <s v="COVER PANTALLA/TAPA TRASERA "/>
        <s v="ACTUALIZACION DE BIOS Y SU FUNCIONAMIENTO CORRECTO"/>
        <s v="TOUCHPAD/BATERIA"/>
        <s v="COVER TECLADO /BATERIA"/>
        <s v="COVER TECLADO/COVER PANTALLA"/>
        <s v="COVER TECLADO ( GARANTIA)"/>
        <s v="FLESH DE TECLADO"/>
        <s v="PANTALLA, FLEX PANTALLA Y COVER TECLADO"/>
        <s v="BATERIA ( NO SE COBRA )"/>
        <s v="REPARACION PLACA BASE"/>
        <s v="TOUCHPAD/COVER TECLADO"/>
        <s v="COVER TECLADO /COVER LCD"/>
        <s v="PLACA BSE REPARACION / BATERIA "/>
      </sharedItems>
    </cacheField>
    <cacheField name="Mantenimiento /limpieza interior y exterior / embalaje " numFmtId="0">
      <sharedItems containsString="0" containsBlank="1" containsNumber="1" containsInteger="1" minValue="0" maxValue="45"/>
    </cacheField>
    <cacheField name="Precio de piezas" numFmtId="0">
      <sharedItems containsBlank="1" containsMixedTypes="1" containsNumber="1" minValue="0" maxValue="778.75"/>
    </cacheField>
    <cacheField name="Precio final / sin iva" numFmtId="0">
      <sharedItems containsBlank="1" containsMixedTypes="1" containsNumber="1" minValue="0" maxValue="823.75"/>
    </cacheField>
    <cacheField name="Fecha Envió a cliente" numFmtId="0">
      <sharedItems containsDate="1" containsString="0" containsBlank="1" containsMixedTypes="1" minDate="2025-02-12T00:00:00" maxDate="2026-04-11T00:00:00"/>
    </cacheField>
    <cacheField name="Equipos sin reparar / sin garantía " numFmtId="0">
      <sharedItems containsDate="1" containsBlank="1" containsMixedTypes="1" minDate="2026-02-17T00:00:00" maxDate="2026-02-18T00:00:00"/>
    </cacheField>
    <cacheField name="Facturado" numFmtId="0">
      <sharedItems containsBlank="1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">
  <r>
    <m/>
    <m/>
    <m/>
    <m/>
    <m/>
    <m/>
    <m/>
    <m/>
    <m/>
    <x v="0"/>
    <s v="(SI/NO)"/>
    <m/>
    <m/>
    <x v="0"/>
    <m/>
    <m/>
    <x v="0"/>
    <m/>
    <s v="(Sin IVA)"/>
    <s v="(Sin IVA)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01-17T00:00:00"/>
    <n v="4982"/>
    <s v="N922778"/>
    <s v="5CG0514H79"/>
    <x v="1"/>
    <s v="NO"/>
    <s v="PLACA BASE "/>
    <s v="PLACA BASE /BATERIA"/>
    <x v="1"/>
    <n v="1"/>
    <s v="REPARADO"/>
    <x v="1"/>
    <n v="45"/>
    <n v="335"/>
    <n v="380"/>
    <d v="2025-03-04T00:00:00"/>
    <m/>
    <s v="1/2025"/>
    <s v="Se reparo la placa base"/>
  </r>
  <r>
    <s v="Barcelona"/>
    <s v="Cristina Cano Gomez"/>
    <s v="682687160 "/>
    <s v="cristina.canogomez.ext@telefonica.com  "/>
    <s v="Av. Diagonal, 621, zona intermedia, pl. -1. 08028 – Barcelona"/>
    <d v="2025-01-17T00:00:00"/>
    <s v="j-5593"/>
    <s v="N930604"/>
    <s v="5CG052071Z"/>
    <x v="1"/>
    <s v="NO"/>
    <s v="NO FUNCIONA EL TOUCHPAD"/>
    <s v="TOUCHPAD "/>
    <x v="1"/>
    <n v="1"/>
    <m/>
    <x v="2"/>
    <n v="45"/>
    <n v="77"/>
    <n v="122"/>
    <d v="2025-03-0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6"/>
    <s v="N873818"/>
    <s v="5CG1017Q7K"/>
    <x v="1"/>
    <s v="SI"/>
    <s v="NO ENCIENDE-NO FUNCIONA PANTALLA"/>
    <s v="FLEX PANTALLA"/>
    <x v="1"/>
    <n v="1"/>
    <m/>
    <x v="3"/>
    <n v="45"/>
    <n v="0"/>
    <n v="45"/>
    <d v="2025-02-2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1"/>
    <s v="N930948"/>
    <s v="5CG1017RG5"/>
    <x v="1"/>
    <s v="NO"/>
    <s v="FALLO DE TECLADO"/>
    <s v="TECLADO COVER"/>
    <x v="1"/>
    <n v="1"/>
    <m/>
    <x v="4"/>
    <n v="45"/>
    <n v="163.75"/>
    <n v="208.75"/>
    <d v="2025-03-0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4"/>
    <s v="K036726"/>
    <s v="5CG3131D0L"/>
    <x v="2"/>
    <s v="SI"/>
    <s v="Equipo reincia continuamente"/>
    <s v="PLACA BASE GARANTÍA"/>
    <x v="1"/>
    <n v="1"/>
    <m/>
    <x v="5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5"/>
    <s v="K010622"/>
    <s v="5CG3131DYY"/>
    <x v="2"/>
    <s v="SI"/>
    <s v="REINICIO CONTINUO-bios ko"/>
    <s v="BATERIA"/>
    <x v="1"/>
    <n v="1"/>
    <m/>
    <x v="6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4"/>
    <s v="K008919"/>
    <s v="5CG3131FWX"/>
    <x v="2"/>
    <s v="SI"/>
    <s v="NO MAQUETA CORRECTAMENTE"/>
    <s v="DISCO DURO"/>
    <x v="1"/>
    <n v="1"/>
    <m/>
    <x v="7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9"/>
    <s v="K008807"/>
    <s v="5CG3131FZ7"/>
    <x v="2"/>
    <s v="SI"/>
    <s v="NO MAQUETA CORRECTAMENTE"/>
    <s v="PLACA BASE GARANTÍA"/>
    <x v="1"/>
    <n v="1"/>
    <m/>
    <x v="5"/>
    <n v="45"/>
    <n v="0"/>
    <n v="45"/>
    <d v="2025-02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3"/>
    <s v="K008931"/>
    <s v="5CG3131GP5"/>
    <x v="2"/>
    <s v="SI"/>
    <s v="Equipo reincia continuamente"/>
    <s v="DISCO DURO"/>
    <x v="1"/>
    <n v="1"/>
    <m/>
    <x v="7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2"/>
    <s v="K036963"/>
    <s v="5CG3131GXB"/>
    <x v="2"/>
    <s v="NO"/>
    <s v="KO pantallazo azul"/>
    <s v="EQUIPO REPARADO SIN PIEZAS "/>
    <x v="1"/>
    <n v="1"/>
    <s v="EQUIPO REPARADO / FLESH DE VIDEO"/>
    <x v="8"/>
    <n v="45"/>
    <n v="115"/>
    <n v="160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0"/>
    <s v="K043206"/>
    <s v="5CG3131H01"/>
    <x v="2"/>
    <s v="SI"/>
    <s v="PROBLEMAS DE DISCO"/>
    <s v="DISCO DURO"/>
    <x v="1"/>
    <n v="1"/>
    <m/>
    <x v="7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8"/>
    <s v="K008910"/>
    <s v="5CG3131H1N"/>
    <x v="2"/>
    <s v="SI"/>
    <s v="NO MAQUETA CORRECTAMENTE"/>
    <s v="PLACA BASE GARANTÍA"/>
    <x v="1"/>
    <n v="1"/>
    <m/>
    <x v="5"/>
    <n v="45"/>
    <n v="0"/>
    <n v="45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601"/>
    <s v="K036172"/>
    <s v="5CG3140V14"/>
    <x v="3"/>
    <s v="NO"/>
    <s v="Equipo reincia continuamente"/>
    <s v="EQUIPO REPARADO SIN PIEZAS "/>
    <x v="1"/>
    <n v="1"/>
    <s v="REPARACION EN PLACA BASE EL FLESH DE VIDEO Y DE BATERIA"/>
    <x v="9"/>
    <n v="45"/>
    <n v="115"/>
    <n v="160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m/>
    <s v="K055936"/>
    <s v="5CG507540J"/>
    <x v="4"/>
    <s v="SI"/>
    <s v="No detecta wifi/Red"/>
    <s v="TARJETA WIFI"/>
    <x v="1"/>
    <n v="1"/>
    <m/>
    <x v="10"/>
    <n v="45"/>
    <n v="0"/>
    <n v="45"/>
    <d v="2025-02-24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1-17T00:00:00"/>
    <s v="j-5592"/>
    <s v="N942592"/>
    <s v="CND01718P0"/>
    <x v="5"/>
    <s v="NO"/>
    <s v="NO VA CAMARA"/>
    <s v="EQUIPO REPARADO SIN PIEZAS "/>
    <x v="1"/>
    <n v="1"/>
    <m/>
    <x v="3"/>
    <n v="45"/>
    <n v="115"/>
    <n v="160"/>
    <d v="2025-02-1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6"/>
    <s v="K006981"/>
    <s v="5CG3300WKZ"/>
    <x v="6"/>
    <s v="SI"/>
    <s v="Reinicios en bucle + pantallazo azul windows"/>
    <s v="PLACA BASE GARANTIA"/>
    <x v="1"/>
    <n v="1"/>
    <m/>
    <x v="11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d v="1911-01-11T00:00:00"/>
    <s v="N917906"/>
    <s v="5CG0517G54"/>
    <x v="7"/>
    <s v="NO"/>
    <s v="Smpc no arranca"/>
    <s v="PLACA BASE"/>
    <x v="2"/>
    <n v="1"/>
    <s v="PRESUEPUESTO PLACA BASE NUEVO"/>
    <x v="0"/>
    <n v="45"/>
    <n v="45"/>
    <n v="90"/>
    <m/>
    <s v="presupuesto con placa nueva 750,00€, esperando respuesta del cliente"/>
    <m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0"/>
    <s v="K010655"/>
    <s v="5CG3131F5W"/>
    <x v="6"/>
    <s v="SI"/>
    <s v="Reinicios en bucle pantallazo azul windows"/>
    <s v="PLACA BASE GARANTIA"/>
    <x v="1"/>
    <n v="1"/>
    <m/>
    <x v="11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7"/>
    <s v="N843340"/>
    <s v="5CG1027R57"/>
    <x v="7"/>
    <s v="NO"/>
    <s v="Teclado averiado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9"/>
    <s v="K038291"/>
    <s v="5CG3300WJV"/>
    <x v="6"/>
    <s v="SI"/>
    <s v="Reinicios en bucle pantallazo azul windows"/>
    <s v="PLACA BASE GARANTIA"/>
    <x v="1"/>
    <n v="1"/>
    <m/>
    <x v="11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6"/>
    <s v="N989014"/>
    <s v="5CG207359Y"/>
    <x v="8"/>
    <s v="NO"/>
    <s v="Reinicios en bucle +pad ko"/>
    <s v="TOUCHPAD"/>
    <x v="1"/>
    <n v="1"/>
    <m/>
    <x v="12"/>
    <n v="45"/>
    <n v="77"/>
    <n v="122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8"/>
    <s v="N991431"/>
    <s v="5CG15189TC"/>
    <x v="9"/>
    <s v="NO"/>
    <s v="Reinicios en bucle + pantallazo azul windows"/>
    <s v="PLACA BASE/ REPARACION"/>
    <x v="1"/>
    <n v="1"/>
    <m/>
    <x v="13"/>
    <n v="45"/>
    <n v="215"/>
    <n v="260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2"/>
    <s v="N874231"/>
    <s v="5CG0463924"/>
    <x v="7"/>
    <s v="NO"/>
    <s v="Teclado averiado 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1"/>
    <s v="N922385"/>
    <s v="5CG0517G08"/>
    <x v="7"/>
    <s v="NO"/>
    <s v="Pantallazo azul"/>
    <s v="EQUIPO REPARADO SIN PIEZAS "/>
    <x v="1"/>
    <n v="1"/>
    <m/>
    <x v="3"/>
    <n v="45"/>
    <n v="115"/>
    <n v="160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8"/>
    <s v="K036172"/>
    <s v="5CG3140V14"/>
    <x v="7"/>
    <s v="SI"/>
    <s v="Equipo reincia continuamente"/>
    <s v="PLACA BASE"/>
    <x v="1"/>
    <n v="1"/>
    <m/>
    <x v="14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17"/>
    <s v="K008910"/>
    <s v="5CG3131H1N"/>
    <x v="6"/>
    <s v="SI"/>
    <s v="_x0009__x000a_Pantallazo azul"/>
    <s v="PLACA BASE"/>
    <x v="1"/>
    <n v="1"/>
    <m/>
    <x v="14"/>
    <n v="45"/>
    <n v="0"/>
    <n v="45"/>
    <d v="2025-03-2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2-28T00:00:00"/>
    <n v="4024"/>
    <s v="N914086"/>
    <s v="5CG0515TSY"/>
    <x v="7"/>
    <s v="NO"/>
    <s v="Pantallazo azul"/>
    <s v="BATERIA"/>
    <x v="1"/>
    <n v="1"/>
    <s v="SUSTITUCION DE BATERIA"/>
    <x v="6"/>
    <n v="45"/>
    <n v="120"/>
    <n v="16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41"/>
    <s v="N873580"/>
    <s v="5CG1017RMR"/>
    <x v="7"/>
    <s v="NO"/>
    <s v="EQUIPO SIN BATERIA FISICA"/>
    <s v="EQUIPO REPARADO SIN PIEZAS "/>
    <x v="1"/>
    <n v="1"/>
    <m/>
    <x v="15"/>
    <n v="45"/>
    <n v="0"/>
    <n v="4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5"/>
    <s v="N922666"/>
    <s v="5CG0515PX2"/>
    <x v="7"/>
    <s v="NO"/>
    <s v="TECLADO DETERIORADO"/>
    <s v="TECLADO COVER"/>
    <x v="1"/>
    <n v="1"/>
    <s v="COVER TECLADO FASTIDIADO"/>
    <x v="16"/>
    <n v="45"/>
    <n v="163.75"/>
    <n v="208.75"/>
    <d v="2025-05-28T00:00:00"/>
    <m/>
    <s v="1/2025"/>
    <s v="PARA ENTREGAR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6"/>
    <s v="K010522/K023"/>
    <s v="5CG3131FZD"/>
    <x v="6"/>
    <s v="SI"/>
    <s v="NO ENCIENDE"/>
    <s v="PLACA BASE"/>
    <x v="1"/>
    <n v="1"/>
    <s v="REPARADO "/>
    <x v="5"/>
    <n v="45"/>
    <n v="0"/>
    <n v="45"/>
    <d v="2025-05-1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40"/>
    <s v="N916789"/>
    <s v="5CG0517GYN"/>
    <x v="7"/>
    <s v="NO"/>
    <s v="TECLADO DAÑADO_x000a_"/>
    <s v="TECLADO COVER"/>
    <x v="1"/>
    <n v="1"/>
    <m/>
    <x v="4"/>
    <n v="45"/>
    <n v="163.75"/>
    <n v="208.7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0"/>
    <s v="K045392"/>
    <s v="5CG40753Q7"/>
    <x v="10"/>
    <s v="SI"/>
    <s v="TOUCHPAD FALLA"/>
    <s v="TOUCHPAD"/>
    <x v="1"/>
    <n v="1"/>
    <m/>
    <x v="12"/>
    <n v="45"/>
    <n v="0"/>
    <n v="45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9"/>
    <s v="N929884"/>
    <s v="5CG10790CK"/>
    <x v="11"/>
    <s v="NO"/>
    <s v="NO ENCIENDE"/>
    <s v="PLACA BASE"/>
    <x v="1"/>
    <n v="1"/>
    <m/>
    <x v="13"/>
    <n v="45"/>
    <n v="215"/>
    <n v="260"/>
    <d v="2025-03-2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4"/>
    <s v="N928626"/>
    <s v="5CG1012Q1K"/>
    <x v="7"/>
    <s v="NO"/>
    <s v="PERDIO WINDOWS / ERROR DE WINDOWS"/>
    <s v="DISCO DURO"/>
    <x v="1"/>
    <n v="1"/>
    <s v="ESTADO OK 24/06/2025"/>
    <x v="7"/>
    <n v="45"/>
    <n v="120"/>
    <n v="165"/>
    <d v="2025-05-16T00:00:00"/>
    <m/>
    <s v="1/2025"/>
    <s v="PARA ENTREGAR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2"/>
    <s v="N928635"/>
    <s v="5CG1012Q32"/>
    <x v="11"/>
    <s v="NO"/>
    <s v="_x0009_SUENA EL VENTILADOR / ERROR ACTUALIZACION BIOS"/>
    <s v="VENTILADOR"/>
    <x v="1"/>
    <n v="1"/>
    <m/>
    <x v="17"/>
    <n v="45"/>
    <n v="100"/>
    <n v="145"/>
    <d v="2025-03-2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68"/>
    <s v="N874237"/>
    <s v="5CG04638DB"/>
    <x v="7"/>
    <s v="NO"/>
    <s v="TECLADO ROTO, FALTA TECLA E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67"/>
    <s v="K037106"/>
    <s v="5CG3131H0D"/>
    <x v="6"/>
    <s v="SI"/>
    <s v="CARCASA ABIERTA POR DEBAJO"/>
    <s v="CARCASA TRASERA"/>
    <x v="1"/>
    <n v="1"/>
    <m/>
    <x v="18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m/>
    <s v="N923634"/>
    <s v="5CG047276V"/>
    <x v="7"/>
    <s v="NO"/>
    <s v="PUERTO USB NO FUNCIONA"/>
    <s v="PLACA BASE"/>
    <x v="2"/>
    <n v="1"/>
    <s v="PRESUEPUESTO PLACA"/>
    <x v="0"/>
    <n v="45"/>
    <n v="45"/>
    <n v="90"/>
    <m/>
    <s v="presupuesto con placa nueva 750,00€, esperando respuesta del cliente"/>
    <m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125"/>
    <s v="N922418"/>
    <s v="5CG0517HPD"/>
    <x v="7"/>
    <s v="NO"/>
    <s v="RUIDO VENTILADOR"/>
    <s v="VENTILADOR"/>
    <x v="1"/>
    <n v="1"/>
    <m/>
    <x v="17"/>
    <n v="45"/>
    <n v="100"/>
    <n v="145"/>
    <d v="2025-03-2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69"/>
    <s v="N843348"/>
    <s v="5CG1027R3R"/>
    <x v="7"/>
    <s v="NO"/>
    <s v="TECLADO ROTO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3-17T00:00:00"/>
    <n v="4084"/>
    <s v="N922998"/>
    <s v="5CG1018BJ0"/>
    <x v="11"/>
    <s v="NO"/>
    <s v="NO ENCIENDE, RUIDO VENTILADOR"/>
    <s v="PLACA BASE /REPÀRACION/ GOMAS TAPA TRASERA"/>
    <x v="1"/>
    <n v="1"/>
    <m/>
    <x v="19"/>
    <n v="45"/>
    <s v="235.00€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0"/>
    <s v="N916606"/>
    <s v="5CG0515RPY"/>
    <x v="12"/>
    <s v="NO"/>
    <s v="FALLA TECLADO Y PAD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20"/>
    <s v="N997523"/>
    <s v="5CG2021HHQ"/>
    <x v="13"/>
    <s v="NO"/>
    <s v="PANTALLA AZUL"/>
    <s v="PLACA BASE/ REPARACION"/>
    <x v="1"/>
    <n v="1"/>
    <m/>
    <x v="13"/>
    <n v="45"/>
    <n v="215"/>
    <n v="260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9"/>
    <s v="N874496"/>
    <s v="5CG04637VF"/>
    <x v="12"/>
    <s v="NO"/>
    <s v="FALLA TECLADO Y PAD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8"/>
    <s v="K060065"/>
    <s v="5CG4250KJJ"/>
    <x v="14"/>
    <s v="SI"/>
    <s v="NO CARGA"/>
    <s v="DISCO DURO"/>
    <x v="1"/>
    <n v="1"/>
    <m/>
    <x v="20"/>
    <n v="45"/>
    <n v="0"/>
    <n v="45"/>
    <d v="2025-05-16T00:00:00"/>
    <m/>
    <s v="1/2025"/>
    <s v="06/05/2025 ,REGRESA EL EQUIPO POR DOS GOLPES DE ATRÁS DE LA PANTALLA ,EL COVER . REENVIAMOS EQUIPO 13/06/2025 "/>
  </r>
  <r>
    <s v="Barcelona"/>
    <s v="Cristina Cano Gomez"/>
    <s v="682687160 "/>
    <s v="cristina.canogomez.ext@telefonica.com  "/>
    <s v="Av. Diagonal, 621, zona intermedia, pl. -1. 08028 – Barcelona"/>
    <d v="2025-03-28T00:00:00"/>
    <n v="4116"/>
    <s v="K042676"/>
    <s v="5CG0517J14"/>
    <x v="12"/>
    <s v="NO"/>
    <s v="NO RECONOCE BAT"/>
    <s v="BATERIA"/>
    <x v="1"/>
    <n v="1"/>
    <m/>
    <x v="6"/>
    <n v="45"/>
    <n v="120"/>
    <n v="16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5"/>
    <s v="N989040"/>
    <s v="5CG2073596"/>
    <x v="12"/>
    <s v="NO"/>
    <s v="FALLA TECLADO"/>
    <s v="TECLADO COVER"/>
    <x v="1"/>
    <n v="1"/>
    <m/>
    <x v="4"/>
    <n v="45"/>
    <n v="163.75"/>
    <n v="208.7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4"/>
    <s v="K036963"/>
    <s v="5CG3131GXB"/>
    <x v="14"/>
    <s v="SI"/>
    <s v="PANTALLA AZUL"/>
    <s v="PLACA BASE"/>
    <x v="1"/>
    <n v="1"/>
    <m/>
    <x v="14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3"/>
    <s v="K044659"/>
    <s v="5CG35152YG"/>
    <x v="14"/>
    <s v="SI"/>
    <s v="PANTALLA AZUL"/>
    <s v="PLACA BASE"/>
    <x v="1"/>
    <n v="1"/>
    <m/>
    <x v="14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2"/>
    <s v="K026301"/>
    <s v="5CG3023ZF1"/>
    <x v="15"/>
    <s v="SI"/>
    <s v="NO CARGA SE APAGA"/>
    <s v="DISCO DURO"/>
    <x v="1"/>
    <n v="1"/>
    <m/>
    <x v="7"/>
    <n v="45"/>
    <n v="0"/>
    <n v="45"/>
    <d v="2025-05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1"/>
    <s v="N873527"/>
    <s v="5CG1017P00  x"/>
    <x v="12"/>
    <s v="NO"/>
    <s v="ERROR BATERIA"/>
    <s v="REPARACION DE PLACA BASE"/>
    <x v="1"/>
    <n v="1"/>
    <m/>
    <x v="13"/>
    <n v="45"/>
    <n v="215"/>
    <n v="260"/>
    <d v="2025-06-0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10"/>
    <s v="N922486"/>
    <s v="5CG0517HY8"/>
    <x v="12"/>
    <s v="NO"/>
    <s v="PANTALLA AZUL"/>
    <s v="DISCO DURO"/>
    <x v="1"/>
    <n v="1"/>
    <m/>
    <x v="7"/>
    <n v="45"/>
    <n v="120"/>
    <n v="16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9"/>
    <s v="N925313"/>
    <s v="5CG115762Q"/>
    <x v="9"/>
    <s v="NO"/>
    <s v="PANTALLA AZUL"/>
    <s v="COVER PANTALLA"/>
    <x v="1"/>
    <n v="1"/>
    <m/>
    <x v="21"/>
    <n v="45"/>
    <n v="320"/>
    <n v="36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7"/>
    <s v="N922778"/>
    <s v="5CG0514H79"/>
    <x v="7"/>
    <s v="NO"/>
    <s v="ERROR SISTEMA"/>
    <s v="REPARACION DE PLACA BASE "/>
    <x v="1"/>
    <n v="1"/>
    <s v="POR REPARAR BRAISIRIA, POSIBLE ENTREGA LA PRIMERA SEMANA DE JULIO"/>
    <x v="13"/>
    <n v="45"/>
    <n v="215"/>
    <n v="260"/>
    <d v="2025-08-2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5"/>
    <s v="N917670"/>
    <s v="5CG0515V6Q"/>
    <x v="12"/>
    <s v="NO"/>
    <s v="FALLA TECLADO FALTA LETRA A"/>
    <s v="TECLADO COVER"/>
    <x v="1"/>
    <n v="1"/>
    <s v="EN ESPERA DE PIEZAS"/>
    <x v="4"/>
    <n v="45"/>
    <n v="109.09"/>
    <n v="154.09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4"/>
    <s v="K050752"/>
    <s v="5CG1281PSS"/>
    <x v="9"/>
    <s v="NO"/>
    <s v="PANTALLA AZUL"/>
    <s v="FLESH DE TOUCHPAD /FLESH DE VIDEO"/>
    <x v="1"/>
    <n v="1"/>
    <m/>
    <x v="22"/>
    <n v="45"/>
    <s v="115.00€"/>
    <n v="4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3"/>
    <s v="K036717"/>
    <s v="5CG3131DR5"/>
    <x v="14"/>
    <s v="SI"/>
    <s v="NO ENCIENDE NO PASA DE INICIO"/>
    <s v="DISCO DURO/COVER PANTALLA"/>
    <x v="1"/>
    <n v="1"/>
    <s v="SE REGRESA EL EQUIPO POR DOS GOLPES EN EL COVER PANTALLA / SE SOLICITA PIEZA"/>
    <x v="23"/>
    <n v="45"/>
    <n v="0"/>
    <n v="4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3-28T00:00:00"/>
    <n v="4102"/>
    <s v="N873806"/>
    <s v="5CG1017Q19"/>
    <x v="12"/>
    <s v="NO"/>
    <s v="PANTALLA AZUL"/>
    <s v="DISCO DURO "/>
    <x v="1"/>
    <n v="1"/>
    <m/>
    <x v="24"/>
    <n v="45"/>
    <s v="120.00€"/>
    <n v="4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6"/>
    <s v="N874340"/>
    <s v="5CG04638D1"/>
    <x v="7"/>
    <s v="NO"/>
    <s v="DETERIORO GENERAL"/>
    <s v="REACONDICIONADO DE CHASIS TECLADO "/>
    <x v="1"/>
    <n v="1"/>
    <m/>
    <x v="25"/>
    <n v="45"/>
    <n v="115"/>
    <n v="160"/>
    <d v="2025-06-0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7"/>
    <s v="N874407"/>
    <s v="5CG046385M"/>
    <x v="7"/>
    <s v="NO"/>
    <s v="FALLA TOUCHPAD"/>
    <s v="FLESH DE IMAGEN / AJUSTE DE TOUCHPAD"/>
    <x v="1"/>
    <n v="1"/>
    <m/>
    <x v="8"/>
    <n v="45"/>
    <s v="115.00€"/>
    <n v="4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8"/>
    <s v="N918595"/>
    <s v="5CG0517FMD"/>
    <x v="7"/>
    <s v="NO"/>
    <s v="PLACA MOJADA POR CAFÉ"/>
    <s v="REPARACION DE PLACA BASE /BATERIA"/>
    <x v="1"/>
    <n v="1"/>
    <m/>
    <x v="1"/>
    <n v="45"/>
    <n v="335"/>
    <n v="380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29"/>
    <s v="N993014"/>
    <s v="5CG22036XC"/>
    <x v="9"/>
    <s v="NO"/>
    <s v="PANTALLA AZUL"/>
    <s v="BATERIA"/>
    <x v="1"/>
    <n v="1"/>
    <m/>
    <x v="6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0"/>
    <s v="K043323"/>
    <s v="5CG1027R2Z"/>
    <x v="7"/>
    <s v="NO"/>
    <s v="APAGADOS CONTINUOS"/>
    <s v="DISCO DURO"/>
    <x v="1"/>
    <n v="1"/>
    <m/>
    <x v="7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1"/>
    <s v="N925831"/>
    <s v="5CG1012XYH"/>
    <x v="11"/>
    <s v="NO"/>
    <s v="NO ARRANCA/FALLA DISCO DURO"/>
    <s v="DISCO DURO"/>
    <x v="1"/>
    <n v="1"/>
    <m/>
    <x v="7"/>
    <n v="45"/>
    <s v="120.00€"/>
    <n v="45"/>
    <d v="2025-05-1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2"/>
    <s v="K010537"/>
    <s v="5CG3131FZP"/>
    <x v="6"/>
    <s v="SI"/>
    <s v="EQUIPO SE APAGA SOLO / GOLPE LATERAL"/>
    <s v="PLACA BASE "/>
    <x v="1"/>
    <n v="1"/>
    <s v="POR SOLICITAR PIEZA"/>
    <x v="26"/>
    <n v="45"/>
    <n v="0"/>
    <n v="45"/>
    <d v="2025-06-13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387"/>
    <s v="K028625"/>
    <s v="5CG3023TX1"/>
    <x v="15"/>
    <s v="SI"/>
    <s v="NO ARRANCA"/>
    <s v="PLACA BASE/ COVER TECLADO /TAPA TRASEREA/PANTALLA COVER"/>
    <x v="1"/>
    <n v="1"/>
    <m/>
    <x v="27"/>
    <n v="45"/>
    <n v="0"/>
    <n v="4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3"/>
    <s v="N918691"/>
    <s v="5CG0517F3G"/>
    <x v="7"/>
    <s v="NO"/>
    <s v="FALLA BATERIA"/>
    <s v="BATERIA"/>
    <x v="1"/>
    <n v="1"/>
    <m/>
    <x v="28"/>
    <n v="45"/>
    <n v="320"/>
    <n v="3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4"/>
    <s v="N874171"/>
    <s v="5CG046386J  x"/>
    <x v="7"/>
    <s v="NO"/>
    <s v="NO ARRANCA/PANTALLA MAL"/>
    <s v="COVER PANTALLA /REPARACION DE PLACA BASE ,BRAISIRIA"/>
    <x v="1"/>
    <n v="1"/>
    <m/>
    <x v="29"/>
    <n v="45"/>
    <n v="535"/>
    <n v="580"/>
    <d v="2025-06-06T00:00:00"/>
    <m/>
    <m/>
    <m/>
  </r>
  <r>
    <s v="Madrid"/>
    <s v="Carmen Rodríguez Lage "/>
    <n v="616866669"/>
    <s v="mariacarmen.rodriguezlage.ext@telefonica.com"/>
    <s v="Paseo de la Castellana, 189. Planta 13. 28046 - Madrid"/>
    <d v="2025-04-10T00:00:00"/>
    <n v="4635"/>
    <s v="N922709"/>
    <s v="5CG0517FC5  x"/>
    <x v="7"/>
    <s v="NO"/>
    <s v="NO ARRANCA"/>
    <s v="REPARACION DE PLACA BASE, BRAISIRIA / DISCO DURO"/>
    <x v="1"/>
    <n v="1"/>
    <m/>
    <x v="13"/>
    <n v="45"/>
    <n v="215"/>
    <n v="260"/>
    <d v="2025-06-06T00:00:00"/>
    <m/>
    <m/>
    <m/>
  </r>
  <r>
    <s v="Madrid"/>
    <s v="Carmen Rodríguez Lage "/>
    <n v="616866669"/>
    <s v="mariacarmen.rodriguezlage.ext@telefonica.com"/>
    <s v="Paseo de la Castellana, 189. Planta 13. 28046 - Madrid"/>
    <d v="2025-04-10T00:00:00"/>
    <n v="4636"/>
    <s v="N922219"/>
    <s v="5CG0514JSF"/>
    <x v="7"/>
    <s v="NO"/>
    <s v="FALLA DE TECLADO"/>
    <s v="TECLADO COVER"/>
    <x v="1"/>
    <n v="1"/>
    <m/>
    <x v="4"/>
    <n v="45"/>
    <n v="163.75"/>
    <n v="208.75"/>
    <d v="2025-06-0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7"/>
    <s v="N914087"/>
    <s v="5CG0515V9D"/>
    <x v="7"/>
    <s v="NO"/>
    <s v="NO DETECTA QUE TENGA BATERIA"/>
    <s v="BATERIA"/>
    <x v="1"/>
    <n v="1"/>
    <m/>
    <x v="6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8"/>
    <s v="N918797"/>
    <s v="5CG0514F26"/>
    <x v="7"/>
    <s v="NO"/>
    <s v="NO FUNCIONA LA TECLA A"/>
    <s v="REPARACION DE FLESH DE TECLADO"/>
    <x v="1"/>
    <n v="1"/>
    <m/>
    <x v="30"/>
    <n v="45"/>
    <n v="115"/>
    <n v="160"/>
    <d v="2025-06-06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39"/>
    <s v="K010501"/>
    <s v="5CG3131FNJ"/>
    <x v="15"/>
    <s v="SI"/>
    <s v="PUERTO HDMI ROTO"/>
    <s v="TECLADO COVER"/>
    <x v="1"/>
    <n v="1"/>
    <s v="SOLICITUD DE PIEZA"/>
    <x v="31"/>
    <n v="45"/>
    <n v="0"/>
    <n v="45"/>
    <d v="2025-06-13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40"/>
    <s v="N916611"/>
    <s v="5CG0515RP5"/>
    <x v="7"/>
    <s v="NO"/>
    <s v="PANTALLA ROTA"/>
    <s v="PANTALLA"/>
    <x v="1"/>
    <n v="1"/>
    <s v="POR ENTREGAR"/>
    <x v="32"/>
    <n v="45"/>
    <n v="78.5"/>
    <n v="123.5"/>
    <d v="2025-06-13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41"/>
    <s v="N923575"/>
    <s v="5CG04727J1"/>
    <x v="7"/>
    <s v="NO"/>
    <s v="TECLADO Y RATON FALLAN"/>
    <s v="BATERIA"/>
    <x v="1"/>
    <n v="1"/>
    <s v="ha vuelto el equipo"/>
    <x v="33"/>
    <n v="45"/>
    <n v="120"/>
    <n v="165"/>
    <d v="2025-05-28T00:00:00"/>
    <m/>
    <s v="1/2025"/>
    <m/>
  </r>
  <r>
    <s v="Madrid"/>
    <s v="Carmen Rodríguez Lage "/>
    <n v="616866669"/>
    <s v="mariacarmen.rodriguezlage.ext@telefonica.com"/>
    <s v="Paseo de la Castellana, 189. Planta 13. 28046 - Madrid"/>
    <d v="2025-04-10T00:00:00"/>
    <n v="4642"/>
    <s v="N943641"/>
    <s v="5CG127C3DD  "/>
    <x v="9"/>
    <s v="NO"/>
    <s v="NO DETECTA NINGUN MONITOR/ NO FUNCIONA EL TECLADO"/>
    <s v="BATERIA"/>
    <x v="1"/>
    <n v="1"/>
    <m/>
    <x v="34"/>
    <n v="45"/>
    <n v="778.75"/>
    <n v="823.75"/>
    <d v="2025-06-06T00:00:00"/>
    <m/>
    <m/>
    <m/>
  </r>
  <r>
    <s v="Madrid"/>
    <s v="Carmen Rodríguez Lage "/>
    <n v="616866669"/>
    <s v="mariacarmen.rodriguezlage.ext@telefonica.com"/>
    <s v="Paseo de la Castellana, 189. Planta 13. 28046 - Madrid"/>
    <d v="2025-04-10T00:00:00"/>
    <n v="4643"/>
    <s v="N922242"/>
    <s v="5CG0514G0T"/>
    <x v="7"/>
    <s v="NO"/>
    <s v="Pantalla azul "/>
    <s v="PLACA BASE/REPARACION / BATERIA / COVER PANTALLA 24/06/2025"/>
    <x v="1"/>
    <n v="1"/>
    <s v="REPARACION DE PLACA BASE Y BATERIA"/>
    <x v="35"/>
    <n v="45"/>
    <n v="335"/>
    <n v="380"/>
    <d v="2025-08-29T00:00:00"/>
    <m/>
    <s v="1/2025"/>
    <s v="PARA ENTREGAR"/>
  </r>
  <r>
    <s v="Barcelona"/>
    <s v="Cristina Cano Gomez"/>
    <s v="682687160 "/>
    <s v="cristina.canogomez.ext@telefonica.com  "/>
    <s v="Gran Vía de les Corts Catalanes 159, planta 1. 08014 – Barcelona"/>
    <d v="2025-04-10T00:00:00"/>
    <n v="4644"/>
    <s v="K068330"/>
    <s v="5CG3131DX4"/>
    <x v="6"/>
    <s v="SI"/>
    <s v="PANTALLA ROTA"/>
    <s v="PANTALLA"/>
    <x v="1"/>
    <n v="1"/>
    <s v="POR ENTREGAR"/>
    <x v="32"/>
    <n v="45"/>
    <n v="119"/>
    <n v="164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5"/>
    <s v="K053429"/>
    <s v="5CG0517HY3"/>
    <x v="7"/>
    <s v="NO"/>
    <s v="FALLA TECLADO"/>
    <s v="TECLADO COVER"/>
    <x v="1"/>
    <n v="1"/>
    <m/>
    <x v="4"/>
    <n v="45"/>
    <n v="335"/>
    <n v="380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6"/>
    <s v="N840093"/>
    <s v="5CG0334Z2Z"/>
    <x v="16"/>
    <s v="NO"/>
    <s v="SONIDO VENTILADOR"/>
    <s v="VENTILADOR / DISCO DURO"/>
    <x v="1"/>
    <n v="1"/>
    <m/>
    <x v="36"/>
    <n v="45"/>
    <n v="220"/>
    <n v="26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7"/>
    <s v="K056027"/>
    <s v="5CG40754MC"/>
    <x v="10"/>
    <s v="SI"/>
    <s v="FALLA TECLADO"/>
    <s v="TECLADO COVER"/>
    <x v="1"/>
    <n v="1"/>
    <m/>
    <x v="4"/>
    <n v="45"/>
    <n v="0"/>
    <n v="4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8"/>
    <s v="N989318"/>
    <s v="5CG2073LFQ"/>
    <x v="8"/>
    <s v="NO"/>
    <s v="TAPA FLOJA"/>
    <s v="AJUSTES DE BISAGRAS Y FLESH DE VIDEO"/>
    <x v="1"/>
    <n v="1"/>
    <m/>
    <x v="37"/>
    <n v="45"/>
    <n v="115"/>
    <n v="160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49"/>
    <s v="N997515"/>
    <s v="5CG2021HHN"/>
    <x v="8"/>
    <s v="NO"/>
    <s v="TECLADO ROTO"/>
    <s v="TECLADO COVER"/>
    <x v="1"/>
    <n v="1"/>
    <s v="EN ESPERA DE PIEZAS"/>
    <x v="4"/>
    <n v="45"/>
    <n v="106.61"/>
    <n v="151.61000000000001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50"/>
    <s v="N990551"/>
    <s v="5CG20401WD"/>
    <x v="8"/>
    <s v="NO"/>
    <s v="TECLADO ROTO"/>
    <s v="TECLADO COVER /BATERIA"/>
    <x v="1"/>
    <n v="1"/>
    <m/>
    <x v="38"/>
    <n v="45"/>
    <n v="283.75"/>
    <n v="328.7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4-10T00:00:00"/>
    <n v="4651"/>
    <s v="K028027"/>
    <s v="5CG3020QW0"/>
    <x v="15"/>
    <s v="SI"/>
    <s v="BATERIA KO"/>
    <s v="BATERIA"/>
    <x v="1"/>
    <n v="1"/>
    <m/>
    <x v="6"/>
    <n v="45"/>
    <n v="0"/>
    <n v="45"/>
    <d v="2025-05-2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s v="4652/5356"/>
    <s v="K041724"/>
    <s v="5CG3522CTR"/>
    <x v="17"/>
    <s v="SI"/>
    <s v="RUIDO VENTILADOR"/>
    <s v="VENTILADOR"/>
    <x v="1"/>
    <n v="1"/>
    <s v="SE CAMBIA EL VENTILADOR PORQUE HACE MUCHO RUIDO"/>
    <x v="17"/>
    <n v="45"/>
    <n v="0"/>
    <n v="45"/>
    <d v="2025-05-28T00:00:00"/>
    <m/>
    <s v="1/2025"/>
    <s v="Este equipo lo vovieron a enviar y vimos que el cover pantalla estaba golpeado , no pasa la garantia ya que esta con golpe PARA ENTREGAR"/>
  </r>
  <r>
    <s v="Barcelona"/>
    <s v="Cristina Cano Gomez"/>
    <s v="682687160 "/>
    <s v="cristina.canogomez.ext@telefonica.com  "/>
    <s v="Gran Vía de les Corts Catalanes 159, planta 1. 08014 – Barcelona"/>
    <d v="2025-04-10T00:00:00"/>
    <n v="4653"/>
    <s v="N923969"/>
    <s v="5CG04727KZ"/>
    <x v="7"/>
    <s v="NO"/>
    <s v="BARRA ESPACIADORA"/>
    <s v="TECLADO COVER"/>
    <x v="1"/>
    <n v="1"/>
    <s v="POR ENTREGAR"/>
    <x v="4"/>
    <n v="45"/>
    <n v="132"/>
    <n v="177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4"/>
    <s v="N947861"/>
    <s v="5CG1254RBG"/>
    <x v="7"/>
    <s v="NO"/>
    <s v="TECLADO AVERIADO ( FALTAN TECLAS )"/>
    <s v="COVER TECLADO / TAPA TRASERA"/>
    <x v="1"/>
    <n v="1"/>
    <m/>
    <x v="39"/>
    <n v="45"/>
    <n v="243.75"/>
    <n v="288.7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6"/>
    <s v="N931017"/>
    <s v="5CG1017RNZ"/>
    <x v="7"/>
    <s v="NO"/>
    <s v="TECLADO AVERIADO ( FALTAN TECLAS )"/>
    <s v="TECLADO COVER"/>
    <x v="1"/>
    <n v="1"/>
    <m/>
    <x v="4"/>
    <n v="45"/>
    <n v="163.75"/>
    <n v="208.7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7"/>
    <s v="N855983"/>
    <s v="5CG046390X"/>
    <x v="7"/>
    <s v="NO"/>
    <s v="PANTALLAZOS AZULES CONSTANTES ( SE REINICIA SOLO )"/>
    <s v="VENTILADOR"/>
    <x v="1"/>
    <n v="1"/>
    <s v="PIEZA POR CAMBIAR"/>
    <x v="17"/>
    <n v="45"/>
    <n v="52"/>
    <n v="97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8"/>
    <s v="N924005"/>
    <s v="5CG047279V  x"/>
    <x v="7"/>
    <s v="NO"/>
    <s v="NO ENCIENDE"/>
    <s v="REPARACION DE PLACA BASE , BRAISIRIA"/>
    <x v="1"/>
    <n v="1"/>
    <m/>
    <x v="13"/>
    <n v="45"/>
    <n v="215"/>
    <n v="260"/>
    <d v="2025-06-0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59"/>
    <s v="N922029"/>
    <s v="5CG0515V15  x"/>
    <x v="7"/>
    <s v="NO"/>
    <s v="PANTALLASOS AZULES CONSTANTES ( SE REINICIA SOLO )"/>
    <s v="REPARACION DE PLACA BASE"/>
    <x v="1"/>
    <n v="1"/>
    <m/>
    <x v="13"/>
    <n v="45"/>
    <n v="215"/>
    <n v="260"/>
    <d v="2025-06-0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0"/>
    <s v="K048478"/>
    <s v="5CG0517J0P"/>
    <x v="7"/>
    <s v="NO"/>
    <s v="PANTALLASOS AZULES CONSTANTES ( SE REINICIA SOLO )"/>
    <s v="TAPA TRASERA"/>
    <x v="1"/>
    <n v="1"/>
    <m/>
    <x v="40"/>
    <n v="45"/>
    <n v="80"/>
    <n v="12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1"/>
    <s v="N923931"/>
    <s v="5CG0472796"/>
    <x v="7"/>
    <s v="NO"/>
    <s v="TECLADO AVERIADO ( FALTAN TECLAS )"/>
    <s v="TECLADO COVER"/>
    <x v="1"/>
    <n v="1"/>
    <m/>
    <x v="4"/>
    <n v="45"/>
    <n v="163.75"/>
    <n v="208.7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2"/>
    <s v="K054617"/>
    <s v="5CG4321Y7M"/>
    <x v="10"/>
    <s v="SI"/>
    <s v="ERROR EN EL DISCO"/>
    <s v="PLACA BASE"/>
    <x v="1"/>
    <n v="1"/>
    <s v="SOLICITUD DE PIEZA"/>
    <x v="14"/>
    <n v="45"/>
    <n v="0"/>
    <n v="45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3"/>
    <s v="K048470"/>
    <s v="5CG3021J25"/>
    <x v="8"/>
    <s v="NO"/>
    <s v="PANTALLASOS AZULES CONSTANTES ( SE REINICIA SOLO )"/>
    <s v="BATERIA"/>
    <x v="1"/>
    <n v="1"/>
    <m/>
    <x v="6"/>
    <n v="45"/>
    <s v="120.00€"/>
    <n v="45"/>
    <d v="2025-05-28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4"/>
    <s v="N989201"/>
    <s v="5CG2073KKJ"/>
    <x v="8"/>
    <s v="NO"/>
    <s v="TECLADO AVERIADO ( FALTAN TECLAS )"/>
    <s v="TECLADO COVER "/>
    <x v="1"/>
    <n v="1"/>
    <m/>
    <x v="31"/>
    <n v="45"/>
    <n v="163.75"/>
    <n v="208.7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5"/>
    <s v="N874506"/>
    <s v="5CG047274Q"/>
    <x v="7"/>
    <s v="NO"/>
    <s v="TECLADO AVERIADO "/>
    <s v="FLESH DE TECLADO REPARADO"/>
    <x v="1"/>
    <n v="1"/>
    <m/>
    <x v="41"/>
    <n v="45"/>
    <n v="115"/>
    <n v="160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6"/>
    <s v="K036160"/>
    <s v="5CG3140V19"/>
    <x v="18"/>
    <s v="NO"/>
    <s v="PANTALLA ROTA"/>
    <s v="COVER PANTALLA / COVER TECLADO"/>
    <x v="1"/>
    <n v="1"/>
    <m/>
    <x v="42"/>
    <n v="45"/>
    <n v="483.75"/>
    <n v="528.7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s v="4667/4024"/>
    <s v="N914086"/>
    <s v="5CG0515TSY"/>
    <x v="7"/>
    <s v="NO"/>
    <s v="SE REINICIA SOLO EN BUCLE"/>
    <s v="REPARACION DE PLACA BASE / DISCO DURO"/>
    <x v="1"/>
    <n v="1"/>
    <s v="Este equipo se volvio a repetir por error ya que se envio 26/03/2025"/>
    <x v="43"/>
    <n v="45"/>
    <n v="335"/>
    <n v="380"/>
    <d v="2025-08-2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8"/>
    <s v="K036172"/>
    <s v="5CG3140V14"/>
    <x v="18"/>
    <s v="NO"/>
    <s v="PANTALLASOS AZULES CONSTANTES ( SE REINICIA SOLO )"/>
    <s v="SOLUCION( BATERIA Y ACTUALIZACION DE BIOS )"/>
    <x v="1"/>
    <n v="1"/>
    <m/>
    <x v="44"/>
    <n v="45"/>
    <n v="120"/>
    <n v="165"/>
    <d v="2025-06-0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69"/>
    <s v="N922312"/>
    <s v="5CG0515R81"/>
    <x v="7"/>
    <s v="NO"/>
    <s v="PANTALLASOS AZULES CONSTANTES ( SE REINICIA SOLO )"/>
    <s v="REPARACION DE PLACA BASE /EMBELLECEDOR DE PANTALLA"/>
    <x v="1"/>
    <n v="1"/>
    <s v="PIEZA POR CAMBIAR"/>
    <x v="45"/>
    <n v="45"/>
    <n v="260"/>
    <n v="305"/>
    <d v="2025-08-2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70"/>
    <s v="K048475"/>
    <s v="5CG0517HYV"/>
    <x v="7"/>
    <s v="NO x"/>
    <s v="PANTALLASOS AZULES CONSTANTES ( SE REINICIA SOLO )"/>
    <s v="REPARACION DE PLACA BASE "/>
    <x v="1"/>
    <n v="1"/>
    <s v="REPARADA PLACA BASE POR BRAISIRIA"/>
    <x v="13"/>
    <n v="45"/>
    <n v="215"/>
    <n v="260"/>
    <d v="2025-08-29T00:00:00"/>
    <d v="2026-02-17T00:00:00"/>
    <s v="1/2025"/>
    <s v="POR ENTREGAR/13/02/2026"/>
  </r>
  <r>
    <s v="Barcelona"/>
    <s v="Cristina Cano Gomez"/>
    <s v="682687160 "/>
    <s v="cristina.canogomez.ext@telefonica.com  "/>
    <s v="Av. Diagonal, 621, zona intermedia, pl. -1. 08028 – Barcelona"/>
    <d v="2025-04-14T00:00:00"/>
    <n v="4671"/>
    <s v="K048477"/>
    <s v="5CG0463932"/>
    <x v="7"/>
    <s v="NO"/>
    <s v="BATERIA AVERIADA"/>
    <s v="COVER TECLADO"/>
    <x v="1"/>
    <n v="1"/>
    <s v="POR ENTREGAR"/>
    <x v="46"/>
    <n v="45"/>
    <n v="132"/>
    <n v="177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72"/>
    <s v="K048476"/>
    <s v="5CG0486NNY"/>
    <x v="18"/>
    <s v="NO"/>
    <s v="TECLADO AVERIADO ( FALTAN TECLAS )"/>
    <s v="TAPA TRASERA/COVER TERCLADO /PANTALLA COVER"/>
    <x v="1"/>
    <n v="1"/>
    <s v="PIEZA POR CAMBIAR"/>
    <x v="47"/>
    <n v="45"/>
    <n v="357"/>
    <n v="402"/>
    <d v="2025-06-13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4-14T00:00:00"/>
    <n v="4673"/>
    <s v="K636804"/>
    <s v="5CG3131DQT"/>
    <x v="6"/>
    <s v="SI"/>
    <s v="PUERTOS AVERIADAS"/>
    <s v="PLACA BASE "/>
    <x v="1"/>
    <n v="1"/>
    <s v="POR SOLICITAR PIEZA"/>
    <x v="14"/>
    <n v="45"/>
    <n v="0"/>
    <n v="45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4"/>
    <s v="K043277"/>
    <s v="5CG1514CK5"/>
    <x v="9"/>
    <s v="NO"/>
    <s v="NO ENCIENDE"/>
    <s v="COVER TECLADO/COVER PANTALLA/TAPA TRASERA/REPARACION DE PLACA BASE , BRAISIRIA"/>
    <x v="1"/>
    <n v="1"/>
    <s v="PIEZA POR CAMBIAR"/>
    <x v="48"/>
    <n v="45"/>
    <n v="475"/>
    <n v="520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5"/>
    <s v="N922393"/>
    <s v="5CG0517HGC"/>
    <x v="7"/>
    <s v="NO"/>
    <s v="TECLA ROTA"/>
    <s v="TECLADO COVER "/>
    <x v="1"/>
    <n v="1"/>
    <s v="REPARADO"/>
    <x v="31"/>
    <n v="45"/>
    <n v="163.75"/>
    <n v="208.75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6"/>
    <s v="N923936"/>
    <s v="5CG04727CK"/>
    <x v="7"/>
    <s v="NO"/>
    <s v="BISAGRAS ROTAS"/>
    <s v="COVER TECLADO /GOMAS"/>
    <x v="1"/>
    <n v="1"/>
    <s v="PIEZA POR CAMBIAR"/>
    <x v="49"/>
    <n v="45"/>
    <n v="109.09"/>
    <n v="154.09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7"/>
    <s v="K053632"/>
    <s v="5CG04637WJ"/>
    <x v="7"/>
    <s v="NO"/>
    <s v="TECLAS ROTAS"/>
    <s v="COVER TECLADO / TAPA TRASERA"/>
    <x v="1"/>
    <n v="1"/>
    <s v="PIEZA POR CAMBIAR"/>
    <x v="50"/>
    <n v="45"/>
    <n v="158.09"/>
    <n v="203.09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8"/>
    <s v="N989285"/>
    <s v="5CG2073L3V"/>
    <x v="8"/>
    <s v="NO"/>
    <s v="TECLAS ROTAS"/>
    <s v="TECLADO COVER "/>
    <x v="1"/>
    <n v="1"/>
    <s v="PIEZA POR CAMBIAR"/>
    <x v="31"/>
    <n v="45"/>
    <n v="106.61"/>
    <n v="151.61000000000001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5-09T00:00:00"/>
    <n v="4679"/>
    <s v="N874174"/>
    <s v="5CG0463933"/>
    <x v="7"/>
    <s v="NO"/>
    <s v="TECLAS ROTAS"/>
    <s v="TECLADO COVER "/>
    <x v="1"/>
    <n v="1"/>
    <s v="PIEZA POR CAMBIAR"/>
    <x v="31"/>
    <n v="45"/>
    <n v="109.09"/>
    <n v="154.09"/>
    <d v="2025-06-13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4"/>
    <s v="K047817"/>
    <s v="5CG5091T91"/>
    <x v="19"/>
    <s v="SI"/>
    <s v="NO FUNCINCIONAN ALTAVOCES"/>
    <s v="ALTAVOCES"/>
    <x v="1"/>
    <n v="1"/>
    <s v="REPARADO"/>
    <x v="51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3"/>
    <s v="K047866"/>
    <s v="5CG5091T4X"/>
    <x v="19"/>
    <s v="SI"/>
    <s v="TECLADO Y CAMARA"/>
    <s v="TECLADO COVER"/>
    <x v="1"/>
    <n v="1"/>
    <s v="REPARADO"/>
    <x v="46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2"/>
    <s v="K058424"/>
    <s v="5CG4081R80"/>
    <x v="17"/>
    <s v="SI"/>
    <s v="PANTALLA MOJADA"/>
    <s v=" PLACA BASE GARANTIA"/>
    <x v="1"/>
    <n v="1"/>
    <s v="REPARADO"/>
    <x v="14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1"/>
    <s v="N903422"/>
    <s v="5CG1072D6L"/>
    <x v="11"/>
    <s v="NO"/>
    <s v="PUERTOS USBC ROTO"/>
    <s v="TECLADO COVER / REPARACION DE PLACA BASE, BRAISIRIA / PANTALLA"/>
    <x v="1"/>
    <n v="1"/>
    <s v="SE REPARO PLACA BASE POR BRAISIRIA"/>
    <x v="52"/>
    <n v="45"/>
    <n v="378.75"/>
    <n v="423.7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0"/>
    <s v="K112571"/>
    <s v="5CG1279VWZ"/>
    <x v="9"/>
    <s v="NO"/>
    <s v="TAPA INFERIOR ROTA, NO FUNCIONA PAD"/>
    <s v="TECLADO COVER / TAPA TRASERA / PANTALLA"/>
    <x v="1"/>
    <n v="1"/>
    <s v="REPARADO 15/07/2025"/>
    <x v="53"/>
    <n v="45"/>
    <n v="395.5"/>
    <n v="440.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49"/>
    <s v="N843354"/>
    <s v="5CG1027R2X"/>
    <x v="7"/>
    <s v="NO"/>
    <s v="TECLADO ROTO"/>
    <s v="COVER TECLADO / PANTALLA"/>
    <x v="1"/>
    <n v="1"/>
    <s v="REPARADO 15/07/2025"/>
    <x v="54"/>
    <n v="45"/>
    <n v="283.75"/>
    <n v="328.7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9"/>
    <s v="K112572"/>
    <s v="5CG0517DQF"/>
    <x v="7"/>
    <s v="NO"/>
    <s v="CARCASA ROTA"/>
    <s v=" PANTALLA"/>
    <x v="1"/>
    <n v="1"/>
    <s v="REPARADO 15/07/2025"/>
    <x v="55"/>
    <n v="45"/>
    <n v="120"/>
    <n v="16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n v="5358"/>
    <s v="K112570"/>
    <s v="5CG0517GG0"/>
    <x v="7"/>
    <s v="NO"/>
    <s v="DISCO DURO"/>
    <s v="DISCO DURO"/>
    <x v="1"/>
    <n v="1"/>
    <s v="REPARADO"/>
    <x v="7"/>
    <n v="45"/>
    <n v="120"/>
    <n v="16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0"/>
    <s v="N916859"/>
    <s v="5CG0515RPQ  x"/>
    <x v="7"/>
    <s v="NO"/>
    <s v="RECALENTAMIENTO SE REINICIA Y PARTE DE ATRÁS"/>
    <s v="PANTALLA /PLACA BASE"/>
    <x v="1"/>
    <n v="1"/>
    <s v="REPARADO"/>
    <x v="56"/>
    <n v="45"/>
    <n v="335"/>
    <n v="380"/>
    <d v="2025-09-08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1"/>
    <s v="K050539"/>
    <s v="5CG04637XS"/>
    <x v="7"/>
    <s v="NO"/>
    <s v="NO ACABA DE CARGAR "/>
    <s v="PLACA BASE"/>
    <x v="1"/>
    <n v="1"/>
    <s v="REPARADO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2"/>
    <s v="N989043"/>
    <s v="5CG2073KS1  x"/>
    <x v="7"/>
    <s v="NO"/>
    <s v="RECALENTAMIENTO SE REINICIA Y PARTE DE ATRÁS"/>
    <s v="COVER TECLADO / MARCO DE PANTALLA /PLACA BASE"/>
    <x v="1"/>
    <n v="1"/>
    <s v="REPARADO"/>
    <x v="57"/>
    <n v="45"/>
    <n v="378.75"/>
    <n v="423.75"/>
    <d v="2025-09-08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3"/>
    <s v="K006550"/>
    <s v="5CG2412STJ"/>
    <x v="7"/>
    <s v="NO"/>
    <s v="RECALENTAMIENTO SE REINICIA Y CARCASA"/>
    <s v="PLACA BASE"/>
    <x v="1"/>
    <n v="1"/>
    <s v="REPARADO PLACA BASE POR BRAISIRIA"/>
    <x v="58"/>
    <n v="45"/>
    <n v="215"/>
    <n v="260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4"/>
    <s v="N989059"/>
    <s v="5CG207356G"/>
    <x v="7"/>
    <s v="NO"/>
    <s v="FALLA TECLA BORRADO"/>
    <s v="TECLADO COVER"/>
    <x v="1"/>
    <n v="1"/>
    <s v="REPARADO"/>
    <x v="4"/>
    <n v="45"/>
    <n v="163.75"/>
    <n v="20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5"/>
    <s v="N917929"/>
    <s v="5CG0515PXN"/>
    <x v="7"/>
    <s v="NO"/>
    <s v="FALLA TECLA E"/>
    <s v="COVER TECLADO"/>
    <x v="1"/>
    <n v="1"/>
    <s v="REPARADO"/>
    <x v="4"/>
    <n v="45"/>
    <n v="163.75"/>
    <n v="20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6"/>
    <s v="K043324"/>
    <s v="5CG1027R43"/>
    <x v="7"/>
    <s v="NO"/>
    <s v="FALLA TECLA I, K"/>
    <s v="COVER TECLADO/PANTALLA"/>
    <x v="1"/>
    <n v="1"/>
    <s v="REPARADO"/>
    <x v="59"/>
    <n v="45"/>
    <n v="283.75"/>
    <n v="32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7"/>
    <s v="N922471"/>
    <s v="5CG0517GZH"/>
    <x v="7"/>
    <s v="NO"/>
    <s v="FALLA @,W,S,X"/>
    <s v="TECLADO COVER"/>
    <x v="1"/>
    <n v="1"/>
    <s v="REPARADO"/>
    <x v="4"/>
    <n v="45"/>
    <n v="163.75"/>
    <n v="20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8"/>
    <s v="N981982"/>
    <s v="5CG2312BQ3"/>
    <x v="7"/>
    <s v="NO "/>
    <s v="PANTALLA DAÑADA"/>
    <m/>
    <x v="1"/>
    <n v="1"/>
    <m/>
    <x v="60"/>
    <n v="45"/>
    <n v="435.5"/>
    <n v="480.5"/>
    <d v="2026-02-19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59"/>
    <s v="N923633"/>
    <s v="5CG04727LY"/>
    <x v="7"/>
    <s v="NO"/>
    <s v="PANTALLA ROTA "/>
    <s v="PANTALLA / COVER TECLADO/TAPA TRASERA"/>
    <x v="1"/>
    <n v="1"/>
    <s v="EQUIPO REPARADO SE REEMPLAZO TRES PIEZAS"/>
    <x v="61"/>
    <n v="45"/>
    <n v="395.5"/>
    <n v="440.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0"/>
    <s v="N914102"/>
    <s v="5CG0515SS0"/>
    <x v="7"/>
    <s v="NO"/>
    <s v="CARCASA DAÑADA"/>
    <s v="COVER TECLADO / TAPA TRASERA DE PANTALLA"/>
    <x v="1"/>
    <n v="1"/>
    <s v="SE HA SUSTITUIDO EL COVER TECLADO ,FALTA COLOCAR EL COVER DE LA PANTALLA QUE ESTA GOLPEADO"/>
    <x v="62"/>
    <n v="45"/>
    <n v="275.5"/>
    <n v="320.5"/>
    <d v="2026-01-16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1"/>
    <s v="K045631"/>
    <s v="5CG50615CY"/>
    <x v="17"/>
    <s v="SI"/>
    <s v="NO VA TECLADO NO ESCRIBE "/>
    <s v="COVER TECLADO"/>
    <x v="1"/>
    <n v="1"/>
    <s v="NO CUBRE LA GARANTÍA TECLADO ROTO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2"/>
    <s v="K053694"/>
    <s v="5CG1017Q71"/>
    <x v="7"/>
    <s v="NO"/>
    <s v="NO TIENE TECLA O"/>
    <s v="SUSTITUCION DE COVER TECLADO"/>
    <x v="1"/>
    <n v="1"/>
    <s v="PIEZA POR CAMBIAR"/>
    <x v="4"/>
    <n v="45"/>
    <n v="163.75"/>
    <n v="208.75"/>
    <d v="2025-09-08T00:00:00"/>
    <m/>
    <s v="1/2025"/>
    <s v="POR REVISARLO "/>
  </r>
  <r>
    <s v="Barcelona"/>
    <s v="Cristina Cano Gomez"/>
    <s v="682687160 "/>
    <s v="cristina.canogomez.ext@telefonica.com  "/>
    <s v="Gran Vía de les Corts Catalanes 159, planta 1. 08014 – Barcelona"/>
    <d v="2025-07-15T00:00:00"/>
    <n v="5463"/>
    <s v="N945103"/>
    <s v="5CG2201THT"/>
    <x v="18"/>
    <s v="NO"/>
    <s v="ERROR BIOS Y CARCASA"/>
    <s v="TAPA TRASERA/ COVER PANTALLA/COVER TECLADO"/>
    <x v="3"/>
    <n v="1"/>
    <s v="SE HA COLOCADO LAS PIEZAS Y A DEJADO DE FUNCIONAR / SE VA VOLVER A REVISAR, BRAISIRIA 06/10/2025"/>
    <x v="0"/>
    <n v="45"/>
    <n v="0"/>
    <n v="0"/>
    <m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4"/>
    <s v="N930591"/>
    <s v="5CG05206W3"/>
    <x v="7"/>
    <s v="NO"/>
    <s v="TECLADO EN PORTUGUES"/>
    <s v="COVER TPA TRASERA DE PANTALLA / TECLADO COVER"/>
    <x v="1"/>
    <n v="1"/>
    <s v="POR REPARAR"/>
    <x v="63"/>
    <n v="45"/>
    <n v="435.5"/>
    <n v="480.5"/>
    <d v="2026-03-04T00:00:00"/>
    <m/>
    <m/>
    <s v="POR ENTREGAR"/>
  </r>
  <r>
    <s v="Barcelona"/>
    <s v="Cristina Cano Gomez"/>
    <s v="682687160 "/>
    <s v="cristina.canogomez.ext@telefonica.com  "/>
    <s v="Gran Vía de les Corts Catalanes 159, planta 1. 08014 – Barcelona"/>
    <d v="2025-07-15T00:00:00"/>
    <n v="5465"/>
    <s v="K040881"/>
    <s v="5CG34444G9"/>
    <x v="10"/>
    <s v="SI"/>
    <s v="PANTALLA ROTA"/>
    <s v=" PANTALLA "/>
    <x v="1"/>
    <n v="1"/>
    <s v="NO PROCEDE LA GARANTÍA"/>
    <x v="32"/>
    <n v="45"/>
    <n v="160"/>
    <n v="20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6"/>
    <s v="K045029"/>
    <s v="5CG4075CQR"/>
    <x v="10"/>
    <s v="SI"/>
    <s v="PANTALLA ROTA"/>
    <s v=" PANTALLA "/>
    <x v="1"/>
    <n v="1"/>
    <s v="NO PROCEDE LA GARANTÍA"/>
    <x v="32"/>
    <n v="45"/>
    <n v="160"/>
    <n v="20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8"/>
    <s v="K104306"/>
    <s v="5CG5091TDN"/>
    <x v="19"/>
    <s v="SI"/>
    <s v="CARCASA DAÑADA"/>
    <s v=" PANTALLA"/>
    <x v="1"/>
    <n v="1"/>
    <s v="SE CAMBIA COVER PANTALLA POR GARANTIA"/>
    <x v="64"/>
    <n v="45"/>
    <n v="0"/>
    <n v="4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69"/>
    <s v="K045230"/>
    <s v="5CG4075427"/>
    <x v="10"/>
    <s v="SI"/>
    <s v="TAPA GOLPEADA"/>
    <s v="TAPA TRASERA"/>
    <x v="1"/>
    <n v="1"/>
    <s v="REPARADO"/>
    <x v="40"/>
    <n v="45"/>
    <n v="0"/>
    <n v="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70"/>
    <s v="K036848"/>
    <s v="5CG3131F7J"/>
    <x v="6"/>
    <s v="SI"/>
    <s v="FALLA TECLADO"/>
    <s v="COVER TECLADO"/>
    <x v="1"/>
    <n v="1"/>
    <s v="SE CAMBIA COVER TECLADO POR GARANTIA"/>
    <x v="46"/>
    <n v="45"/>
    <n v="0"/>
    <n v="4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71"/>
    <s v="K008834"/>
    <s v="5CG3131HDF"/>
    <x v="6"/>
    <s v="SI"/>
    <s v="FALLA TECLA BORRADO Y ENTER Y ALTAVOCES"/>
    <s v="FALTA BIZEL DE PANTALLA Y PANTALLA ROTA"/>
    <x v="1"/>
    <n v="1"/>
    <s v="Reparado"/>
    <x v="65"/>
    <n v="45"/>
    <n v="230"/>
    <n v="275"/>
    <d v="2026-01-16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7-15T00:00:00"/>
    <n v="5472"/>
    <s v="N843121"/>
    <s v="5CG1027R39"/>
    <x v="7"/>
    <s v="NO"/>
    <s v="FALLA TECLA S"/>
    <s v="TECLADO COVER/ GOMAS TAPA TRASERA"/>
    <x v="1"/>
    <n v="1"/>
    <s v="5CG4526FST"/>
    <x v="66"/>
    <n v="45"/>
    <n v="183.75"/>
    <n v="22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3"/>
    <s v="N917016"/>
    <s v="5CG0517HNR"/>
    <x v="7"/>
    <s v="NO"/>
    <s v="APAGADOS CONTINUOS/cover roto/puertos fallan"/>
    <s v="COVER TECLADO / COVER PANTALLA / TAPA TRASERA"/>
    <x v="1"/>
    <n v="1"/>
    <s v="REPARADO 22/07/2025"/>
    <x v="67"/>
    <n v="45"/>
    <n v="395.5"/>
    <n v="440.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4"/>
    <s v="N925087"/>
    <s v="5CG1151S5 G"/>
    <x v="7"/>
    <s v="NO"/>
    <s v="NO FUNCIONA EL MICROFONO"/>
    <s v="REPARAR EN PLACA BASE"/>
    <x v="1"/>
    <n v="1"/>
    <s v="SE REPARA PLACA BASE BRAISIRIA , SE TIENE QUE RECOGER EL EQUIPO"/>
    <x v="68"/>
    <n v="45"/>
    <n v="215"/>
    <n v="260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5"/>
    <s v="N873599"/>
    <s v="5CG1017RNS"/>
    <x v="7"/>
    <s v="NO"/>
    <s v="FALLA TECLADO"/>
    <s v="COVER TECLADO"/>
    <x v="1"/>
    <n v="1"/>
    <s v="COVER TECLADO REPARADO 21/07/2025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6"/>
    <s v="N931000"/>
    <s v="5CG1017RQH"/>
    <x v="7"/>
    <s v="NO"/>
    <s v="FALLA TECLADO"/>
    <s v="COVER TECLADO / TAPA TRASERA"/>
    <x v="1"/>
    <n v="1"/>
    <s v="REPARADO"/>
    <x v="69"/>
    <n v="45"/>
    <n v="275.5"/>
    <n v="320.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7"/>
    <s v="N917839"/>
    <s v="5CG0517FY9"/>
    <x v="7"/>
    <s v="NO"/>
    <s v="FALLA TECLADO"/>
    <s v="COVER TECLADO"/>
    <x v="1"/>
    <n v="1"/>
    <s v="REPARADO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8"/>
    <s v="N923575"/>
    <s v="5CG04727J1"/>
    <x v="7"/>
    <s v="NO"/>
    <s v="TECLA ROTA"/>
    <s v="COVER TECLADO"/>
    <x v="1"/>
    <n v="1"/>
    <s v="COVER TECLADO REPARADO 21/07/2025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79"/>
    <s v="N923604"/>
    <s v="5CG04727GK"/>
    <x v="7"/>
    <s v="NO"/>
    <s v="TECLADO /APAGADOS"/>
    <s v="COVER TECLADO"/>
    <x v="1"/>
    <n v="1"/>
    <s v="COVER TECLADO REPARADO 22/07/2025"/>
    <x v="4"/>
    <n v="45"/>
    <n v="163.75"/>
    <n v="20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0"/>
    <s v="N923841"/>
    <s v="5CG04727HR"/>
    <x v="7"/>
    <s v="NO"/>
    <s v="FALLA PUERTOS USB C"/>
    <s v="PLACA BASE "/>
    <x v="1"/>
    <n v="1"/>
    <s v="EN BRAISIRIA, A ESPERA DE COMPONENTES PARA SU REPARACION EN PLACA BASE"/>
    <x v="58"/>
    <n v="45"/>
    <n v="215"/>
    <n v="260"/>
    <d v="2025-12-02T00:00:00"/>
    <m/>
    <m/>
    <s v="Equipo roto por GLS / se gestiona el seguro"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1"/>
    <s v="N923589"/>
    <s v="5CG047279L"/>
    <x v="7"/>
    <s v="NO"/>
    <s v="EQUIPO FALTA TECLA Y GOMA PARTE TRASERA DESPEGADA"/>
    <s v="COVER TECLADO / GOMAS DE TAPA TRASERA"/>
    <x v="1"/>
    <n v="1"/>
    <s v="REPARADO"/>
    <x v="70"/>
    <n v="45"/>
    <n v="183.75"/>
    <n v="228.7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2"/>
    <s v=" N929898 "/>
    <s v="5CG10790G9"/>
    <x v="11"/>
    <s v="NO"/>
    <s v="FALLO BATERIA"/>
    <s v="BATERIA / GOMAS DE TAPA TRASERA"/>
    <x v="1"/>
    <n v="1"/>
    <s v="REPARADO"/>
    <x v="71"/>
    <n v="45"/>
    <n v="140"/>
    <n v="185"/>
    <d v="2025-09-08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7-15T00:00:00"/>
    <n v="5483"/>
    <s v="N925975"/>
    <s v="5CG1011DL7"/>
    <x v="11"/>
    <s v="NO"/>
    <s v="FALLO VENTILADOR"/>
    <s v="VENTILADOR/ REPARACION DE PLACA BASE"/>
    <x v="1"/>
    <n v="1"/>
    <s v="REPARADO"/>
    <x v="72"/>
    <n v="45"/>
    <n v="315"/>
    <n v="3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4"/>
    <s v="N919017"/>
    <s v="5CG0514GCJ"/>
    <x v="7"/>
    <s v="NO"/>
    <s v="ERROR DISCO DURO"/>
    <s v="DISCO DURO / COVER TECLADO"/>
    <x v="1"/>
    <n v="1"/>
    <s v="REPARADO"/>
    <x v="73"/>
    <n v="45"/>
    <n v="283.75"/>
    <n v="32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5"/>
    <s v="N919017"/>
    <s v="5CG0515RP9 "/>
    <x v="7"/>
    <s v="NO"/>
    <s v="ERROR DISCO DURO"/>
    <s v="REPARACION DE PLACA BASE"/>
    <x v="1"/>
    <n v="1"/>
    <s v="REPARADO"/>
    <x v="13"/>
    <n v="45"/>
    <n v="215"/>
    <n v="260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6"/>
    <s v="K059724"/>
    <s v="5CG424375H"/>
    <x v="17"/>
    <s v="SI"/>
    <s v="NO ENCIENDE, VENTILADOR SONIDO"/>
    <s v="PLACA BASE"/>
    <x v="1"/>
    <n v="1"/>
    <s v="REPARADO"/>
    <x v="14"/>
    <n v="45"/>
    <n v="215"/>
    <n v="260"/>
    <d v="2025-09-08T00:00:00"/>
    <m/>
    <s v="1/2025"/>
    <s v="Equipo que no procede la garantía placa base muy dañada,quemado"/>
  </r>
  <r>
    <s v="Barcelona"/>
    <s v="Cristina Cano Gomez"/>
    <s v="682687160 "/>
    <s v="cristina.canogomez.ext@telefonica.com  "/>
    <s v="Gran Vía de les Corts Catalanes 159, planta 1. 08014 – Barcelona"/>
    <d v="2025-07-24T00:00:00"/>
    <n v="5487"/>
    <s v="K112541"/>
    <s v="5CG1018BJ0"/>
    <x v="11"/>
    <s v="NO"/>
    <s v="CARCASA MAL ESTADO"/>
    <s v="COVER TECLADO / COVER PANTALLA / TAPA TRASERA"/>
    <x v="1"/>
    <n v="1"/>
    <s v="REPARADO"/>
    <x v="74"/>
    <n v="45"/>
    <s v="595.50€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8"/>
    <s v="K104321"/>
    <s v="5CG5091T6R"/>
    <x v="19"/>
    <s v="SI"/>
    <s v="CAMARA NO FUNCIONA"/>
    <s v="FLEX CAMARA"/>
    <x v="1"/>
    <n v="1"/>
    <s v="FLEX DE CAMARA CAMBIADO 28/07/2025"/>
    <x v="75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89"/>
    <s v="N917601"/>
    <s v="5CG0514H7Q"/>
    <x v="7"/>
    <s v="NO"/>
    <s v="TECLADO ROTO/CARCASA MAL ESTADO"/>
    <s v="COVER TECLADO"/>
    <x v="1"/>
    <n v="1"/>
    <s v="COVER TECLADO CAMBIADO 26/08/2025"/>
    <x v="76"/>
    <n v="45"/>
    <n v="163.75"/>
    <n v="208.7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0"/>
    <s v="N944701"/>
    <s v="5CG1279X00"/>
    <x v="9"/>
    <s v="NO"/>
    <s v="CARCASA MAL ESTADO, NO TIENE LIGAS INFERIORES"/>
    <s v="TAPA TRASERA"/>
    <x v="1"/>
    <n v="1"/>
    <s v="TAPA TRASERA "/>
    <x v="40"/>
    <n v="45"/>
    <n v="111.75"/>
    <n v="156.7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1"/>
    <s v="K043207"/>
    <s v="5CG3131DY7"/>
    <x v="6"/>
    <s v="NO"/>
    <s v="MARCO PANTALLA ROTO"/>
    <s v="PEGADO DE MARCO DE PANTALLA "/>
    <x v="1"/>
    <n v="1"/>
    <s v="REPARADO"/>
    <x v="77"/>
    <n v="45"/>
    <n v="70"/>
    <n v="11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s v="5492/6024"/>
    <s v="K056971"/>
    <s v="5CG4194KGX"/>
    <x v="10"/>
    <s v="SI"/>
    <s v="NO ENCIENDE, SE APAGA"/>
    <s v="PLACA BASE GARANTIA"/>
    <x v="1"/>
    <n v="1"/>
    <s v="REPARADO"/>
    <x v="14"/>
    <n v="45"/>
    <n v="0"/>
    <n v="4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3"/>
    <s v="K050593"/>
    <s v="5CG1080FG7"/>
    <x v="11"/>
    <s v="NO"/>
    <s v="CAMARA FRONTAL NO FUNCIONA"/>
    <s v="COVER PANTALLA"/>
    <x v="1"/>
    <n v="1"/>
    <s v="ESTA AVERIA SE PRESENTA EN LA CAMARA Y LA PANTALLA , POR ESO SE REEMPLAZA PANTALLA COMPLETA"/>
    <x v="21"/>
    <n v="45"/>
    <n v="320"/>
    <n v="36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4"/>
    <s v="N917946"/>
    <s v="5CG0517GY5"/>
    <x v="7"/>
    <s v="NO"/>
    <s v="TECLADO ROTO/NO ENCIENDE"/>
    <s v="TECLADO COVER / PLACA BASE/TAPA TRASERA GOLPEADA"/>
    <x v="4"/>
    <n v="1"/>
    <s v="ESTA EN  BRAISIRIA,NO ENCIENDE"/>
    <x v="78"/>
    <n v="45"/>
    <n v="0"/>
    <n v="0"/>
    <m/>
    <m/>
    <m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5"/>
    <s v="N916593"/>
    <s v="5CG0515R8W"/>
    <x v="7"/>
    <s v="NO"/>
    <s v="EQUIPO MOJADO REVISAR"/>
    <s v="PLACA BASE"/>
    <x v="1"/>
    <n v="1"/>
    <s v="BRAISIRIA REPARA LA PLACA BASE 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24T00:00:00"/>
    <n v="5496"/>
    <s v="N935009"/>
    <s v="5CG12543YQ  x"/>
    <x v="9"/>
    <s v="NO"/>
    <s v="NO ARRANCA CARCASA MAL ESTADO"/>
    <s v="PLACA BASE /TECLADO COVER/ GOMAS DE TAPA TRASERA"/>
    <x v="1"/>
    <n v="1"/>
    <s v="SE VA REPARAR LA PLACA BASE LUEGO COLOCAR EL TECLADO COVER"/>
    <x v="79"/>
    <n v="45"/>
    <n v="0"/>
    <n v="45"/>
    <d v="2025-10-09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685"/>
    <s v="N874320"/>
    <s v="5CG04637WQ"/>
    <x v="7"/>
    <s v="NO"/>
    <s v="PUERTO USB KO"/>
    <s v="PLACA BASE"/>
    <x v="1"/>
    <n v="1"/>
    <s v="REPARADO/ SE SUTITUYE EL USB EN LA PLACA BASE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3"/>
    <s v="K050525"/>
    <s v="5CG0517GSX"/>
    <x v="7"/>
    <s v="NO"/>
    <s v="REINICIOS, VENTILADOR FALLA"/>
    <s v="VENTILADOR /TAPA TRASERA /TECLADO COVER"/>
    <x v="1"/>
    <n v="1"/>
    <s v="VEO QUE LA TAPA TRASERA Y COVER TECLADO GOLPEADO"/>
    <x v="80"/>
    <n v="45"/>
    <n v="374.45"/>
    <n v="419.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4"/>
    <s v="N922482"/>
    <s v="5CG0517J0S  x"/>
    <x v="7"/>
    <s v="NO"/>
    <s v="NO SE ENCIENDE"/>
    <s v="PLACA BASE / DISCO DURO"/>
    <x v="1"/>
    <n v="1"/>
    <s v="REPARADO"/>
    <x v="43"/>
    <n v="45"/>
    <n v="335"/>
    <n v="380"/>
    <d v="2025-10-09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6"/>
    <s v="K010737"/>
    <s v="5CG3131FTB"/>
    <x v="8"/>
    <s v="NO"/>
    <s v="ERROR DRIVERS, SE CALIENTA MUCHO EL EQUIPO"/>
    <s v="PLACA BASE"/>
    <x v="1"/>
    <n v="1"/>
    <s v="REPARADO 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5"/>
    <s v="K104124"/>
    <s v="5CG5091T8M"/>
    <x v="19"/>
    <s v="NO"/>
    <s v="PANTALLA ROTA"/>
    <s v="PANTALLA"/>
    <x v="1"/>
    <n v="1"/>
    <s v="SE REPARA PANTALLA DIA 02/09/2025"/>
    <x v="32"/>
    <n v="45"/>
    <n v="120"/>
    <n v="16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6"/>
    <s v="K057633"/>
    <s v="5CG4181BYV"/>
    <x v="10"/>
    <s v="NO"/>
    <s v="PANTALLA ROTA"/>
    <s v="COVER PANTALLA"/>
    <x v="1"/>
    <n v="1"/>
    <s v="NO PROCEDE LA GARANTÍA"/>
    <x v="32"/>
    <n v="45"/>
    <n v="120"/>
    <n v="16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7"/>
    <s v="K010551"/>
    <s v="5CG3131FKM"/>
    <x v="6"/>
    <s v="NO"/>
    <s v="PANTALLA ROTA"/>
    <s v="SUSTITUCION DE PANTALLA "/>
    <x v="1"/>
    <n v="1"/>
    <s v="REPARADO"/>
    <x v="32"/>
    <n v="45"/>
    <n v="120"/>
    <n v="165"/>
    <d v="2025-08-2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8"/>
    <s v="N874428"/>
    <s v="5CG04637VL"/>
    <x v="7"/>
    <s v="NO"/>
    <s v="BOLA DE RATÓN ROTA"/>
    <s v="TECLADO COVER"/>
    <x v="1"/>
    <n v="1"/>
    <s v="REPARADO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89"/>
    <s v="N989112"/>
    <s v="5CG2073KLY"/>
    <x v="8"/>
    <s v="NO"/>
    <s v="SE LE HA CAIDO AGUA AL TECLADO"/>
    <s v="PLACA BASE"/>
    <x v="3"/>
    <n v="1"/>
    <s v="ESTA EN BRAISIRIA ,EL EQUIPO ESTA EN CORTO POR HUMEDAD"/>
    <x v="0"/>
    <n v="45"/>
    <n v="0"/>
    <n v="0"/>
    <m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0"/>
    <s v="N989133"/>
    <s v="5CG2073LPR"/>
    <x v="8"/>
    <s v="NO"/>
    <s v="SE LE HA CAIDO AGUA AL TECLADO"/>
    <s v="TECLADO COVER /PANTALLA"/>
    <x v="1"/>
    <n v="1"/>
    <s v="REPARADO"/>
    <x v="59"/>
    <n v="45"/>
    <n v="283.75"/>
    <n v="328.75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1"/>
    <s v="N922473"/>
    <s v="5CG0517DQ9"/>
    <x v="7"/>
    <s v="NO"/>
    <s v="FALLA TOUCHPAD"/>
    <s v="PLACA BASE / TOUCHPAD "/>
    <x v="1"/>
    <n v="1"/>
    <s v="BRAISIRIA LA PLACA BASE, REPARADO"/>
    <x v="58"/>
    <n v="45"/>
    <n v="215"/>
    <n v="260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3"/>
    <s v="N930882"/>
    <s v="5CG1017RQR"/>
    <x v="7"/>
    <s v="NO"/>
    <s v="FALTAN TECLAS"/>
    <s v="TECLADO COVER "/>
    <x v="1"/>
    <n v="1"/>
    <s v="REPARADO 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4"/>
    <s v="N874225"/>
    <s v="5CG04638CX  x"/>
    <x v="7"/>
    <s v="NO"/>
    <s v="NO SE ENCIENDE"/>
    <s v="PLACA BASE / DISCO DURO"/>
    <x v="1"/>
    <n v="1"/>
    <s v="REPARADO"/>
    <x v="43"/>
    <n v="45"/>
    <n v="335"/>
    <n v="380"/>
    <d v="2025-09-08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5"/>
    <s v="K028596"/>
    <s v="5CG3023TXB"/>
    <x v="17"/>
    <s v="NO"/>
    <s v="NO CARGA"/>
    <s v="PLACA BASE"/>
    <x v="1"/>
    <n v="1"/>
    <s v="REPARADO /PLACA BASE CONECOTR USB C"/>
    <x v="14"/>
    <n v="45"/>
    <n v="215"/>
    <n v="260"/>
    <d v="2025-09-08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96"/>
    <s v="N874236"/>
    <s v="5CG046390N"/>
    <x v="7"/>
    <s v="NO"/>
    <s v="VISAGRA ESTROPEADA PANTALLA"/>
    <s v="TECLADO COVER / BISAGRAS"/>
    <x v="1"/>
    <n v="1"/>
    <s v="REPARADO"/>
    <x v="81"/>
    <n v="45"/>
    <n v="233.75"/>
    <n v="27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7-01T00:00:00"/>
    <s v="4652/5356"/>
    <s v="K041724"/>
    <s v="5CG3522CTR -"/>
    <x v="17"/>
    <s v="SI"/>
    <s v="RUIDO VENTILADOR"/>
    <s v="PANTALLA ROTA"/>
    <x v="1"/>
    <n v="1"/>
    <s v="PANTALLA ROTA"/>
    <x v="64"/>
    <n v="45"/>
    <n v="320"/>
    <n v="365"/>
    <n v="45908"/>
    <m/>
    <s v="1/2025"/>
    <s v="Este equipo lo vovieron a enviar y vimos que el cover pantalla estaba golpeado , no pasa la garantia ya que esta con golpe PARA ENTREGAR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5"/>
    <s v="N922666"/>
    <s v="5CG0515PX2 -"/>
    <x v="7"/>
    <s v="NO"/>
    <s v="TECLADO DETERIORADO"/>
    <s v="PANTALLA ROTA"/>
    <x v="1"/>
    <n v="1"/>
    <s v="FALTA COVER PANTALLA 26/06/2025"/>
    <x v="82"/>
    <n v="45"/>
    <n v="320"/>
    <n v="365"/>
    <n v="45908"/>
    <m/>
    <s v="1/2025"/>
    <s v="Este equipo lo vovieron a enviar y vimos que el cover pantalla estaba golpeado 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6"/>
    <s v="K010522/K023"/>
    <s v="5CG3131FZD -"/>
    <x v="6"/>
    <s v="SI"/>
    <s v="NO ENCIENDE"/>
    <s v="PLACA BASE"/>
    <x v="1"/>
    <n v="1"/>
    <s v="REPARADO "/>
    <x v="83"/>
    <n v="45"/>
    <n v="273.75"/>
    <n v="318.75"/>
    <n v="45908"/>
    <m/>
    <s v="1/2025"/>
    <s v="Este equipo lo vovieron a enviar y vimos que el cover pantalla estaba golpeado "/>
  </r>
  <r>
    <s v="Madrid"/>
    <s v="Carmen Rodríguez Lage "/>
    <n v="616866669"/>
    <s v="mariacarmen.rodriguezlage.ext@telefonica.com"/>
    <s v="Torre Plaza Castilla - Paseo de la Castellana, 189. Planta 13. 28046 - Madrid"/>
    <d v="2025-03-12T00:00:00"/>
    <n v="4034"/>
    <s v="N928626"/>
    <s v="5CG1012Q1K -"/>
    <x v="7"/>
    <s v="NO"/>
    <s v="PERDIO WINDOWS / ERROR DE WINDOWS"/>
    <s v="TECLADO COVER"/>
    <x v="1"/>
    <n v="1"/>
    <s v="ESTADO OK 24/06/2025"/>
    <x v="4"/>
    <n v="45"/>
    <n v="163.75"/>
    <n v="208.75"/>
    <n v="45908"/>
    <m/>
    <s v="1/2025"/>
    <s v="Este equipo lo vovieron a enviar y vimos que el cover pantalla estaba golpeado "/>
  </r>
  <r>
    <s v="Madrid"/>
    <s v="Carmen Rodríguez Lage "/>
    <n v="616866669"/>
    <s v="mariacarmen.rodriguezlage.ext@telefonica.com"/>
    <s v="Paseo de la Castellana, 189. Planta 13. 28046 - Madrid"/>
    <d v="2025-04-10T00:00:00"/>
    <n v="4643"/>
    <s v="N922242"/>
    <s v="5CG0514G0T -"/>
    <x v="7"/>
    <s v="NO"/>
    <s v="Pantalla azul "/>
    <s v=" COVER PANTALLA "/>
    <x v="1"/>
    <n v="1"/>
    <s v=" PANTALLA 26/06/2025"/>
    <x v="32"/>
    <n v="45"/>
    <n v="120"/>
    <n v="165"/>
    <n v="45908"/>
    <m/>
    <s v="1/2025"/>
    <s v="PARA ENTREGAR"/>
  </r>
  <r>
    <s v="Barcelona"/>
    <s v="Cristina Cano Gomez"/>
    <s v="682687160 "/>
    <s v="cristina.canogomez.ext@telefonica.com  "/>
    <s v="Av. Diagonal, 621, zona intermedia, pl. -1. 08028 – Barcelona"/>
    <d v="2025-02-28T00:00:00"/>
    <n v="4024"/>
    <s v="N914086"/>
    <s v="5CG0515TSY -"/>
    <x v="7"/>
    <s v="NO"/>
    <s v="Pantallazo azul"/>
    <s v="PLACA BASE"/>
    <x v="1"/>
    <n v="1"/>
    <s v="REPARACION DE PLACA BASE Y BATERIA"/>
    <x v="14"/>
    <n v="45"/>
    <n v="215"/>
    <n v="260"/>
    <n v="45898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8-05T00:00:00"/>
    <n v="5775"/>
    <s v="K110549"/>
    <s v="5CG0517HGC"/>
    <x v="7"/>
    <s v="NO"/>
    <s v="TECLADO ROTO"/>
    <s v="TECLADO COVER"/>
    <x v="1"/>
    <n v="1"/>
    <s v="SE SUSTITUYO EL TECLADO EN LA PRIMERA REPARACION Y HA VUELTO CON OTRA AVERIA DEL TECLADO QUE ALGUNAS TECLAS NO FUNCIONAN COMO EL BOTON ALTGR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54"/>
    <s v="K030349"/>
    <s v="5CG3080BKF"/>
    <x v="8"/>
    <s v="NO"/>
    <s v="GOLPE TRASERO LATERAL IZQUIERDO"/>
    <s v="TECLADO COVER"/>
    <x v="3"/>
    <n v="1"/>
    <m/>
    <x v="4"/>
    <n v="45"/>
    <n v="163.75"/>
    <n v="208.75"/>
    <m/>
    <m/>
    <s v="1/2025"/>
    <s v="POR ENTREGAR"/>
  </r>
  <r>
    <s v="Barcelona"/>
    <s v="Cristina Cano Gomez"/>
    <s v="682687160 "/>
    <s v="cristina.canogomez.ext@telefonica.com  "/>
    <s v="Gran Vía de les Corts Catalanes 159, planta 1. 08014 – Barcelona"/>
    <d v="2025-09-08T00:00:00"/>
    <n v="6155"/>
    <s v="K105396"/>
    <s v="5CG5111LGQ"/>
    <x v="19"/>
    <s v="SI"/>
    <s v="TECLA E ROTA"/>
    <s v="TECLA ROTA , TECLADO COVER"/>
    <x v="1"/>
    <n v="1"/>
    <s v="SE VA SUSTITUIR EL TECLADO COVER , POR GARANTÍA , PERO SE VA A COBRAR YA QUE ES ROTURA Y NO PROCEDE"/>
    <x v="4"/>
    <n v="45"/>
    <n v="163.75"/>
    <n v="208.75"/>
    <d v="2025-12-02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56"/>
    <s v="N932175"/>
    <s v="5CG1255WSC"/>
    <x v="18"/>
    <s v="NO"/>
    <s v="PANTALLA INFERIOR IZQUIERDA DESPEGADA"/>
    <s v="COVER PANTALLA / GOMAS  "/>
    <x v="3"/>
    <n v="1"/>
    <m/>
    <x v="84"/>
    <n v="45"/>
    <n v="340"/>
    <n v="385"/>
    <m/>
    <m/>
    <s v="1/2025"/>
    <s v="POR ENTREGAR"/>
  </r>
  <r>
    <s v="Barcelona"/>
    <s v="Cristina Cano Gomez"/>
    <s v="682687160 "/>
    <s v="cristina.canogomez.ext@telefonica.com  "/>
    <s v="Gran Vía de les Corts Catalanes 159, planta 1. 08014 – Barcelona"/>
    <d v="2025-09-08T00:00:00"/>
    <n v="6158"/>
    <s v="K056015"/>
    <s v="5CG40753P9"/>
    <x v="10"/>
    <s v="SI"/>
    <s v="NO ARRANCA"/>
    <s v="SE REINSTALA SISTEMA"/>
    <x v="1"/>
    <n v="1"/>
    <s v="REINSTALACION DE SISTEMA , E ACTUALIZACION DE BIOS "/>
    <x v="85"/>
    <n v="45"/>
    <n v="0"/>
    <n v="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59"/>
    <s v="K036650"/>
    <s v="5CG3131DRQ"/>
    <x v="6"/>
    <s v="SI"/>
    <s v="PANTALLA ROTA"/>
    <s v="PANTALLA ROTA"/>
    <x v="1"/>
    <n v="1"/>
    <s v="NO PROCEDE LA GARANTÍA POR ROTURA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08T00:00:00"/>
    <n v="6160"/>
    <s v="K053433"/>
    <s v="5CG2021HV9"/>
    <x v="8"/>
    <s v="NO"/>
    <s v="TECLA A ROTA"/>
    <m/>
    <x v="3"/>
    <n v="1"/>
    <m/>
    <x v="0"/>
    <n v="45"/>
    <m/>
    <n v="0"/>
    <m/>
    <m/>
    <s v="1/2025"/>
    <s v="REPETIDO"/>
  </r>
  <r>
    <s v="Barcelona"/>
    <s v="Cristina Cano Gomez"/>
    <s v="682687160 "/>
    <s v="cristina.canogomez.ext@telefonica.com  "/>
    <s v="Gran Vía de les Corts Catalanes 159, planta 1. 08014 – Barcelona"/>
    <d v="2025-09-08T00:00:00"/>
    <n v="6161"/>
    <s v="K010691"/>
    <s v="5CG3131DZC"/>
    <x v="6"/>
    <s v="SI"/>
    <s v="TOUCH PAD NO FUNCIONA"/>
    <s v="TOUCHPAD NO FUNCIONA"/>
    <x v="1"/>
    <n v="1"/>
    <s v="SE SOLICITA LA PIEZA POR GARANTÍA"/>
    <x v="12"/>
    <n v="45"/>
    <n v="0"/>
    <n v="45"/>
    <d v="2025-12-02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2"/>
    <s v="K037124"/>
    <s v="5CG3131CVZ"/>
    <x v="6"/>
    <s v="SI"/>
    <s v="PANTALLA AVERIADA"/>
    <s v="PANTALLA ROTA"/>
    <x v="1"/>
    <n v="1"/>
    <s v="NO PROCEDE LA GARANTÍA POR ROTURA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3"/>
    <s v="K040551"/>
    <s v="5CG1027R3Z"/>
    <x v="7"/>
    <s v="NO"/>
    <s v="TECLADO KO"/>
    <s v="TECLADO COVER"/>
    <x v="1"/>
    <n v="1"/>
    <s v="SE SUSTITUYE EL TECLADO COVER , POR QUE EL TECLADO QUE TENIA DABA FALLOS EN LAS TECLAS, CUANDO SE ESCRIBIA SALTABAN DIFERENTES LETAS DE CADA TECLA "/>
    <x v="4"/>
    <n v="45"/>
    <n v="163.75"/>
    <n v="208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4"/>
    <s v="N923765"/>
    <s v="5CG04727FK"/>
    <x v="7"/>
    <s v="NO"/>
    <s v="PANTALLA AVERIADA"/>
    <s v="PANTALLA ROTA"/>
    <x v="1"/>
    <n v="1"/>
    <s v="PANTALLA ROTA , HE SUTITUIDO Y SU FUNCIONAMIENTO NORMAL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5"/>
    <s v="K104425"/>
    <s v="5CG5094169"/>
    <x v="19"/>
    <s v="SI"/>
    <s v="DISCO DURO KO"/>
    <s v="PLACA BASE"/>
    <x v="1"/>
    <n v="1"/>
    <s v="PLACA BASE NO ENCIENDE SE SOLICITA POR GARANTIA "/>
    <x v="14"/>
    <n v="45"/>
    <n v="0"/>
    <n v="4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7"/>
    <s v="K057240"/>
    <s v="5CG4194B23"/>
    <x v="10"/>
    <s v="SI"/>
    <s v="PANTALLA AVERIADA"/>
    <s v="PANTALLA ROTA "/>
    <x v="1"/>
    <n v="1"/>
    <s v="NO PROCEDE LA GARANTÍA POR ROTURA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69"/>
    <s v="K010658"/>
    <s v="5CG3131DYR"/>
    <x v="6"/>
    <s v="SI"/>
    <s v="FALTA TECLA"/>
    <s v="TECLADO COVER"/>
    <x v="1"/>
    <n v="1"/>
    <s v="LE FALTA UNA TECLA Y NO PROCEDE LA GARANTÍA , PERO AUN ASI SOLICITAREMOS POR GARANTÍA "/>
    <x v="4"/>
    <n v="45"/>
    <n v="163.75"/>
    <n v="208.7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0"/>
    <s v="K111132"/>
    <s v="5CG04727J5"/>
    <x v="7"/>
    <s v="NO"/>
    <s v="PANTALLA AVERIADA"/>
    <s v="PANTALLA ROTA "/>
    <x v="1"/>
    <n v="1"/>
    <s v="SUSTITUCION DE PANTALLA Y TODO CORRECTO"/>
    <x v="32"/>
    <n v="45"/>
    <n v="160"/>
    <n v="20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1"/>
    <s v="K037288"/>
    <s v="5CG3131F7Q"/>
    <x v="6"/>
    <s v="SI"/>
    <s v="DISCO DURO KO"/>
    <s v="SE REINSTALA SISTEMA"/>
    <x v="1"/>
    <n v="1"/>
    <s v="SE HACE UNA REVISION TODO EL HARWARE Y SE ACTUALIZA BIOS Y INSTALACION DE SISTEMA OPERATIVO, TODO CORRECTO"/>
    <x v="85"/>
    <n v="45"/>
    <n v="0"/>
    <n v="4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2"/>
    <s v="K110556"/>
    <s v="5CG0463872"/>
    <x v="7"/>
    <s v="NO"/>
    <s v="REINICIO CONTINUO"/>
    <s v="PLACA BASE / TECLADO COVER"/>
    <x v="1"/>
    <n v="1"/>
    <s v="EQUIPO FUNCIONA MAL ,ENCIENDE Y SE REINICIA ,SE VA HA REPARAR LA PLACA BASE Y HE OBSERVADO QUE EL TECLADO COVER EN LA ESQUINA ESTA GOLPEADO VOY A SUSTITUIRLO"/>
    <x v="86"/>
    <n v="45"/>
    <n v="378.75"/>
    <n v="423.75"/>
    <d v="2025-10-09T00:00:00"/>
    <m/>
    <s v="1/2025"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3"/>
    <s v="K110552"/>
    <s v="5CG04727CK"/>
    <x v="7"/>
    <s v="NO"/>
    <s v="PANTALLA AVERIADA"/>
    <s v="PANTALLA AVERIADA /BATERIA"/>
    <x v="1"/>
    <n v="1"/>
    <s v="PANTALLA ROTA Y BATERIA, SUSTITUCION"/>
    <x v="87"/>
    <n v="45"/>
    <n v="240"/>
    <n v="285"/>
    <d v="2025-10-09T00:00:00"/>
    <m/>
    <s v="1/2025"/>
    <s v="ESTE EQUIPO VUELVO CON OTRAS AVERIAS"/>
  </r>
  <r>
    <s v="Barcelona"/>
    <s v="Cristina Cano Gomez"/>
    <s v="682687160 "/>
    <s v="cristina.canogomez.ext@telefonica.com  "/>
    <s v="Gran Vía de les Corts Catalanes 159, planta 1. 08014 – Barcelona"/>
    <d v="2025-09-11T00:00:00"/>
    <n v="6174"/>
    <s v="N930506"/>
    <s v="5CG1083LGP"/>
    <x v="11"/>
    <s v="NO"/>
    <s v="FALLO BATERÍA"/>
    <s v="BATERIA FUNCIONA MAL "/>
    <x v="1"/>
    <n v="1"/>
    <s v="FUNCIONAMIENTO DE BATERIA EN MAL ESTADO"/>
    <x v="88"/>
    <n v="45"/>
    <n v="120"/>
    <n v="16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5"/>
    <s v="K010625"/>
    <s v="5CG3131F6L"/>
    <x v="6"/>
    <s v="SI "/>
    <s v="NO ENCIENDE"/>
    <s v="PLACA BASE NO PROCEDE LA GARANTIA POR HUMEDAD "/>
    <x v="1"/>
    <n v="1"/>
    <s v="PLACA BASE NO ENCIENDE "/>
    <x v="89"/>
    <n v="45"/>
    <n v="378.75"/>
    <n v="423.7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Gran Vía de les Corts Catalanes 159, planta 1. 08014 – Barcelona"/>
    <d v="2025-09-11T00:00:00"/>
    <n v="6176"/>
    <s v="N987017"/>
    <s v="CND2214BZB"/>
    <x v="20"/>
    <s v="SI"/>
    <s v="FALTA TECLAS"/>
    <s v="TECLADO ROTO, NO PROCEDE LA GARANTIA"/>
    <x v="1"/>
    <n v="1"/>
    <s v="TECALDO ROTO POR PEDIR LA PIEZA"/>
    <x v="90"/>
    <n v="45"/>
    <n v="120"/>
    <n v="16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d v="2025-09-11T00:00:00"/>
    <n v="6177"/>
    <s v="K036736"/>
    <s v="5CG3131DXN"/>
    <x v="6"/>
    <s v="SI"/>
    <s v="PANTALLAZO AZUL"/>
    <s v="RESTAURACION DE SISTEMA"/>
    <x v="1"/>
    <n v="1"/>
    <s v="SE RESTAURA SISTEMA Y ACTUALIZACIÓN DE BIOS"/>
    <x v="91"/>
    <n v="45"/>
    <n v="0"/>
    <n v="4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78"/>
    <s v="N994375"/>
    <s v="5CG22050DT"/>
    <x v="9"/>
    <s v="NO"/>
    <s v="PANTALLA ROTA"/>
    <s v="COVER PANTALLA Y COVER TECLADO QUE TAMBIEN ESTA ROTO"/>
    <x v="1"/>
    <n v="1"/>
    <s v="El teclado cover se sustituye ya que esta roto en los laterales"/>
    <x v="42"/>
    <n v="45"/>
    <n v="483.75"/>
    <n v="528.75"/>
    <d v="2025-12-02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79"/>
    <s v="N992233"/>
    <s v="5CG1514G09"/>
    <x v="9"/>
    <s v="NO"/>
    <s v="PANTALLA ROTA"/>
    <s v="COVER PANTALLA  / COVER TECLADO"/>
    <x v="1"/>
    <n v="1"/>
    <s v="SE SUSTITUYE COVER TECLADO YA QUE ESTABA POR DENTRO ROTO LOS AGUJEROS DE LOS TORNILLOS DONDE VA LA PANTALLA /PANTALLA COVER"/>
    <x v="42"/>
    <n v="45"/>
    <n v="483.75"/>
    <n v="528.75"/>
    <d v="2025-12-02T00:00:00"/>
    <m/>
    <m/>
    <m/>
  </r>
  <r>
    <s v="Madrid"/>
    <s v="Carmen Rodríguez Lage"/>
    <s v="616866669 "/>
    <s v="mariacarmen.rodriguezlage.ext@telefonica.com"/>
    <s v="C/ Gabriel García Márquez 1, 28232 "/>
    <d v="2025-09-11T00:00:00"/>
    <n v="6180"/>
    <s v="N924003"/>
    <s v="5CG0472785"/>
    <x v="18"/>
    <s v="NO"/>
    <s v="TECLA SUELTA"/>
    <s v="TECLADO COVER"/>
    <x v="1"/>
    <n v="1"/>
    <s v="SE SUSTITUYE EL TECLADO COVER , PORQUE FALTA TECLAS"/>
    <x v="46"/>
    <n v="45"/>
    <n v="163.75"/>
    <n v="208.7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81"/>
    <s v="N916096"/>
    <s v="5CG1041RDY"/>
    <x v="11"/>
    <s v="NO"/>
    <s v="HOLGURA PUERTOS USB-C"/>
    <s v=" PLACA BASE / GOMAS"/>
    <x v="1"/>
    <n v="1"/>
    <m/>
    <x v="92"/>
    <n v="45"/>
    <n v="235"/>
    <n v="280"/>
    <d v="2026-02-19T00:00:00"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"/>
    <d v="2025-09-11T00:00:00"/>
    <n v="6182"/>
    <s v="N919389"/>
    <s v="5CG1070LSK"/>
    <x v="11"/>
    <s v="NO"/>
    <s v="HOLGURA PUERTOS USB-C"/>
    <s v="PLACA BASE / COVER PANTALLA /GOMAS"/>
    <x v="1"/>
    <n v="1"/>
    <s v="REPARACION DE PLACA BASE, USB C"/>
    <x v="93"/>
    <n v="45"/>
    <n v="555"/>
    <n v="600"/>
    <d v="2026-02-19T00:00:00"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"/>
    <d v="2025-09-11T00:00:00"/>
    <n v="6183"/>
    <s v="N872566"/>
    <s v="5CG1080CHG"/>
    <x v="11"/>
    <s v="NO"/>
    <s v="HOLGURA PUERTOS USB-C"/>
    <s v="PLACA BASE / COVER PANTALLA /GOMAS"/>
    <x v="1"/>
    <n v="1"/>
    <s v="REPARACION DE PLACA BASE, USB C"/>
    <x v="94"/>
    <n v="45"/>
    <n v="555"/>
    <n v="600"/>
    <d v="2026-02-19T00:00:00"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"/>
    <d v="2025-09-11T00:00:00"/>
    <n v="6184"/>
    <s v="K006960"/>
    <s v="5CG3300WM2"/>
    <x v="6"/>
    <s v="SI"/>
    <s v="TECLAS NO FUNCIONAN"/>
    <s v="TECLADO COVER "/>
    <x v="1"/>
    <n v="1"/>
    <s v="SE SUSTITUYE EL TECLADO COVER POR QUE NO FUNCIONA CORRECTAMENTE "/>
    <x v="4"/>
    <n v="45"/>
    <n v="163.75"/>
    <n v="208.75"/>
    <d v="2026-01-16T00:00:00"/>
    <m/>
    <m/>
    <m/>
  </r>
  <r>
    <s v="Madrid"/>
    <s v="Carmen Rodríguez Lage"/>
    <s v="616866669 "/>
    <s v="mariacarmen.rodriguezlage.ext@telefonica.com"/>
    <s v="C/ Gabriel García Márquez 1, 28232 "/>
    <d v="2025-09-11T00:00:00"/>
    <n v="6185"/>
    <s v="N922742"/>
    <s v="5CG0514GQH"/>
    <x v="7"/>
    <s v="NO"/>
    <s v="TECLADO ROTO"/>
    <s v="TECLADO COVER"/>
    <x v="1"/>
    <n v="1"/>
    <s v="SE SUSTITUYE EL TECLADO COVER PORQUE FALTA TECLAS"/>
    <x v="46"/>
    <n v="45"/>
    <n v="163.75"/>
    <n v="208.7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86"/>
    <s v="N916657"/>
    <s v="5CG0515RNQ"/>
    <x v="7"/>
    <s v="NO"/>
    <s v="FALTA NIPPLE DEL TECLADO"/>
    <s v="TECLADO COVER / GOMAS "/>
    <x v="1"/>
    <n v="1"/>
    <s v="SE SUSTITUYE EL COVER TECLADO PORQUE EL PEQUEÑO RATON DE EN MEDIO DEL TECLADO DA FALLOS Y SU GOMA NO LO TIENE / GOMAS DE LA TAPA TRASERA"/>
    <x v="95"/>
    <n v="45"/>
    <n v="183.75"/>
    <n v="228.75"/>
    <d v="2025-10-09T00:00:00"/>
    <m/>
    <s v="1/2025"/>
    <m/>
  </r>
  <r>
    <s v="Madrid"/>
    <s v="Carmen Rodríguez Lage"/>
    <s v="616866669 "/>
    <s v="mariacarmen.rodriguezlage.ext@telefonica.com"/>
    <s v="C/ Gabriel García Márquez 1, 28232 "/>
    <d v="2025-09-11T00:00:00"/>
    <n v="6187"/>
    <s v="K040075"/>
    <s v="5CG3300WK8"/>
    <x v="6"/>
    <s v="SI"/>
    <s v="TECLAS  6 Y 7 NO FUNCIONAN"/>
    <s v="TECLADO COVER"/>
    <x v="1"/>
    <n v="1"/>
    <s v=" TECLADO COVER POR GARANTÍA "/>
    <x v="46"/>
    <n v="45"/>
    <n v="0"/>
    <n v="45"/>
    <d v="2025-12-02T00:00:00"/>
    <m/>
    <m/>
    <m/>
  </r>
  <r>
    <s v="Barcelona"/>
    <s v="Cristina Cano Gomez"/>
    <s v="682687160 "/>
    <s v="cristina.canogomez.ext@telefonica.com  "/>
    <s v="Gran Vía de les Corts Catalanes 159, planta 1. 08014 – Barcelona"/>
    <n v="45874"/>
    <n v="5792"/>
    <s v="N873806"/>
    <s v="5CG1017Q19"/>
    <x v="7"/>
    <s v="NO"/>
    <s v="CAMARA NO FUNCIONA"/>
    <s v="CAMARA NO FUNCIONA"/>
    <x v="1"/>
    <n v="1"/>
    <s v="Reparado con repuesto"/>
    <x v="96"/>
    <n v="45"/>
    <n v="185"/>
    <n v="230"/>
    <d v="2026-01-1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88"/>
    <s v="N923601"/>
    <s v="5CG047275L"/>
    <x v="7"/>
    <s v="NO"/>
    <s v="                       NO ENCIENDE Y PANTALLA COVER MAL "/>
    <s v="PANTLLA COVER/TECLADO COVER/TAPA INFERIR O TRASERA/ PLACA BASE"/>
    <x v="3"/>
    <n v="1"/>
    <s v="REPARAR PLACA BASE SE ENVIA 06/10/2025"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89"/>
    <s v="N871950"/>
    <s v="5CG1095DBX"/>
    <x v="11"/>
    <s v="NO"/>
    <s v="SOBRECALENTAMIENTO Y FALLO BATERIA"/>
    <s v="TECLADO COVER EN MAL ESTADO"/>
    <x v="1"/>
    <n v="1"/>
    <m/>
    <x v="46"/>
    <n v="45"/>
    <n v="163.75"/>
    <n v="208.75"/>
    <d v="2025-12-02T00:00:00"/>
    <m/>
    <m/>
    <s v="Equipo roto por GLS / se gestiona el seguro"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0"/>
    <s v="N945596"/>
    <s v="5CG1255SJB"/>
    <x v="9"/>
    <s v="NO"/>
    <s v="FALLA TOUCHPAD/COVER TRASERA"/>
    <s v="FALLA COVER TECLADO Y LE FALTA GOMAS EN LA TAPA TRASERA "/>
    <x v="1"/>
    <n v="1"/>
    <m/>
    <x v="97"/>
    <n v="45"/>
    <n v="183.75"/>
    <n v="228.7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1"/>
    <s v="N923881"/>
    <s v="5CG04727CZ"/>
    <x v="7"/>
    <s v="NO"/>
    <s v="COVER DAÑADO"/>
    <s v="TECLADO COVER ESTA RAYADO CON UNA PUNTA "/>
    <x v="1"/>
    <n v="1"/>
    <s v="TECALDO COVERSE SUSTITUYE  Y TODO CORRECTO"/>
    <x v="46"/>
    <n v="45"/>
    <n v="163.75"/>
    <n v="208.7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2"/>
    <s v="N923916"/>
    <s v="5CG047274X"/>
    <x v="7"/>
    <s v="NO"/>
    <s v="FALLA TECLADO"/>
    <s v="TECLADO COVER LE FALTA TECLAS"/>
    <x v="1"/>
    <n v="1"/>
    <s v="SE HA SUSTITUIDO EL COVER TECALDO"/>
    <x v="46"/>
    <n v="45"/>
    <n v="163.75"/>
    <n v="208.7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3"/>
    <s v="N873525"/>
    <s v="5CG1017RNM"/>
    <x v="7"/>
    <s v="NO"/>
    <s v="CARCASA ROTA"/>
    <s v="COVER TECLADO / TAPA TRASERA"/>
    <x v="1"/>
    <n v="1"/>
    <s v="VEO QUE EL TECLADO COVER Y LA TAPA TRASERA TIENE UN GOLPE FUERTE EN EL LATERAL IZQUIER"/>
    <x v="98"/>
    <n v="45"/>
    <n v="275.5"/>
    <n v="320.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4"/>
    <s v="K036892"/>
    <s v="5CG3131H0J"/>
    <x v="6"/>
    <s v="SI"/>
    <s v="PANTALLA ROTA"/>
    <s v="PANTALLA ROTA/ BISAGRAS ROTAS"/>
    <x v="1"/>
    <n v="1"/>
    <s v="NO SE PUEDE SOLICITAR LA PANTALLA TAMPOCO LAS BISAGRAS POR GARANTIA PORQUE LA PIEZAS ESTAN ROTAS"/>
    <x v="32"/>
    <n v="45"/>
    <n v="260"/>
    <n v="30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5"/>
    <s v="N923923"/>
    <s v="5CG047274B"/>
    <x v="7"/>
    <s v="NO"/>
    <s v="NO ARRANCA/COVER DAÑADO"/>
    <s v="PLACA BASE / TECLADO COVER"/>
    <x v="3"/>
    <n v="1"/>
    <s v="PLACA BASE NO ENCIENDE SE VA A REPARAR Y SUSTITUIR TECLADO COVER, BRAISIRIA 06,10,2025"/>
    <x v="99"/>
    <n v="45"/>
    <m/>
    <n v="0"/>
    <m/>
    <m/>
    <m/>
    <s v="POR ENTREGAR"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6"/>
    <s v="N914244"/>
    <s v="5CG0515V25"/>
    <x v="7"/>
    <s v="NO"/>
    <s v="CALENTAMIENTO"/>
    <s v="PLACA BASE "/>
    <x v="1"/>
    <n v="1"/>
    <s v="EQUIPO QUE SE SOBRECALIENTA Y SE RELANTISA , SE REPARA LA PLACA BASE"/>
    <x v="14"/>
    <n v="45"/>
    <n v="215"/>
    <n v="260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7"/>
    <s v="K037290"/>
    <s v="5CG3131FN7"/>
    <x v="6"/>
    <s v="SI"/>
    <s v="TECLADO ROTO"/>
    <s v="TECLADO COVER "/>
    <x v="1"/>
    <n v="1"/>
    <s v=" TECLADO COVER POR GARANTÍA "/>
    <x v="4"/>
    <n v="45"/>
    <n v="0"/>
    <n v="4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8"/>
    <s v="N929967"/>
    <s v="5CG10790KN"/>
    <x v="11"/>
    <s v="NO"/>
    <s v="FALLO BATERIA/COVER TRASERA"/>
    <s v="BATERIA / TAPA TRASERA"/>
    <x v="1"/>
    <n v="1"/>
    <s v="DESGASTE DE TAPA TRASERA Y BATERIA"/>
    <x v="100"/>
    <n v="45"/>
    <n v="231.75"/>
    <n v="276.75"/>
    <d v="2025-12-02T00:00:00"/>
    <m/>
    <m/>
    <s v="Equipo roto por GLS / se gestiona el seguro"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199"/>
    <s v="N916834"/>
    <s v="5CG0515T50"/>
    <x v="7"/>
    <s v="NO"/>
    <s v="TECLADO ROTO"/>
    <s v="COVER TECLADO "/>
    <x v="1"/>
    <n v="1"/>
    <s v="SUSTITUCION DE TECLADO COVER"/>
    <x v="4"/>
    <n v="45"/>
    <n v="163.75"/>
    <n v="208.7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200"/>
    <s v="K045387"/>
    <s v="5CG40753P8"/>
    <x v="10"/>
    <s v="SI"/>
    <s v="PANTALLA ROTA"/>
    <s v="PANTALLA"/>
    <x v="1"/>
    <n v="1"/>
    <s v="NO PROCEDE LA GARANTÍA POR ROTURA"/>
    <x v="32"/>
    <n v="45"/>
    <n v="160"/>
    <n v="205"/>
    <d v="2025-10-0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201"/>
    <s v="N935728"/>
    <s v="5CG1257P18"/>
    <x v="11"/>
    <s v="NO"/>
    <s v="PUERTO TIPO C DAÑADO"/>
    <s v="reparacion de placa base , usb C"/>
    <x v="1"/>
    <n v="1"/>
    <s v="PLACA BASE REPARACION Y SUSTITUCION DE GOMAS DE TAPA TRASERA"/>
    <x v="101"/>
    <n v="45"/>
    <n v="235"/>
    <n v="280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09-17T00:00:00"/>
    <n v="6202"/>
    <s v="N872629"/>
    <s v="5CG1080C0W"/>
    <x v="11"/>
    <s v="NO"/>
    <s v="NO ARRANCA"/>
    <s v="PLACA BASE Y GOMAS DE TAPA TRASERA"/>
    <x v="1"/>
    <n v="1"/>
    <s v="PLACA BASE REPARACION Y SUSTITUCION DE GOMAS DE TAPA TRASERA"/>
    <x v="101"/>
    <n v="45"/>
    <n v="235"/>
    <n v="280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77"/>
    <s v="K110573"/>
    <s v="5CG046392L"/>
    <x v="7"/>
    <s v="NO"/>
    <s v="PANTALLA AVERIADA"/>
    <s v="SUSTITUCION DE PANTALLA "/>
    <x v="1"/>
    <n v="1"/>
    <s v="PANTALLA ROTA"/>
    <x v="32"/>
    <n v="45"/>
    <n v="160"/>
    <n v="20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78"/>
    <s v="K110574"/>
    <s v="5CG0517FNX"/>
    <x v="7"/>
    <s v="NO "/>
    <s v="TOUCHPAD  AVERIADO"/>
    <s v="TOUCHPAD /GOMAS /PLACA BASE"/>
    <x v="1"/>
    <n v="1"/>
    <m/>
    <x v="102"/>
    <n v="45"/>
    <n v="350"/>
    <n v="39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09-30T00:00:00"/>
    <n v="6779"/>
    <s v="K110576"/>
    <s v="5CG1027R4X"/>
    <x v="7"/>
    <s v="NO"/>
    <s v="TECLADO AVERIADO "/>
    <s v="COVER TECLADO"/>
    <x v="1"/>
    <n v="1"/>
    <s v="COVER TECLADO ROTO"/>
    <x v="103"/>
    <n v="45"/>
    <n v="163.75"/>
    <n v="208.7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0"/>
    <s v="K053694"/>
    <s v="5CG1017Q71"/>
    <x v="7"/>
    <s v="NO"/>
    <s v="NO DETECTA WIFI-INFOSER"/>
    <s v="BATERIA"/>
    <x v="1"/>
    <n v="1"/>
    <m/>
    <x v="6"/>
    <n v="45"/>
    <n v="120"/>
    <n v="165"/>
    <d v="2026-03-04T00:00:00"/>
    <m/>
    <s v="1/2025"/>
    <s v="POR ENTREGAR"/>
  </r>
  <r>
    <s v="Barcelona"/>
    <s v="Cristina Cano Gomez"/>
    <s v="682687160 "/>
    <s v="cristina.canogomez.ext@telefonica.com  "/>
    <s v="Av. Diagonal, 621, zona intermedia, pl. -1. 08028 – Barcelona"/>
    <d v="2025-09-30T00:00:00"/>
    <n v="6782"/>
    <s v="K036788"/>
    <s v="5CG3131D0G"/>
    <x v="6"/>
    <s v="SI "/>
    <s v="NO SE ENCIENDE"/>
    <s v="TESTEADO Y CON GARANTÍA "/>
    <x v="1"/>
    <n v="1"/>
    <m/>
    <x v="104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3"/>
    <s v="K037272"/>
    <s v="5CG3131F6B"/>
    <x v="6"/>
    <s v="SI"/>
    <s v="PANTALLA ROTA"/>
    <m/>
    <x v="1"/>
    <n v="1"/>
    <s v="NO PROCEDE LA GARANTIA , PANTALLA ROTA"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4"/>
    <s v="K054565"/>
    <s v="5CG4321YMX"/>
    <x v="10"/>
    <s v="SI"/>
    <s v="PANTALLA ROTA"/>
    <m/>
    <x v="1"/>
    <n v="1"/>
    <s v="NO PROCEDE LA GARANTIA , PANTALLA ROTA"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5"/>
    <s v="K056971"/>
    <s v="5CG4194KGX"/>
    <x v="10"/>
    <s v="SI"/>
    <s v="NO SE ENCIENDE-INFOSER"/>
    <s v="SE HA TESTEADO Y ACTUALIZADO BIOS Y SU FUNCIONAMIENTO CORRECTO ,LA PLACA ESTA CAMBIADA POR GARANTÍA"/>
    <x v="1"/>
    <n v="1"/>
    <m/>
    <x v="105"/>
    <n v="45"/>
    <n v="0"/>
    <n v="4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7"/>
    <s v="K010865"/>
    <s v="5CG3131D1F"/>
    <x v="6"/>
    <s v="SI"/>
    <s v="PANTALLA ROTA"/>
    <s v="Pantalla no enciende"/>
    <x v="1"/>
    <n v="1"/>
    <m/>
    <x v="32"/>
    <n v="45"/>
    <n v="163.75"/>
    <n v="208.7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8"/>
    <s v="N923711"/>
    <s v="5CG04727G0"/>
    <x v="7"/>
    <s v="NO"/>
    <s v="REINICIO CONTINUO"/>
    <s v="REPARACION DE PLACA BASE "/>
    <x v="1"/>
    <n v="1"/>
    <s v="REPARACIONDE PLACA BASE , SE REINICIA CONSTANTEMENTE"/>
    <x v="106"/>
    <n v="45"/>
    <n v="335"/>
    <n v="380"/>
    <d v="2025-12-0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89"/>
    <s v="K104006"/>
    <s v="5CG5091SZK"/>
    <x v="19"/>
    <s v="SI "/>
    <s v="REINICIO CONTINUO"/>
    <m/>
    <x v="1"/>
    <n v="1"/>
    <m/>
    <x v="107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90"/>
    <s v="K112548"/>
    <s v="5CG407542H"/>
    <x v="10"/>
    <s v="SI"/>
    <s v="FALL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91"/>
    <s v="K053434"/>
    <s v="5CG1017Q08"/>
    <x v="7"/>
    <s v="NO"/>
    <s v="TECLA ROTA"/>
    <s v="COVER TECLADO"/>
    <x v="1"/>
    <n v="1"/>
    <m/>
    <x v="103"/>
    <n v="45"/>
    <n v="163.75"/>
    <n v="208.75"/>
    <d v="2025-12-0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09-30T00:00:00"/>
    <n v="6792"/>
    <s v="K111291"/>
    <s v="5CG0517HWV"/>
    <x v="7"/>
    <s v="NO"/>
    <s v="PANTALLAZO AZUL-REINCIO CONTINUO"/>
    <s v="Diagnostico: OK"/>
    <x v="1"/>
    <n v="1"/>
    <s v="PASTA TERMICA CAMBIADA,WINDOWS 11 INSTALADO"/>
    <x v="14"/>
    <n v="45"/>
    <n v="215"/>
    <n v="260"/>
    <d v="2026-01-16T00:00:00"/>
    <m/>
    <m/>
    <s v="POR ENTREGAR / BRAISIRIA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8720"/>
    <s v="5CG0517FNR"/>
    <x v="7"/>
    <s v="NO "/>
    <s v="CARCASA GOLPEADA"/>
    <s v="Cambiar teclado y tapa,reparar carcasa pantalla"/>
    <x v="1"/>
    <n v="1"/>
    <m/>
    <x v="50"/>
    <n v="45"/>
    <n v="275.5"/>
    <n v="320.5"/>
    <d v="2026-02-19T00:00:00"/>
    <m/>
    <m/>
    <s v="POR ENTREGAR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111300"/>
    <s v="5CG1027R54"/>
    <x v="7"/>
    <s v="NO "/>
    <s v="CARCASA ROTA"/>
    <s v="COVER TECLADO / TAPA TRASERA "/>
    <x v="1"/>
    <n v="1"/>
    <m/>
    <x v="50"/>
    <n v="45"/>
    <n v="275.5"/>
    <n v="320.5"/>
    <d v="2026-02-19T00:00:00"/>
    <m/>
    <m/>
    <s v="POR ENTREGAR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8675"/>
    <s v="5CG0517FDG"/>
    <x v="7"/>
    <s v="NO"/>
    <s v="TECLAS ROTAS"/>
    <m/>
    <x v="1"/>
    <n v="1"/>
    <m/>
    <x v="103"/>
    <n v="45"/>
    <n v="163.75"/>
    <n v="208.7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4098"/>
    <s v="5CG0515V7H"/>
    <x v="7"/>
    <s v="NO "/>
    <s v="CARCASA CON GOLPES Y MARCO RAYADO"/>
    <m/>
    <x v="1"/>
    <n v="1"/>
    <m/>
    <x v="108"/>
    <n v="45"/>
    <n v="233.75"/>
    <n v="278.75"/>
    <d v="2026-0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92764"/>
    <s v="5CG2194957"/>
    <x v="9"/>
    <s v="NO "/>
    <s v="PANTALLA ROTA"/>
    <s v="COVER PANTALLA/BATERIA"/>
    <x v="1"/>
    <n v="1"/>
    <m/>
    <x v="109"/>
    <n v="45"/>
    <n v="440"/>
    <n v="485"/>
    <d v="2026-02-19T00:00:00"/>
    <m/>
    <m/>
    <s v="POR ENTREGAR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89286"/>
    <s v="5CG2073LF7"/>
    <x v="8"/>
    <s v="NO"/>
    <s v="RUIDO EN ORDENADOR"/>
    <s v="VENTILADOR"/>
    <x v="1"/>
    <n v="1"/>
    <s v="RUIDO EXCESIVO DEL VENTILADOR SE SUSTITUYE "/>
    <x v="17"/>
    <n v="45"/>
    <n v="100"/>
    <n v="14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06546"/>
    <s v="5CG2412STM"/>
    <x v="8"/>
    <s v="NO"/>
    <s v="BATERIA Y SONIDO DE VENTILADOR"/>
    <m/>
    <x v="1"/>
    <n v="1"/>
    <m/>
    <x v="17"/>
    <n v="45"/>
    <n v="100"/>
    <n v="14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89311"/>
    <s v="5CG2073LF8"/>
    <x v="8"/>
    <s v="NO"/>
    <s v="TECLADO, CARCASA"/>
    <s v="COVER TECLADO"/>
    <x v="1"/>
    <n v="1"/>
    <m/>
    <x v="46"/>
    <n v="45"/>
    <n v="163.75"/>
    <n v="208.7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40031"/>
    <s v="5CG3300WKF"/>
    <x v="6"/>
    <s v="SI"/>
    <s v="TECLADO, VENTILADOR"/>
    <m/>
    <x v="1"/>
    <n v="1"/>
    <s v="NO PROCEDE GARANTIA PANTALLA ROTA Y TAPA LCD GOLPEADA"/>
    <x v="110"/>
    <n v="45"/>
    <n v="271.75"/>
    <n v="316.7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44595"/>
    <s v="5CG127C32Y"/>
    <x v="9"/>
    <s v="NO"/>
    <s v="VENTILADOR, CARCASA"/>
    <s v="COVER TECLADO / VENTILADOR"/>
    <x v="1"/>
    <n v="1"/>
    <s v="COVER TECLADO GOLPEADO Y RUIDO DEL VENTILADOR , SE SUSTITUYE"/>
    <x v="111"/>
    <n v="45"/>
    <n v="263.75"/>
    <n v="308.7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91434"/>
    <s v="5CG1518B5G"/>
    <x v="9"/>
    <s v="NO"/>
    <s v="NO ENCIENDE"/>
    <s v="TECLADO COVER /REPARACION DE PLACA BASE"/>
    <x v="1"/>
    <n v="1"/>
    <m/>
    <x v="112"/>
    <n v="45"/>
    <n v="388.75"/>
    <n v="433.75"/>
    <d v="2026-04-10T00:00:00"/>
    <m/>
    <m/>
    <s v="BRAISIRIA"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22585"/>
    <s v="5CG0515PXF"/>
    <x v="7"/>
    <s v="NO"/>
    <s v="TECLADO, CARCASA"/>
    <s v="equipo no llega a nuestro taller"/>
    <x v="3"/>
    <n v="1"/>
    <m/>
    <x v="0"/>
    <n v="45"/>
    <m/>
    <n v="0"/>
    <m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7061"/>
    <s v="5CG1072JXN"/>
    <x v="11"/>
    <s v="NO"/>
    <s v="RUIDO VENTILADOR"/>
    <s v="COVI TECLADO Y VENTILADOR"/>
    <x v="1"/>
    <n v="1"/>
    <m/>
    <x v="111"/>
    <n v="45"/>
    <n v="263.75"/>
    <n v="308.75"/>
    <d v="2026-01-16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873862"/>
    <s v="5CG1017PS1"/>
    <x v="7"/>
    <s v="NO"/>
    <s v="SOBRECALENTAMIENTO/VENTILADOR FALLA"/>
    <m/>
    <x v="1"/>
    <n v="1"/>
    <s v="Falla ventilador,cambiar"/>
    <x v="17"/>
    <n v="45"/>
    <n v="100"/>
    <n v="14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34250"/>
    <s v="5CG1254SFW"/>
    <x v="9"/>
    <s v="NO"/>
    <s v="LIGAS ROTAS TAPA INFERIOR"/>
    <s v="SUSTITUCION DE GOMAS Y BATERIA"/>
    <x v="1"/>
    <n v="1"/>
    <m/>
    <x v="113"/>
    <n v="45"/>
    <n v="140"/>
    <n v="185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22326"/>
    <s v="5CG0514F2H"/>
    <x v="7"/>
    <s v="NO"/>
    <s v="EQUIPO MOJADO, TECLADO Y PAD NO FUNCIONAN BIEN"/>
    <m/>
    <x v="1"/>
    <n v="1"/>
    <m/>
    <x v="46"/>
    <n v="45"/>
    <n v="163.75"/>
    <n v="208.75"/>
    <d v="2026-04-10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58436"/>
    <s v="5CG138D089"/>
    <x v="7"/>
    <s v="NO"/>
    <s v="RUIDO VENTILADOR, PAD NO FUNCIONA BIEN"/>
    <s v="Cambiar ventilador,touchpad y gomas"/>
    <x v="1"/>
    <n v="1"/>
    <m/>
    <x v="114"/>
    <n v="45"/>
    <n v="120.49000000000001"/>
    <n v="165.49"/>
    <d v="2025-1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55970"/>
    <s v="5CG407543F"/>
    <x v="10"/>
    <s v="SI"/>
    <s v="FALLA TECLADO, PAD, EQUIPO MOJADO"/>
    <m/>
    <x v="3"/>
    <n v="1"/>
    <m/>
    <x v="0"/>
    <n v="45"/>
    <m/>
    <n v="0"/>
    <m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17017"/>
    <s v="5CG0517FN1"/>
    <x v="7"/>
    <s v="NO"/>
    <s v="TECLADO ROTO"/>
    <m/>
    <x v="1"/>
    <n v="1"/>
    <m/>
    <x v="46"/>
    <n v="45"/>
    <n v="163.75"/>
    <n v="208.75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23559"/>
    <s v="5CG047276L"/>
    <x v="7"/>
    <s v="NO"/>
    <s v="CAMARA RAYADA, EQUIPO SE CALIENTA"/>
    <s v="REPARACION DE PLACA BASE , PORQUE SE CALIENTA Y LA CAMARA NO FUNCIONA "/>
    <x v="1"/>
    <n v="1"/>
    <s v="REPARACIONES DE PLACA BASE"/>
    <x v="115"/>
    <n v="45"/>
    <n v="215"/>
    <n v="260"/>
    <d v="2025-12-02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N989255"/>
    <s v="5CG2073L4M"/>
    <x v="8"/>
    <s v="NO "/>
    <s v="CARCASA GOLPEADA POR PUERTOS"/>
    <s v="COVER TECLADO"/>
    <x v="1"/>
    <n v="1"/>
    <m/>
    <x v="46"/>
    <n v="45"/>
    <n v="163.75"/>
    <n v="208.75"/>
    <d v="2026-02-19T00:00:00"/>
    <m/>
    <m/>
    <m/>
  </r>
  <r>
    <s v="Barcelona"/>
    <s v="Cristina Cano Gomez"/>
    <n v="682687160"/>
    <s v="cristina.canogomez.ext@telefonica.com  "/>
    <s v="Gran Vía de les Corts Catalanes 159, planta 1. 08014 – Barcelona"/>
    <d v="2025-10-15T00:00:00"/>
    <m/>
    <s v="K047865"/>
    <s v="5CG5091TDT"/>
    <x v="19"/>
    <s v="SI"/>
    <s v="PANTALLA ROTA"/>
    <m/>
    <x v="3"/>
    <n v="1"/>
    <m/>
    <x v="0"/>
    <n v="45"/>
    <m/>
    <n v="0"/>
    <m/>
    <m/>
    <m/>
    <m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K036940"/>
    <s v="5CG3131GXP"/>
    <x v="6"/>
    <s v="SI"/>
    <s v="FALLA TOUCHPAD"/>
    <m/>
    <x v="1"/>
    <n v="1"/>
    <m/>
    <x v="116"/>
    <n v="45"/>
    <n v="77"/>
    <n v="122"/>
    <d v="2026-04-10T00:00:00"/>
    <m/>
    <s v="1/2025"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K110565"/>
    <s v="5CG04638QQ"/>
    <x v="7"/>
    <s v="NO"/>
    <s v="FALLA TOUCHPAD"/>
    <s v="Cambio touchad"/>
    <x v="1"/>
    <n v="1"/>
    <m/>
    <x v="12"/>
    <n v="45"/>
    <n v="77"/>
    <n v="122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599"/>
    <s v="5CG1017RNS"/>
    <x v="7"/>
    <s v="NO"/>
    <s v="GOLPE CARCASA"/>
    <s v="Daño fisico"/>
    <x v="1"/>
    <n v="1"/>
    <s v="Se cambia teclado por pieza reutilizada"/>
    <x v="46"/>
    <n v="45"/>
    <n v="163.75"/>
    <n v="208.75"/>
    <d v="2025-12-02T00:00:00"/>
    <m/>
    <s v="1/2025"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624"/>
    <s v="5CG1017RP2"/>
    <x v="7"/>
    <s v="NO"/>
    <s v="APAGADOS CONTINUOS"/>
    <s v="Teclado roto"/>
    <x v="1"/>
    <n v="1"/>
    <m/>
    <x v="117"/>
    <n v="45"/>
    <n v="378.75"/>
    <n v="423.75"/>
    <d v="2025-12-19T00:00:00"/>
    <m/>
    <m/>
    <s v="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859"/>
    <s v="5CG1017MY7"/>
    <x v="7"/>
    <s v="NO"/>
    <s v="PANTALLA ROTA"/>
    <s v="Cambio de pantalla"/>
    <x v="1"/>
    <n v="1"/>
    <m/>
    <x v="32"/>
    <n v="45"/>
    <n v="82"/>
    <n v="127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6848"/>
    <s v="5CG0515TS7"/>
    <x v="7"/>
    <s v="NO"/>
    <s v="IRQL_not_less_or_equal (PANTALLA AZUL)"/>
    <s v="equipo no llega a nuestro taller"/>
    <x v="3"/>
    <n v="1"/>
    <m/>
    <x v="46"/>
    <n v="45"/>
    <m/>
    <n v="0"/>
    <m/>
    <m/>
    <m/>
    <s v="POR ENTREGAR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7532"/>
    <s v="5CG0517F2N"/>
    <x v="7"/>
    <s v="NO"/>
    <s v="ERROR PANTALLA AZUL/Error Memory Management"/>
    <s v="Diagnostico: OK"/>
    <x v="1"/>
    <n v="1"/>
    <m/>
    <x v="14"/>
    <n v="45"/>
    <n v="215"/>
    <n v="260"/>
    <d v="2026-01-16T00:00:00"/>
    <m/>
    <m/>
    <s v="POR ENTREGAR / BRAISIRIA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8680"/>
    <s v="5CG0517HWT"/>
    <x v="7"/>
    <s v="NO"/>
    <s v="APAGADOS CONTINUOS"/>
    <m/>
    <x v="1"/>
    <n v="1"/>
    <m/>
    <x v="118"/>
    <n v="45"/>
    <n v="215"/>
    <n v="260"/>
    <d v="2025-12-19T00:00:00"/>
    <m/>
    <m/>
    <s v="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2716"/>
    <s v="5CG0514H76"/>
    <x v="7"/>
    <s v="NO"/>
    <s v="/FALLA BATERIA"/>
    <s v="Conector bateria suelto / Diagnostico: OK"/>
    <x v="1"/>
    <n v="1"/>
    <m/>
    <x v="6"/>
    <n v="45"/>
    <n v="120"/>
    <n v="16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3530"/>
    <s v="5CG04727GH"/>
    <x v="7"/>
    <s v="NO"/>
    <s v="PANTALLA DAÑADA"/>
    <s v="Cambio pantalla"/>
    <x v="1"/>
    <n v="1"/>
    <s v="Se cambia pantalla por pieza reutilizada"/>
    <x v="32"/>
    <n v="45"/>
    <n v="160"/>
    <n v="205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3572"/>
    <s v="5CG047274J"/>
    <x v="7"/>
    <s v="NO"/>
    <s v="FALTA TECLA E"/>
    <s v="Cambiar teclado y gomas"/>
    <x v="3"/>
    <n v="1"/>
    <s v="Esperando piezas"/>
    <x v="0"/>
    <n v="45"/>
    <m/>
    <n v="0"/>
    <m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3589"/>
    <s v="5CG047279L"/>
    <x v="7"/>
    <s v="NO"/>
    <s v="REPARADO DE INFORSER/FALLO PILA"/>
    <s v="BATERIA"/>
    <x v="1"/>
    <n v="1"/>
    <s v="se sustituye bateria"/>
    <x v="6"/>
    <n v="45"/>
    <n v="120"/>
    <n v="165"/>
    <d v="2025-12-02T00:00:00"/>
    <m/>
    <s v="1/2025"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37080"/>
    <s v="5CG12542V5"/>
    <x v="9"/>
    <s v="NO"/>
    <s v="PUERTO USB C ROTO"/>
    <s v="PLACA BASE / "/>
    <x v="1"/>
    <n v="1"/>
    <m/>
    <x v="14"/>
    <n v="45"/>
    <n v="215"/>
    <n v="260"/>
    <d v="2026-02-19T00:00:00"/>
    <m/>
    <m/>
    <s v="13/01/2026 SE LLE  BRASIRIA 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37386"/>
    <s v="5CG1257NQ1"/>
    <x v="11"/>
    <s v="NO"/>
    <s v="PANTALLA DAÑADA"/>
    <s v="PANTALLA ROTA"/>
    <x v="1"/>
    <n v="1"/>
    <m/>
    <x v="64"/>
    <n v="45"/>
    <n v="320"/>
    <n v="365"/>
    <d v="2026-01-16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42280"/>
    <s v="5CG2139JNG"/>
    <x v="9"/>
    <s v="NO"/>
    <s v="APAGADOS CONTINUOS"/>
    <s v="DISCO DURO SE SUSTITUYE "/>
    <x v="1"/>
    <n v="1"/>
    <s v="DISCO DURO NO CARGA SISTEMA Y SE SUSTITUYE "/>
    <x v="7"/>
    <n v="45"/>
    <n v="120"/>
    <n v="165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70304"/>
    <s v="5CG0486M7G"/>
    <x v="11"/>
    <s v="NO"/>
    <s v="FALLA PUERTO USB-C"/>
    <s v="PLACA BASE/ GOMAS /COVER PANTALLA"/>
    <x v="1"/>
    <n v="1"/>
    <m/>
    <x v="119"/>
    <n v="45"/>
    <n v="555"/>
    <n v="600"/>
    <d v="2026-02-19T00:00:00"/>
    <m/>
    <m/>
    <s v="13/01/2026 SE LLE  BRASIRIA REPARACION DE PLACA BASE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2043"/>
    <s v="5CG0515V6K"/>
    <x v="7"/>
    <s v="NO"/>
    <s v="APAGADOS CONTINUOS/TECLADO ROTO"/>
    <s v="CAMBIO DE TECLADO /REPARACION DE PLACA BASE"/>
    <x v="1"/>
    <n v="1"/>
    <s v="REPARACION DE PLACA BASE Y COVER TECLADO POR GOLPE"/>
    <x v="120"/>
    <n v="45"/>
    <n v="378.75"/>
    <n v="423.75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31000"/>
    <s v="5CG1017RQH"/>
    <x v="7"/>
    <s v="NO"/>
    <s v="PANTALLA ROTA/TOUCHPAD FALLA/REPARADO DE INFOSER"/>
    <s v="Cover teclado +  Cover pantalla + Touchpad"/>
    <x v="1"/>
    <n v="1"/>
    <s v="Esperando piezas"/>
    <x v="121"/>
    <n v="45"/>
    <n v="0"/>
    <n v="0"/>
    <d v="2025-12-19T00:00:00"/>
    <m/>
    <s v="1/2025"/>
    <s v="Este equipo se repa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2657"/>
    <s v="5CG0514F2Y"/>
    <x v="7"/>
    <s v="NO"/>
    <s v="FALLO BATERIA"/>
    <s v="Diagnostico: OK"/>
    <x v="1"/>
    <n v="1"/>
    <m/>
    <x v="6"/>
    <n v="45"/>
    <n v="120"/>
    <n v="16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831"/>
    <s v="5CG1017PS2"/>
    <x v="7"/>
    <s v="NO"/>
    <s v="ERROR PANTALLA AZUL/TECLADO i DAÑADA"/>
    <s v="Diagnostico: OK"/>
    <x v="1"/>
    <n v="1"/>
    <m/>
    <x v="7"/>
    <n v="45"/>
    <n v="120"/>
    <n v="16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4170"/>
    <s v="5CG0463861"/>
    <x v="7"/>
    <s v="NO"/>
    <s v="TECLAS ROTAS"/>
    <s v="Cambio teclado"/>
    <x v="1"/>
    <n v="1"/>
    <m/>
    <x v="4"/>
    <n v="45"/>
    <n v="163.75"/>
    <n v="208.75"/>
    <d v="2025-12-02T00:00:00"/>
    <m/>
    <m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K110557"/>
    <s v="5CG046386V"/>
    <x v="7"/>
    <s v="NO"/>
    <s v="APAGADOS CONTINUOS"/>
    <s v="Fallo Ventilador por placa base"/>
    <x v="1"/>
    <n v="1"/>
    <m/>
    <x v="122"/>
    <n v="45"/>
    <n v="215"/>
    <n v="260"/>
    <d v="2026-01-16T00:00:00"/>
    <m/>
    <m/>
    <s v="POR ENTREGAR / BRAISIRIA"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4062"/>
    <s v="5CG0514K69"/>
    <x v="7"/>
    <s v="NO"/>
    <s v="APAGADOS REPENTINOS/SOBRECALENTAMIENTO"/>
    <s v="REPARACION DE PLACA BASE "/>
    <x v="1"/>
    <n v="1"/>
    <s v="REPARACION DE PLACA BASE"/>
    <x v="58"/>
    <n v="45"/>
    <n v="215"/>
    <n v="260"/>
    <d v="2025-12-02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K043323"/>
    <s v="5CG1027R2Z"/>
    <x v="7"/>
    <s v="NO"/>
    <s v="FALLO BATERIA"/>
    <s v="Revisada:OK / Estaba sin conectar"/>
    <x v="1"/>
    <n v="1"/>
    <m/>
    <x v="6"/>
    <n v="45"/>
    <n v="120"/>
    <n v="165"/>
    <d v="2025-12-02T00:00:00"/>
    <m/>
    <s v="1/2025"/>
    <s v="Equipo roto por GLS / se gestiona el seguro"/>
  </r>
  <r>
    <s v="Madrid"/>
    <s v="Cristina Cano Gomez"/>
    <n v="682687160"/>
    <s v=" cristina.canogomez.ext@telefonica.com  "/>
    <s v="Torre Plaza Castilla - Paseo de la Castellana, 189. Planta 13. 28046"/>
    <d v="2025-10-11T00:00:00"/>
    <n v="7846"/>
    <s v="K103950"/>
    <s v="5CG5091SYQ"/>
    <x v="19"/>
    <s v="SI"/>
    <s v="FALLO MICRO"/>
    <s v="Revisado micro ok / Cover LCD golpeado"/>
    <x v="1"/>
    <n v="1"/>
    <s v="Cover golpeado mas pantalla"/>
    <x v="110"/>
    <n v="45"/>
    <n v="271.75"/>
    <n v="316.75"/>
    <d v="2025-12-19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16627"/>
    <s v="5CG0515RZ0"/>
    <x v="7"/>
    <s v="NO"/>
    <s v="FALLO MICRO"/>
    <s v="Fallo modulo micro+cam"/>
    <x v="1"/>
    <n v="1"/>
    <s v="Se cambia cover superior con pantalla incluida"/>
    <x v="123"/>
    <n v="45"/>
    <n v="185"/>
    <n v="230"/>
    <d v="2025-12-02T00:00:00"/>
    <m/>
    <m/>
    <m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k010814"/>
    <s v="5CG3131FV6"/>
    <x v="6"/>
    <s v="SI"/>
    <s v="SOBRECALENTAMIENTO"/>
    <m/>
    <x v="1"/>
    <n v="1"/>
    <m/>
    <x v="124"/>
    <n v="45"/>
    <n v="0"/>
    <n v="45"/>
    <d v="2026-04-10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873634"/>
    <s v="5CG1017RQL"/>
    <x v="7"/>
    <s v="NO"/>
    <s v="TECLADO ROTO/COVER ROTO"/>
    <s v="TECLADO EN MAL ESTADO"/>
    <x v="1"/>
    <n v="1"/>
    <s v="Esperando piezas"/>
    <x v="46"/>
    <n v="45"/>
    <n v="163.75"/>
    <n v="208.75"/>
    <d v="2025-12-02T00:00:00"/>
    <m/>
    <m/>
    <m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N993021"/>
    <s v="5CG22035QX"/>
    <x v="9"/>
    <s v="NO"/>
    <s v="FALLA PUERTO USB-C"/>
    <s v="REPARACION DE PLACA BASE"/>
    <x v="1"/>
    <n v="1"/>
    <m/>
    <x v="125"/>
    <n v="45"/>
    <n v="215"/>
    <n v="260"/>
    <d v="2026-04-10T00:00:00"/>
    <m/>
    <m/>
    <s v="BRAISIRIA"/>
  </r>
  <r>
    <s v="Madrid"/>
    <s v="Cristina Cano Gomez"/>
    <n v="682687160"/>
    <s v=" cristina.canogomez.ext@telefonica.com  "/>
    <s v="Torre Plaza Castilla - Paseo de la Castellana, 189. Planta 13. 28046 - Madrid"/>
    <d v="2025-10-11T00:00:00"/>
    <m/>
    <s v="N998119"/>
    <s v="5CG15118DR"/>
    <x v="9"/>
    <s v="NO"/>
    <s v="EQUIPO NO ENCIENDE SE LE HA CAIDO AGUA Y LA TAPA TRASERA ESTA REVENTADA"/>
    <s v="COVER PANTALLA/COVER TECLADDO"/>
    <x v="1"/>
    <n v="1"/>
    <m/>
    <x v="126"/>
    <n v="45"/>
    <n v="483.75"/>
    <n v="528.75"/>
    <d v="2026-04-10T00:00:00"/>
    <m/>
    <m/>
    <m/>
  </r>
  <r>
    <s v="Madrid"/>
    <s v="Cristina Cano Gomez"/>
    <n v="682687160"/>
    <s v=" cristina.canogomez.ext@telefonica.com  "/>
    <s v="Torre Plaza Castilla - Paseo de la Castellana, 189. Planta 13. 28046"/>
    <d v="2025-10-11T00:00:00"/>
    <m/>
    <s v="N924214"/>
    <s v="5CG1072LMZ"/>
    <x v="18"/>
    <s v="NO"/>
    <s v="PANTALLA ROT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874264"/>
    <s v="5CG0463857"/>
    <x v="7"/>
    <s v="NO"/>
    <s v="NO ENCIENDE"/>
    <s v="Placa dañada"/>
    <x v="3"/>
    <n v="1"/>
    <s v="Envio reparacion placa"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16889"/>
    <s v="5CG0515S93"/>
    <x v="7"/>
    <s v="NO"/>
    <s v="SE REINICIA SOLO"/>
    <s v="PLACA BASE/ GOMAS /COVER TECLADO"/>
    <x v="1"/>
    <n v="1"/>
    <m/>
    <x v="127"/>
    <n v="45"/>
    <n v="398.75"/>
    <n v="443.75"/>
    <d v="2026-03-04T00:00:00"/>
    <m/>
    <m/>
    <s v="REPARACION DE PLACA BASE"/>
  </r>
  <r>
    <s v="Barcelona"/>
    <s v="Cristina Cano Gomez"/>
    <n v="682687160"/>
    <s v=" cristina.canogomez.ext@telefonica.com  "/>
    <s v="Gran Vía de les Corts Catalanes 159, planta 1. 08014"/>
    <d v="2025-10-11T00:00:00"/>
    <m/>
    <s v="N874503"/>
    <s v="5CG04637W1"/>
    <x v="7"/>
    <s v="NO"/>
    <s v="NO TIENE E"/>
    <s v="PLACA BASE/DISCO DURO /TECLADO COVER /MARCO DE PANTALLA"/>
    <x v="3"/>
    <n v="1"/>
    <m/>
    <x v="128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50530"/>
    <s v="5CG0515PWY"/>
    <x v="7"/>
    <s v="NO"/>
    <s v="FALLA BATERIA"/>
    <m/>
    <x v="1"/>
    <n v="1"/>
    <m/>
    <x v="129"/>
    <n v="45"/>
    <n v="230"/>
    <n v="275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23950"/>
    <s v="5CG0472777"/>
    <x v="7"/>
    <s v="NO"/>
    <s v="RECALENTAMIENTO REINICIOS"/>
    <s v="EQUIPO SE REINICIA MUCHAS VECES ,REPARACION DE PLACA BASE"/>
    <x v="1"/>
    <n v="1"/>
    <m/>
    <x v="58"/>
    <n v="45"/>
    <n v="215"/>
    <n v="260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80285"/>
    <s v="5CG0517GFY"/>
    <x v="7"/>
    <s v="NO"/>
    <s v="REINICIOS CONTINUOS"/>
    <s v="REPARACION DE PLACA BASE Y SUSTITUCION DE TAPA TRASERA "/>
    <x v="1"/>
    <n v="1"/>
    <m/>
    <x v="130"/>
    <n v="45"/>
    <n v="326.75"/>
    <n v="371.75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30595"/>
    <s v="5CG0520726"/>
    <x v="7"/>
    <s v="NO"/>
    <s v="RECALENTAMIENTO REINICIOS"/>
    <s v="COVER TECLADO"/>
    <x v="1"/>
    <n v="1"/>
    <m/>
    <x v="46"/>
    <n v="45"/>
    <n v="163.75"/>
    <n v="208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30604"/>
    <s v="5CG052071Z"/>
    <x v="7"/>
    <s v="NO"/>
    <s v="NO VA AUDIO EN PARLANTES NI EN AUDIFONOS"/>
    <s v="Conector speaker suelto / diagnostico:Ok"/>
    <x v="1"/>
    <n v="1"/>
    <m/>
    <x v="118"/>
    <n v="45"/>
    <n v="215"/>
    <n v="260"/>
    <d v="2025-12-19T00:00:00"/>
    <m/>
    <s v="1/2025"/>
    <s v="REPARACION DE PLACA BASE"/>
  </r>
  <r>
    <s v="Barcelona"/>
    <s v="Cristina Cano Gomez"/>
    <n v="682687160"/>
    <s v=" cristina.canogomez.ext@telefonica.com  "/>
    <s v="Gran Vía de les Corts Catalanes 159, planta 1. 08014"/>
    <d v="2025-10-11T00:00:00"/>
    <m/>
    <s v="N933211"/>
    <s v="5CG12543F6"/>
    <x v="9"/>
    <s v=" NO"/>
    <s v="DAÑO CARCASA PARTE DE ATRÁS"/>
    <s v="USB C NO REPLICA"/>
    <x v="1"/>
    <n v="1"/>
    <m/>
    <x v="58"/>
    <n v="45"/>
    <n v="215"/>
    <n v="260"/>
    <d v="2025-12-02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45369"/>
    <s v="5CG40753QD"/>
    <x v="10"/>
    <s v="SI"/>
    <s v="NO TIENE TECLA H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60354"/>
    <s v="5CG4250KTD"/>
    <x v="10"/>
    <s v="SI "/>
    <s v="DAÑO PUERTOS"/>
    <m/>
    <x v="1"/>
    <n v="1"/>
    <m/>
    <x v="131"/>
    <n v="45"/>
    <n v="0"/>
    <n v="45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104306"/>
    <s v="5CG5091TDN"/>
    <x v="19"/>
    <s v="SI"/>
    <s v="DAÑO CARCASA, LLEGO DE BIGMATIC Y SE VUELVE A ENVIAR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22778"/>
    <s v="5CG0514H79"/>
    <x v="7"/>
    <s v="NO"/>
    <s v="Bateria no Carga"/>
    <m/>
    <x v="1"/>
    <n v="1"/>
    <s v="SUSTITUCION DE BATERIA"/>
    <x v="6"/>
    <n v="45"/>
    <n v="120"/>
    <n v="16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5CG051FYT"/>
    <s v="5CG051FYT"/>
    <x v="7"/>
    <s v="NO"/>
    <s v="Teclado mojado"/>
    <s v="Teclado cambiar"/>
    <x v="3"/>
    <n v="1"/>
    <m/>
    <x v="46"/>
    <n v="45"/>
    <n v="163.75"/>
    <n v="208.75"/>
    <m/>
    <m/>
    <m/>
    <s v="POR ENTREGAR"/>
  </r>
  <r>
    <s v="Barcelona"/>
    <s v="Cristina Cano Gomez"/>
    <n v="682687160"/>
    <s v=" cristina.canogomez.ext@telefonica.com  "/>
    <s v="Gran Vía de les Corts Catalanes 159, planta 1. 08014"/>
    <d v="2025-10-11T00:00:00"/>
    <m/>
    <s v="N843124"/>
    <s v="5CG1027R4M"/>
    <x v="7"/>
    <s v="NO"/>
    <s v="Tecla rota"/>
    <s v="Teclado cover /placa base"/>
    <x v="1"/>
    <n v="1"/>
    <m/>
    <x v="132"/>
    <n v="45"/>
    <n v="378.75"/>
    <n v="423.75"/>
    <d v="2026-01-16T00:00:00"/>
    <m/>
    <m/>
    <s v="POR ENTREGAR/BRAISIRIA,"/>
  </r>
  <r>
    <s v="Barcelona"/>
    <s v="Cristina Cano Gomez"/>
    <n v="682687160"/>
    <s v=" cristina.canogomez.ext@telefonica.com  "/>
    <s v="Gran Vía de les Corts Catalanes 159, planta 1. 08014"/>
    <d v="2025-10-11T00:00:00"/>
    <m/>
    <s v="K010785"/>
    <s v="5CG3131F00"/>
    <x v="6"/>
    <s v="SI"/>
    <s v="Reinicios Continuos"/>
    <m/>
    <x v="1"/>
    <n v="1"/>
    <m/>
    <x v="133"/>
    <n v="45"/>
    <n v="0"/>
    <n v="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19926"/>
    <s v="5CG0487Y6Y"/>
    <x v="7"/>
    <s v="NO"/>
    <s v="Reparar Carcas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16828"/>
    <s v="5CG0515SS8"/>
    <x v="7"/>
    <s v="NO"/>
    <s v="Sobrecalentamiento"/>
    <s v="REPARACION DE PLACA BASE"/>
    <x v="1"/>
    <n v="1"/>
    <m/>
    <x v="125"/>
    <n v="45"/>
    <n v="215"/>
    <n v="260"/>
    <d v="2026-04-10T00:00:00"/>
    <m/>
    <m/>
    <s v="BRAISIRIA"/>
  </r>
  <r>
    <s v="Barcelona"/>
    <s v="Cristina Cano Gomez"/>
    <n v="682687160"/>
    <s v=" cristina.canogomez.ext@telefonica.com  "/>
    <s v="Gran Vía de les Corts Catalanes 159, planta 1. 08014"/>
    <d v="2025-10-11T00:00:00"/>
    <m/>
    <s v="K040886"/>
    <s v="5CG34444FN"/>
    <x v="10"/>
    <s v="SI"/>
    <s v="No enciend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10969"/>
    <s v="5CG3131FNY"/>
    <x v="6"/>
    <s v="SI"/>
    <s v="Reinicios Continuos"/>
    <s v="BATERIA ( GARANTÍA )"/>
    <x v="1"/>
    <n v="1"/>
    <m/>
    <x v="134"/>
    <n v="45"/>
    <n v="0"/>
    <n v="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K045024"/>
    <s v="5CG4075DM7"/>
    <x v="10"/>
    <s v="SI"/>
    <s v="Disco Duro K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0-11T00:00:00"/>
    <m/>
    <s v="N922582"/>
    <s v="5CG0514H80"/>
    <x v="7"/>
    <s v="NO"/>
    <s v="GOLPE IZQ CARCASA"/>
    <s v="TECLADO COVER"/>
    <x v="1"/>
    <n v="1"/>
    <m/>
    <x v="46"/>
    <n v="45"/>
    <n v="163.75"/>
    <n v="208.7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0-11T00:00:00"/>
    <m/>
    <m/>
    <s v="5CG0514JX8"/>
    <x v="7"/>
    <s v="NO"/>
    <s v="DAÑO CARCASA PARTE DE ATRÁS"/>
    <s v="TECLADO COVER"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50593"/>
    <s v="5CG1080FG7"/>
    <x v="11"/>
    <s v="NO"/>
    <s v="PUERTO TIPO C  AVERIADO"/>
    <s v="Revisado ok"/>
    <x v="1"/>
    <n v="1"/>
    <m/>
    <x v="135"/>
    <n v="45"/>
    <n v="215"/>
    <n v="260"/>
    <d v="2026-03-04T00:00:00"/>
    <m/>
    <s v="1/2025"/>
    <s v="reparacion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89061"/>
    <s v="5CG2073508"/>
    <x v="8"/>
    <s v="NO"/>
    <s v="PROBLEMA DE BIOS"/>
    <s v="Revisado ok 05/01/2026"/>
    <x v="1"/>
    <n v="1"/>
    <m/>
    <x v="135"/>
    <n v="45"/>
    <n v="215"/>
    <n v="260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89285"/>
    <s v="5CG2073L3V"/>
    <x v="8"/>
    <s v="NO"/>
    <s v="NO FUNCIONA WIFI"/>
    <m/>
    <x v="1"/>
    <n v="1"/>
    <m/>
    <x v="118"/>
    <n v="45"/>
    <n v="215"/>
    <n v="260"/>
    <d v="2025-12-19T00:00:00"/>
    <m/>
    <s v="1/2025"/>
    <s v="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37963"/>
    <s v="5CG31335KD"/>
    <x v="15"/>
    <s v="SI"/>
    <s v="TECLADO AVERIADO"/>
    <s v=" NO PROCEDE LA GARANTÍA POR ROTURA"/>
    <x v="1"/>
    <n v="1"/>
    <s v="SUSTITUCION DE TECLADO COVER POR ROTURA NO PROCEDE LA GARANTÍA"/>
    <x v="46"/>
    <n v="45"/>
    <n v="163.75"/>
    <n v="208.75"/>
    <d v="2025-12-02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874350"/>
    <s v="5CG04638FR"/>
    <x v="7"/>
    <s v="NO "/>
    <s v="REINICIOS CONTINUOS"/>
    <s v="BATERIA/PLACA BASE"/>
    <x v="1"/>
    <n v="1"/>
    <m/>
    <x v="136"/>
    <n v="45"/>
    <n v="335"/>
    <n v="38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10737"/>
    <s v="5CG3131FTB"/>
    <x v="6"/>
    <s v="SI"/>
    <s v="PROBLEMA DE BIOS"/>
    <s v="Revisado ok 05/01/2026"/>
    <x v="1"/>
    <n v="1"/>
    <m/>
    <x v="14"/>
    <n v="45"/>
    <n v="215"/>
    <n v="260"/>
    <d v="2026-01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43205"/>
    <s v="5CG04638RY"/>
    <x v="7"/>
    <s v="NO"/>
    <s v="TECLADO AVERIADO"/>
    <m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89043"/>
    <s v="5CG2073KS1"/>
    <x v="8"/>
    <s v="NO "/>
    <s v="TECLADO AVERIADO /ERROR BIOS"/>
    <s v="COVER TECLADO/PANTALLA / TAPA TRASERA LCD/BATERIA"/>
    <x v="1"/>
    <n v="1"/>
    <m/>
    <x v="137"/>
    <n v="45"/>
    <n v="603.75"/>
    <n v="648.75"/>
    <d v="2026-02-1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54880"/>
    <s v="5CG4321Y5V"/>
    <x v="10"/>
    <s v="SI "/>
    <s v="REINICIOS CONTINUOS"/>
    <m/>
    <x v="1"/>
    <n v="1"/>
    <m/>
    <x v="14"/>
    <n v="45"/>
    <n v="215"/>
    <n v="26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10807"/>
    <s v="5CG3131D7G"/>
    <x v="6"/>
    <s v="SI "/>
    <s v="NO ENCIENDE"/>
    <s v="Placa quemada,garantia"/>
    <x v="1"/>
    <n v="1"/>
    <s v="Placa garantia"/>
    <x v="138"/>
    <n v="45"/>
    <n v="111.75"/>
    <n v="156.7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43314"/>
    <s v="5CG0514GCY"/>
    <x v="7"/>
    <s v="NO"/>
    <s v="REINICIOS CONTINUOS"/>
    <s v="PANTALLA/COVER TECLADO"/>
    <x v="1"/>
    <n v="1"/>
    <s v="Pendiente de meter precio de teclado"/>
    <x v="139"/>
    <n v="45"/>
    <n v="323.75"/>
    <n v="36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854253"/>
    <s v="5CG03982T3"/>
    <x v="11"/>
    <s v="NO"/>
    <s v="FALLA  VENTILADOR"/>
    <s v="Revisado ok"/>
    <x v="1"/>
    <n v="1"/>
    <m/>
    <x v="17"/>
    <n v="45"/>
    <n v="100"/>
    <n v="14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08968"/>
    <s v="5CG3131D0D"/>
    <x v="6"/>
    <s v="SI"/>
    <s v="PANTALLA ROTA"/>
    <s v="PANTALLA ROTA(Sin garantia)"/>
    <x v="1"/>
    <n v="1"/>
    <s v="Cambio pantalla, NO PROCEDE LA GARANTÍA PANTALLA ROTA"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40842"/>
    <s v="5CG34444G6"/>
    <x v="10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17899"/>
    <s v="5CG051GRQ"/>
    <x v="7"/>
    <s v="NO "/>
    <s v="DESPERFECTO EN EL CHASIS"/>
    <m/>
    <x v="1"/>
    <n v="1"/>
    <m/>
    <x v="140"/>
    <n v="45"/>
    <n v="275.5"/>
    <n v="320.5"/>
    <d v="2026-02-19T00:00:00"/>
    <m/>
    <m/>
    <s v="POR ENTREGAR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N916864"/>
    <s v="5CG0515SBJ"/>
    <x v="7"/>
    <s v="NO"/>
    <s v="REINICIOS CONTINUOS"/>
    <s v="PLACA BASE REPARACION /COVER TECLADO"/>
    <x v="1"/>
    <n v="1"/>
    <s v="Limpieza general,apretar bisagras,cambio cover"/>
    <x v="141"/>
    <n v="45"/>
    <n v="378.75"/>
    <n v="423.75"/>
    <d v="2026-04-10T00:00:00"/>
    <m/>
    <m/>
    <s v="BRAISIRIA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112545"/>
    <s v="5CG0517HX3"/>
    <x v="7"/>
    <s v="NO"/>
    <s v="REINICIOS CONTINUOS"/>
    <s v="Fallo placa, para reparar"/>
    <x v="3"/>
    <n v="1"/>
    <m/>
    <x v="0"/>
    <n v="45"/>
    <m/>
    <n v="0"/>
    <m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110552"/>
    <s v="5CG04727CK"/>
    <x v="7"/>
    <s v="NO"/>
    <s v="PROBLEMAS CON LA PANTALLA"/>
    <s v="PANTALLA ROTA"/>
    <x v="1"/>
    <n v="1"/>
    <m/>
    <x v="142"/>
    <n v="45"/>
    <n v="280"/>
    <n v="325"/>
    <d v="2026-01-16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103960"/>
    <s v="5CG5091T29"/>
    <x v="19"/>
    <s v="SI"/>
    <s v="PANTALLA ROTA"/>
    <s v="PANTALLA ROTA(Sin garantia)"/>
    <x v="1"/>
    <n v="1"/>
    <s v="PANTALLA ROTA NO PROCEDE LA GARANTÍA"/>
    <x v="32"/>
    <n v="45"/>
    <n v="160"/>
    <n v="205"/>
    <d v="2025-1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05T00:00:00"/>
    <m/>
    <s v="K054677"/>
    <s v="5CG4321Y2Z"/>
    <x v="10"/>
    <s v="SI"/>
    <s v="ERROR EN UNIDAD DE ALMACENAMIENTO "/>
    <s v="Diagnostico: OK"/>
    <x v="1"/>
    <n v="1"/>
    <m/>
    <x v="143"/>
    <n v="45"/>
    <n v="0"/>
    <n v="45"/>
    <d v="2025-12-02T00:00:00"/>
    <m/>
    <m/>
    <s v="SOLICITAR DISCO DURO POR GARANTÍA"/>
  </r>
  <r>
    <s v="Barcelona"/>
    <s v="Cristina Cano Gomez"/>
    <n v="682687160"/>
    <s v=" cristina.canogomez.ext@telefonica.com  "/>
    <s v="Gran Vía de les Corts Catalanes 159, planta 1. 08014"/>
    <d v="2025-11-01T00:00:00"/>
    <m/>
    <s v="K040856"/>
    <s v="5CG34444FW"/>
    <x v="10"/>
    <s v="SI"/>
    <s v="NO CARG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44852"/>
    <s v="5CG35152Q4"/>
    <x v="10"/>
    <s v="SI"/>
    <s v="PANTALLA MAL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57447"/>
    <s v="5CG4181SBZ"/>
    <x v="18"/>
    <s v="NO"/>
    <s v="PANTALLA MAL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32290"/>
    <s v="5CG12568CS"/>
    <x v="9"/>
    <s v="NO "/>
    <s v="TRACK PAD MOUSE"/>
    <s v="GOMAS/TOUCHPAD"/>
    <x v="1"/>
    <n v="1"/>
    <m/>
    <x v="144"/>
    <n v="45"/>
    <n v="97"/>
    <n v="142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36930"/>
    <s v="5CG3131GQ9"/>
    <x v="7"/>
    <s v="NO"/>
    <s v="TECLAS ROTAS"/>
    <s v="COVER TECLADO (GARANTÍA)"/>
    <x v="3"/>
    <n v="1"/>
    <m/>
    <x v="145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104321"/>
    <s v="5CG5091T6R"/>
    <x v="19"/>
    <s v="SI"/>
    <s v="FALLA CAMARA"/>
    <s v="CAMARA WEB ( GARANTÍA )"/>
    <x v="1"/>
    <n v="1"/>
    <m/>
    <x v="146"/>
    <n v="45"/>
    <n v="0"/>
    <n v="45"/>
    <d v="2026-04-10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98337"/>
    <s v="5CG1514C86"/>
    <x v="9"/>
    <s v="NO"/>
    <s v="TECLAS ROTAS"/>
    <s v="COVER TECLADO /TAPA TRASERA"/>
    <x v="3"/>
    <n v="1"/>
    <m/>
    <x v="147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53829"/>
    <s v="5CG1281QW4"/>
    <x v="9"/>
    <s v="NO"/>
    <s v="PANTALLA MAL"/>
    <s v="Cambio pantalla / tapa trasera"/>
    <x v="1"/>
    <n v="1"/>
    <m/>
    <x v="148"/>
    <n v="45"/>
    <n v="431.75"/>
    <n v="476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23924"/>
    <s v="5CG047273C"/>
    <x v="7"/>
    <s v="NO "/>
    <s v="TECLAS ROTAS"/>
    <m/>
    <x v="1"/>
    <n v="1"/>
    <m/>
    <x v="149"/>
    <n v="45"/>
    <n v="400.75"/>
    <n v="445.75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77635"/>
    <s v="5CG22733K5"/>
    <x v="8"/>
    <s v="NO"/>
    <s v="TECLAS ROTAS"/>
    <s v="Cambio teclado"/>
    <x v="1"/>
    <n v="1"/>
    <m/>
    <x v="46"/>
    <n v="45"/>
    <n v="163.75"/>
    <n v="208.75"/>
    <d v="2026-03-04T00:00:00"/>
    <m/>
    <m/>
    <s v="POR ENTREGAR"/>
  </r>
  <r>
    <s v="Barcelona"/>
    <s v="Cristina Cano Gomez"/>
    <n v="682687160"/>
    <s v=" cristina.canogomez.ext@telefonica.com  "/>
    <s v="Gran Vía de les Corts Catalanes 159, planta 1. 08014"/>
    <d v="2025-11-01T00:00:00"/>
    <m/>
    <s v="K050986"/>
    <s v="5CG4321Y5Z"/>
    <x v="10"/>
    <s v="SI"/>
    <s v="PANTALLA MAL"/>
    <s v="cambio pantalla"/>
    <x v="1"/>
    <n v="1"/>
    <s v="PANTALLA ROTA NO PROCEDE LA GARANTÍA"/>
    <x v="32"/>
    <n v="45"/>
    <n v="160"/>
    <n v="205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41686"/>
    <s v="5CG3522CYM"/>
    <x v="17"/>
    <s v="SI"/>
    <s v="USB-C ROTO"/>
    <m/>
    <x v="1"/>
    <n v="1"/>
    <m/>
    <x v="150"/>
    <n v="45"/>
    <n v="0"/>
    <n v="4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10667"/>
    <s v="5CG3131FBS"/>
    <x v="6"/>
    <s v="SI"/>
    <s v="TRACK PAD MOUSE Y CAMARA"/>
    <s v="BATERIA ( GARANTÍA )"/>
    <x v="1"/>
    <n v="1"/>
    <m/>
    <x v="134"/>
    <n v="45"/>
    <n v="0"/>
    <n v="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104064"/>
    <s v="5CG5091T7S"/>
    <x v="19"/>
    <s v="SI"/>
    <s v="TECLAS ROTAS Y SOFT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26960"/>
    <s v="5CG1080BVY"/>
    <x v="11"/>
    <s v="NO"/>
    <s v="BATERIA Y TAPAS"/>
    <s v="BATERIA SUSTITUCION"/>
    <x v="1"/>
    <n v="1"/>
    <m/>
    <x v="6"/>
    <n v="45"/>
    <n v="120"/>
    <n v="16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24058"/>
    <s v="5CG1072L5X"/>
    <x v="11"/>
    <s v="NO "/>
    <s v="LIGAS INF Y ERROR MAQUETA"/>
    <m/>
    <x v="1"/>
    <n v="1"/>
    <m/>
    <x v="97"/>
    <n v="45"/>
    <n v="183.75"/>
    <n v="228.75"/>
    <d v="2026-02-19T00:00:00"/>
    <m/>
    <m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30349"/>
    <s v="5CG3080BKF"/>
    <x v="8"/>
    <s v="NO"/>
    <s v="GOLPE TRASERO LATERAL IZQUIERDO"/>
    <s v="SUSTITUCION DE COVER TECLADO"/>
    <x v="1"/>
    <n v="1"/>
    <m/>
    <x v="46"/>
    <n v="45"/>
    <n v="163.75"/>
    <n v="208.7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105396"/>
    <s v="5CG5111LGQ"/>
    <x v="19"/>
    <s v="SI"/>
    <s v="TECLA E ROT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N932175"/>
    <s v="5CG1255WSC"/>
    <x v="9"/>
    <s v="NO"/>
    <s v="PANTALLA INFERIOR IZQUIERDA DESPEGADA"/>
    <m/>
    <x v="1"/>
    <n v="1"/>
    <m/>
    <x v="151"/>
    <n v="45"/>
    <n v="340"/>
    <n v="385"/>
    <d v="2025-12-02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56015"/>
    <s v="5CG40753P9"/>
    <x v="10"/>
    <s v="SI"/>
    <s v="NO ARRANC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36650"/>
    <s v="5CG3131DRQ"/>
    <x v="6"/>
    <s v="SI"/>
    <s v="PANTALLA ROT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53433"/>
    <s v="5CG2021HV9"/>
    <x v="8"/>
    <s v="NO"/>
    <s v="TECLA A ROTA"/>
    <s v="Cambio teclado"/>
    <x v="1"/>
    <n v="1"/>
    <m/>
    <x v="46"/>
    <n v="45"/>
    <n v="163.75"/>
    <n v="208.75"/>
    <d v="2025-12-19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1-01T00:00:00"/>
    <m/>
    <s v="K010691"/>
    <s v="5CG3131DZC"/>
    <x v="6"/>
    <s v="SI"/>
    <s v="TOUCH PAD NO FUNCIONA"/>
    <m/>
    <x v="3"/>
    <n v="1"/>
    <m/>
    <x v="0"/>
    <n v="45"/>
    <m/>
    <n v="0"/>
    <m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6401"/>
    <s v="5CG2020VJ8"/>
    <x v="9"/>
    <s v="NO"/>
    <s v="FALTAN GOMAS/PANTALLA EN NEGRO"/>
    <s v="GOMAS TRASERAS/REPARACION DE PLACA BASE"/>
    <x v="1"/>
    <n v="1"/>
    <m/>
    <x v="152"/>
    <n v="45"/>
    <n v="235"/>
    <n v="28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10549"/>
    <s v="5CG3131FPF"/>
    <x v="6"/>
    <s v="SI"/>
    <s v="FALLA TOUCHPAD"/>
    <s v="Revisado ok"/>
    <x v="1"/>
    <n v="1"/>
    <s v="NO PROCEDE LA GARANTÍA POR ROTURA"/>
    <x v="12"/>
    <n v="45"/>
    <n v="77"/>
    <n v="122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2774"/>
    <s v="5CG0514H72"/>
    <x v="7"/>
    <s v="NO"/>
    <s v="FALLA TECLADO"/>
    <m/>
    <x v="1"/>
    <n v="1"/>
    <m/>
    <x v="46"/>
    <n v="45"/>
    <n v="163.75"/>
    <n v="208.7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112536"/>
    <s v="5CG2073596"/>
    <x v="7"/>
    <s v="NO"/>
    <s v="FALLA TECLA BORRADO"/>
    <s v="Conector suelto de teclado"/>
    <x v="1"/>
    <n v="1"/>
    <m/>
    <x v="46"/>
    <n v="45"/>
    <n v="163.75"/>
    <n v="208.75"/>
    <d v="2026-03-04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3731"/>
    <s v="5CG047273W"/>
    <x v="7"/>
    <s v="NO"/>
    <s v="FALLO BATERIA"/>
    <s v="Cambio bateria"/>
    <x v="1"/>
    <n v="1"/>
    <m/>
    <x v="6"/>
    <n v="45"/>
    <n v="120"/>
    <n v="165"/>
    <d v="2025-12-1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0952"/>
    <s v="5CG1017MXB"/>
    <x v="7"/>
    <s v="NO"/>
    <s v="TECLAS A, E y U ROTAS"/>
    <s v="SUSTITUCION DE COVER TECLADO"/>
    <x v="1"/>
    <n v="1"/>
    <m/>
    <x v="46"/>
    <n v="45"/>
    <n v="163.75"/>
    <n v="208.7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18945"/>
    <s v="5CG0514FS5"/>
    <x v="7"/>
    <s v="NO"/>
    <s v="FALLO TECLAS"/>
    <m/>
    <x v="1"/>
    <n v="1"/>
    <m/>
    <x v="46"/>
    <n v="45"/>
    <n v="160"/>
    <n v="20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40834"/>
    <s v="5CG34444GX"/>
    <x v="10"/>
    <s v="SI"/>
    <s v="NO ENCIENDE LA PANTALL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18630"/>
    <s v="5CG0517GDL"/>
    <x v="7"/>
    <s v="NO"/>
    <s v="COVER DAÑADO"/>
    <s v="SUSTITUCION DE COVER TECLADO"/>
    <x v="1"/>
    <n v="1"/>
    <m/>
    <x v="153"/>
    <n v="45"/>
    <n v="273.75"/>
    <n v="318.7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49544"/>
    <s v="5CG1041R72"/>
    <x v="11"/>
    <s v="NO"/>
    <s v="FALLA TOUCHPAD"/>
    <s v="Revisado ok"/>
    <x v="1"/>
    <n v="1"/>
    <m/>
    <x v="12"/>
    <n v="45"/>
    <n v="77"/>
    <n v="122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17047"/>
    <s v="5CG1072JWJ"/>
    <x v="11"/>
    <s v="NO"/>
    <s v="FALLA PUERTO"/>
    <s v="Fallo usb-c,reparar placa base"/>
    <x v="1"/>
    <n v="1"/>
    <m/>
    <x v="92"/>
    <n v="45"/>
    <n v="235"/>
    <n v="280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3724"/>
    <s v="5CG1254MSX"/>
    <x v="18"/>
    <s v="NO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K047940"/>
    <s v="5CG10790HJ"/>
    <x v="11"/>
    <s v="NO"/>
    <s v="PANTALLA AZUL/FALLA TECLA SUPR"/>
    <s v="Diagnostico: OK / Cambiar teclado"/>
    <x v="1"/>
    <n v="1"/>
    <m/>
    <x v="6"/>
    <n v="45"/>
    <n v="120"/>
    <n v="1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7953"/>
    <s v="5CG1041H9R"/>
    <x v="11"/>
    <s v="NO"/>
    <s v="PANTALLA ROTA"/>
    <s v="Reparado"/>
    <x v="1"/>
    <n v="1"/>
    <s v="Cambio pantalla"/>
    <x v="64"/>
    <n v="45"/>
    <n v="320"/>
    <n v="36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32992"/>
    <s v="5CG12568D0"/>
    <x v="9"/>
    <s v="NO"/>
    <s v="FALLA PUERTO USB-C"/>
    <s v="PLACA BASE /COVER TECLADO/GOMAS"/>
    <x v="1"/>
    <n v="1"/>
    <m/>
    <x v="154"/>
    <n v="45"/>
    <n v="398.75"/>
    <n v="443.75"/>
    <d v="2026-02-19T00:00:00"/>
    <m/>
    <m/>
    <s v="13/01/2026 SE LLE  BRASIRIA 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1-07T00:00:00"/>
    <m/>
    <s v="N929898"/>
    <s v="5CG10790G9"/>
    <x v="11"/>
    <s v="NO"/>
    <s v="TECLADO BORRADO"/>
    <m/>
    <x v="1"/>
    <n v="1"/>
    <m/>
    <x v="46"/>
    <n v="45"/>
    <n v="163.75"/>
    <n v="208.75"/>
    <d v="2025-12-02T00:00:00"/>
    <m/>
    <s v="1/2025"/>
    <s v="Equipo roto por GLS / se gestiona el seguro"/>
  </r>
  <r>
    <s v="Barcelona"/>
    <s v="Cristina Cano Gomez"/>
    <n v="682687160"/>
    <s v=" cristina.canogomez.ext@telefonica.com  "/>
    <s v="Gran Vía de les Corts Catalanes 159, planta 1. 08014"/>
    <d v="2025-11-07T00:00:00"/>
    <m/>
    <s v="K047962"/>
    <s v="5CG046392J"/>
    <x v="7"/>
    <s v="NO"/>
    <s v="NO FUNCIONA BIEN NOTEPAD"/>
    <s v="Remplazo touchpad"/>
    <x v="1"/>
    <n v="1"/>
    <m/>
    <x v="12"/>
    <n v="45"/>
    <n v="77"/>
    <n v="122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N874483"/>
    <s v="5CG04637X5"/>
    <x v="7"/>
    <s v="NO"/>
    <s v="TECLADO ROTO"/>
    <s v="cambio teclado"/>
    <x v="1"/>
    <n v="1"/>
    <m/>
    <x v="46"/>
    <n v="45"/>
    <n v="163.75"/>
    <n v="208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53923"/>
    <s v="5CG4482RKC"/>
    <x v="17"/>
    <s v="SI"/>
    <s v="EQUIPO CARCASA ROTA, PAD ROTO, 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N916857"/>
    <s v="5CG0515SBW"/>
    <x v="7"/>
    <s v="NO"/>
    <s v="TECLADO ROTO"/>
    <s v="Cambio teclado"/>
    <x v="1"/>
    <n v="1"/>
    <m/>
    <x v="46"/>
    <n v="45"/>
    <n v="163.75"/>
    <n v="208.75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36683"/>
    <s v="5CG3131DQM"/>
    <x v="6"/>
    <s v="SI"/>
    <s v="CAMARA ROTA"/>
    <s v="camara rota garantia"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50438"/>
    <s v="5CG046385X"/>
    <x v="7"/>
    <s v="NO"/>
    <s v="TECLAS N, 2, S Y OTRAS NO FUNCIONAN"/>
    <s v="COVER TECLADO"/>
    <x v="1"/>
    <n v="1"/>
    <m/>
    <x v="46"/>
    <n v="45"/>
    <n v="163.75"/>
    <n v="208.75"/>
    <d v="2025-12-19T00:00:00"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N927426"/>
    <s v="5CG1072LL7"/>
    <x v="11"/>
    <s v="NO"/>
    <s v="NO TIENE LIGAS TAPA INFERIOR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1-07T00:00:00"/>
    <m/>
    <s v="K045244"/>
    <s v="5CG40753QW"/>
    <x v="10"/>
    <s v="SI"/>
    <s v="NO TIENE LIGAS TAPA INFERI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40077"/>
    <s v="5CG3300SRQ"/>
    <x v="6"/>
    <s v="SI "/>
    <s v="Pantalla rota"/>
    <s v="PANTALLA ROTA NO PROCEDE GARANTÍA"/>
    <x v="1"/>
    <n v="1"/>
    <m/>
    <x v="155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10811"/>
    <s v="5CG3131FRV"/>
    <x v="6"/>
    <s v="SI "/>
    <s v="Pantalla rota"/>
    <s v="PANTALLA ROTA NO PROCEDE LA GARANTIA "/>
    <x v="1"/>
    <n v="1"/>
    <m/>
    <x v="156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934255"/>
    <s v="5CG1254SDX"/>
    <x v="9"/>
    <s v="NO"/>
    <s v="REINICIOS CONSTANTES"/>
    <s v="Cambio pasta / gomas"/>
    <x v="1"/>
    <n v="1"/>
    <m/>
    <x v="157"/>
    <n v="45"/>
    <n v="20"/>
    <n v="65"/>
    <d v="2025-12-02T00:00:00"/>
    <m/>
    <s v="1/2025"/>
    <s v="REPARACION DE PLACA BASE"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45336"/>
    <s v="5CG40753Q6"/>
    <x v="10"/>
    <s v="SI"/>
    <s v="Reinicios Constant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45191"/>
    <s v="5CG407542C"/>
    <x v="10"/>
    <s v="SI"/>
    <s v="Fallan teclas de Función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874445"/>
    <s v="5CG04638RR"/>
    <x v="7"/>
    <s v="NO"/>
    <s v="Faltan Teclas Teclado"/>
    <s v="COVER TECLADO "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08974"/>
    <s v="5CG3131FP1"/>
    <x v="6"/>
    <s v="SI "/>
    <s v="Pantalla rota"/>
    <s v="PANTALLA ROTA NO PROCEDE LA GARANTIA "/>
    <x v="1"/>
    <n v="1"/>
    <m/>
    <x v="156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914291"/>
    <s v="5CG0514GD9"/>
    <x v="7"/>
    <s v="NO"/>
    <s v="Sobrecalentamiento"/>
    <s v="se repara"/>
    <x v="1"/>
    <n v="1"/>
    <m/>
    <x v="118"/>
    <n v="45"/>
    <n v="215"/>
    <n v="260"/>
    <d v="2025-12-19T00:00:00"/>
    <m/>
    <m/>
    <s v="REPARACION DE PLACA BASE"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874423"/>
    <s v="5CG04638CR"/>
    <x v="7"/>
    <s v="NO "/>
    <s v="Error BIOS"/>
    <s v="CAMBIO DISCO / VENTILADOR/PLACA BASE"/>
    <x v="1"/>
    <n v="1"/>
    <m/>
    <x v="158"/>
    <n v="45"/>
    <n v="435"/>
    <n v="48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10706"/>
    <s v="5CG3131D85"/>
    <x v="6"/>
    <s v="SI "/>
    <s v="No carga"/>
    <s v="PANTALLA ROTA NO PROCEDE LA GARANTIA "/>
    <x v="1"/>
    <n v="1"/>
    <m/>
    <x v="159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K054561"/>
    <s v="5CG4321Y1N"/>
    <x v="10"/>
    <s v="SI "/>
    <s v="Pantalla Rota"/>
    <s v="PANTALLA ROTA NO PROCEDE LA GARANTIA "/>
    <x v="1"/>
    <n v="1"/>
    <m/>
    <x v="159"/>
    <n v="45"/>
    <n v="160"/>
    <n v="20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0-22T00:00:00"/>
    <m/>
    <s v="N916870"/>
    <s v="5CG0515RYQ"/>
    <x v="7"/>
    <s v="NO"/>
    <s v="Tecla Espacio No funcions bien"/>
    <m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3587"/>
    <s v="5CG0472745"/>
    <x v="7"/>
    <s v="NO"/>
    <s v="TECLADO ROTO/COVER ROTO"/>
    <s v="COVER TECLADO"/>
    <x v="1"/>
    <n v="1"/>
    <m/>
    <x v="46"/>
    <n v="45"/>
    <n v="163.75"/>
    <n v="208.75"/>
    <d v="2025-12-19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874519"/>
    <s v="5CG047277Q"/>
    <x v="7"/>
    <s v="NO"/>
    <s v="PANTALLAZO AZUL"/>
    <m/>
    <x v="1"/>
    <n v="1"/>
    <m/>
    <x v="118"/>
    <n v="45"/>
    <n v="215"/>
    <n v="260"/>
    <d v="2025-12-19T00:00:00"/>
    <m/>
    <m/>
    <s v="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3702"/>
    <s v="5CG04727L1"/>
    <x v="7"/>
    <s v="NO"/>
    <s v="PANTALLA ROTA"/>
    <s v="Sustituir pantalla"/>
    <x v="1"/>
    <n v="1"/>
    <m/>
    <x v="32"/>
    <n v="45"/>
    <n v="160"/>
    <n v="20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2375"/>
    <s v="5CG1017Q0T"/>
    <x v="7"/>
    <s v="NO"/>
    <s v="BATERIA DAÑADA"/>
    <s v="BATERIA"/>
    <x v="1"/>
    <n v="1"/>
    <m/>
    <x v="6"/>
    <n v="45"/>
    <n v="120"/>
    <n v="165"/>
    <d v="2026-04-10T00:00:00"/>
    <m/>
    <m/>
    <s v="LLEGO CON ESTE NUMERO DE SERIE EN LA LISTA DE CRISTINA CANO 5CG0517DRK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2518"/>
    <s v="5CG0517GRD"/>
    <x v="7"/>
    <s v="NO"/>
    <s v="DAÑO CARCAS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18658"/>
    <s v="5CG0517H6N"/>
    <x v="7"/>
    <s v="NO"/>
    <s v="MOJADO"/>
    <s v="REPARACION DE PLACA BASE/COVER TECLADO"/>
    <x v="1"/>
    <n v="1"/>
    <m/>
    <x v="160"/>
    <n v="45"/>
    <n v="378.75"/>
    <n v="423.75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2477"/>
    <s v="5CG0517HHF"/>
    <x v="7"/>
    <s v="NO"/>
    <s v="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4466"/>
    <s v="5CG1070M50"/>
    <x v="11"/>
    <s v="NO"/>
    <s v="FALLO VENTILADOR"/>
    <s v="Fallo ventilador"/>
    <x v="1"/>
    <n v="1"/>
    <s v="Ventilador de repuesto"/>
    <x v="17"/>
    <n v="45"/>
    <n v="100"/>
    <n v="14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9969"/>
    <s v="5CG107908L"/>
    <x v="11"/>
    <s v="NO"/>
    <s v="PANTALLA ROTA"/>
    <s v="PANTALLA ROTA/PLACA BASE/COVER TECLADO"/>
    <x v="1"/>
    <n v="1"/>
    <m/>
    <x v="161"/>
    <n v="45"/>
    <n v="698.75"/>
    <n v="743.75"/>
    <d v="2026-02-19T00:00:00"/>
    <m/>
    <m/>
    <s v="13/01/2026 SE LLE  BRASIRIA 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21564"/>
    <s v="5CG1119GFQ"/>
    <x v="11"/>
    <s v="NO"/>
    <s v="FALLA TABULADOR"/>
    <s v="Teclado cover, bateria y gomas "/>
    <x v="1"/>
    <n v="1"/>
    <m/>
    <x v="162"/>
    <n v="45"/>
    <n v="303.75"/>
    <n v="348.75"/>
    <d v="2026-02-19T00:00:00"/>
    <m/>
    <m/>
    <s v="POR ENTREGAR"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N947960"/>
    <s v="5CG1254MSB"/>
    <x v="9"/>
    <s v="NO"/>
    <s v="GOMA DE LA CARCASA ROTA"/>
    <s v="SUSTITUCION DE GOMAS"/>
    <x v="1"/>
    <n v="1"/>
    <m/>
    <x v="163"/>
    <n v="45"/>
    <n v="20"/>
    <n v="65"/>
    <d v="2025-12-02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0402"/>
    <s v="5CG3080SCV"/>
    <x v="15"/>
    <s v="SI"/>
    <s v="FALLA PUERTO USB-C"/>
    <s v="CAMBIO DE PLACA BASE POR GARANTÍA "/>
    <x v="1"/>
    <n v="1"/>
    <m/>
    <x v="164"/>
    <n v="45"/>
    <n v="0"/>
    <n v="45"/>
    <d v="2025-1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10820"/>
    <s v="5CG3131FJV"/>
    <x v="6"/>
    <s v="SI"/>
    <s v="FALLA TECLA Q Y W"/>
    <s v="COVER TECLADO ( GARANTÍA)"/>
    <x v="1"/>
    <n v="1"/>
    <m/>
    <x v="165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7274"/>
    <s v="5CG3131GZD"/>
    <x v="6"/>
    <s v="SI"/>
    <s v="AGARRE DE PANTALLA FLOJA Y CARCASA GOLPE"/>
    <s v="BATERIA ( GARANTÍA )/BISAGRAS "/>
    <x v="1"/>
    <n v="1"/>
    <m/>
    <x v="166"/>
    <n v="45"/>
    <n v="100"/>
    <n v="1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6900"/>
    <s v="5CG3131H15"/>
    <x v="6"/>
    <s v="SI"/>
    <s v="TECLA D DAÑADA"/>
    <s v="COVER TECLADO ( GARANTÍA)/COVER LCD NO PROCEDE GARANTÍA POR GOLPE"/>
    <x v="1"/>
    <n v="1"/>
    <m/>
    <x v="167"/>
    <n v="45"/>
    <n v="125"/>
    <n v="170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37614"/>
    <s v="5CG31334R7"/>
    <x v="15"/>
    <s v="SI"/>
    <s v="FALLA TOUCHPAD"/>
    <s v="Fallo touchpad"/>
    <x v="1"/>
    <n v="1"/>
    <s v="Pedir pieza"/>
    <x v="12"/>
    <n v="45"/>
    <n v="77"/>
    <n v="122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0-22T00:00:00"/>
    <m/>
    <s v="K040866"/>
    <s v="5CG34444HR"/>
    <x v="10"/>
    <s v="SI"/>
    <s v="SOBRECALENTAMIENTO"/>
    <s v="BATERIA"/>
    <x v="1"/>
    <n v="1"/>
    <m/>
    <x v="6"/>
    <n v="45"/>
    <n v="120"/>
    <n v="16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89044"/>
    <s v="5CG207359R"/>
    <x v="7"/>
    <s v="NO"/>
    <s v="TECLADO AVERIADO"/>
    <m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0967"/>
    <s v="5CG4321Y9L"/>
    <x v="10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5267"/>
    <s v="5CG4075531"/>
    <x v="10"/>
    <s v="SI"/>
    <s v="FALLO EN UNIDAD DE ALMACENAMIENT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8221"/>
    <s v="5CG1083MF6"/>
    <x v="18"/>
    <s v="NO"/>
    <s v="NO ENCIENDE"/>
    <s v="Equipo golpeado | Teclado con bisagras arrancadas/Placa dañada / Pantalla marcada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24007"/>
    <s v="5CG047279D"/>
    <x v="7"/>
    <s v="NO"/>
    <s v="TECLADO AVERIADO"/>
    <s v="COVER TECLADO"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110577"/>
    <s v="5CG04638D7"/>
    <x v="7"/>
    <s v="NO"/>
    <s v="FALLA CARGA USB"/>
    <m/>
    <x v="1"/>
    <n v="1"/>
    <m/>
    <x v="14"/>
    <n v="45"/>
    <n v="215"/>
    <n v="260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6179"/>
    <s v="5CG4081R3D"/>
    <x v="17"/>
    <s v="SI"/>
    <s v="REINICIOS CONSTANTES"/>
    <s v="ACTUALIZACION DE BIOS Y PASTA TERMICA,FUNCIONAMIENTO CORRECTO"/>
    <x v="1"/>
    <n v="1"/>
    <m/>
    <x v="124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0403"/>
    <s v="5CG1017PS9"/>
    <x v="7"/>
    <s v="NO"/>
    <s v="TECLADO AVERIADO"/>
    <m/>
    <x v="1"/>
    <n v="1"/>
    <m/>
    <x v="46"/>
    <n v="45"/>
    <n v="163.75"/>
    <n v="208.75"/>
    <d v="2025-1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3207"/>
    <s v="5CG3131DY7"/>
    <x v="6"/>
    <s v="SI"/>
    <s v="FALLO EN UNIDAD DE ALMACENAMIENTO"/>
    <s v="Bateria 70%"/>
    <x v="1"/>
    <n v="1"/>
    <m/>
    <x v="168"/>
    <n v="45"/>
    <n v="0"/>
    <n v="4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7117"/>
    <s v="5CG3131HF7"/>
    <x v="6"/>
    <s v="SI "/>
    <s v="REINICIOS CONSTANTES /PANTALLA AVERIADA"/>
    <m/>
    <x v="1"/>
    <n v="1"/>
    <m/>
    <x v="169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88394"/>
    <s v="5CG22036SF"/>
    <x v="9"/>
    <s v="NO "/>
    <s v="TECLADO AVERIADO"/>
    <m/>
    <x v="1"/>
    <n v="1"/>
    <m/>
    <x v="170"/>
    <n v="45"/>
    <n v="183.75"/>
    <n v="22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7284"/>
    <s v="5CG3131CX9"/>
    <x v="6"/>
    <s v="SI"/>
    <s v="TECLADO AVERIADO"/>
    <s v="Cambiar teclado"/>
    <x v="3"/>
    <n v="1"/>
    <s v="Pedir pieza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22396"/>
    <s v="5CG0517FYH"/>
    <x v="7"/>
    <s v="NO"/>
    <s v="DAÑO FISICO EN LA CARCASA (BISAGRA PLIEGUE)"/>
    <s v="COVER TECLADO"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6736"/>
    <s v="5CG3131DXN"/>
    <x v="6"/>
    <s v="SI "/>
    <s v="REINICIOS CONSTANTES"/>
    <m/>
    <x v="1"/>
    <n v="1"/>
    <m/>
    <x v="169"/>
    <n v="45"/>
    <n v="0"/>
    <n v="45"/>
    <d v="2026-02-19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22253"/>
    <s v="5CG0514GQY"/>
    <x v="7"/>
    <s v="NO"/>
    <s v="SOBRECALENTAMIENTO (FALLO EN EL SIS DE VENTILACIÓN)"/>
    <s v="TAPA TRASERA LCD"/>
    <x v="1"/>
    <n v="1"/>
    <m/>
    <x v="171"/>
    <n v="45"/>
    <n v="111.75"/>
    <n v="156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9947"/>
    <s v="5CG4250KTX"/>
    <x v="10"/>
    <s v="SI "/>
    <s v="REINICIOS CONSTANTES"/>
    <m/>
    <x v="1"/>
    <n v="1"/>
    <m/>
    <x v="169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40101"/>
    <s v="5CG3300WH9"/>
    <x v="6"/>
    <s v="SI"/>
    <s v="Reinicios. Sobrecalentamiento"/>
    <s v="SE ACTUALIZADO BIOS / SE HA MEJORADO SISTEMA DE REFRIGERACIÓN"/>
    <x v="1"/>
    <n v="1"/>
    <m/>
    <x v="172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10633"/>
    <s v="5CG3131DZ2"/>
    <x v="6"/>
    <s v="SI"/>
    <s v="Fallo de puertos"/>
    <s v="BATERIA ( GARANTIA )"/>
    <x v="1"/>
    <n v="1"/>
    <m/>
    <x v="173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36172"/>
    <s v="5CG3140V14"/>
    <x v="15"/>
    <s v="SI"/>
    <s v="Reinicios. Sobrecalentamiento"/>
    <s v="Pantalla dañada/ NO PROCEDE LA GARANTÍA POR ROTURA"/>
    <x v="1"/>
    <n v="1"/>
    <m/>
    <x v="174"/>
    <n v="45"/>
    <n v="320"/>
    <n v="365"/>
    <d v="2025-12-02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50539"/>
    <s v="5CG04637XS"/>
    <x v="7"/>
    <s v="NO"/>
    <s v="Reinicio + Carcasa"/>
    <s v="REPARACION DE PLACA BASE/COVER LCD"/>
    <x v="1"/>
    <n v="1"/>
    <s v="VOLVIO EL EQUIPO "/>
    <x v="175"/>
    <n v="45"/>
    <n v="326.75"/>
    <n v="371.75"/>
    <d v="2026-04-10T00:00:00"/>
    <m/>
    <s v="1/2025"/>
    <s v="BRAISIRIA"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K028173"/>
    <s v="5CG3021J7C"/>
    <x v="8"/>
    <s v="NO"/>
    <s v="PANTALLA AVERIADA"/>
    <m/>
    <x v="1"/>
    <n v="1"/>
    <s v="Pantalla reparada faltan gomas de tapa"/>
    <x v="176"/>
    <n v="45"/>
    <n v="270"/>
    <n v="31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33375"/>
    <s v="5CG12568QH"/>
    <x v="9"/>
    <s v="NO "/>
    <s v="REINICIOS CONSTANTES"/>
    <s v="PLACA BASE / GOMAS"/>
    <x v="1"/>
    <n v="1"/>
    <m/>
    <x v="177"/>
    <n v="45"/>
    <n v="235"/>
    <n v="28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1-14T00:00:00"/>
    <m/>
    <s v="N914474"/>
    <s v="5CG0514HVK"/>
    <x v="7"/>
    <s v="NO"/>
    <s v="PUERTO C AVERIADO"/>
    <s v="REPARACION DE PLACA BASE"/>
    <x v="1"/>
    <n v="1"/>
    <s v="PLACA BASE SE REPARO EL USB C EL OTRO PUERTO NO SE PUDO REPARAR , FUNCIONA CORRECTAMENTE CON UNO"/>
    <x v="14"/>
    <n v="45"/>
    <n v="215"/>
    <n v="260"/>
    <d v="2026-04-10T00:00:00"/>
    <m/>
    <m/>
    <s v="BRAISIRIA"/>
  </r>
  <r>
    <s v="Barcelona"/>
    <s v="Cristina Cano Gomez"/>
    <n v="682687160"/>
    <s v=" cristina.canogomez.ext@telefonica.com  "/>
    <s v="Gran Vía de les Corts Catalanes 159, planta 1. 08014"/>
    <d v="2025-11-19T00:00:00"/>
    <m/>
    <s v="K028021"/>
    <s v="5CG3020QVD"/>
    <x v="15"/>
    <s v="SI"/>
    <s v="REPARAR PUERTO USB-C DAÑADO"/>
    <s v="PLACA BASE POR GARANTÍA"/>
    <x v="1"/>
    <n v="1"/>
    <m/>
    <x v="164"/>
    <n v="45"/>
    <n v="0"/>
    <n v="45"/>
    <d v="2026-03-04T00:00:00"/>
    <m/>
    <m/>
    <m/>
  </r>
  <r>
    <s v="Barcelona"/>
    <s v="Cristina Cano Gomez"/>
    <n v="682687161"/>
    <s v=" cristina.canogomez.ext@telefonica.com  "/>
    <s v="Gran Vía de les Corts Catalanes 159, planta 1. 08015"/>
    <d v="2025-11-19T00:00:00"/>
    <m/>
    <s v="K037112"/>
    <s v="5CG3131G05"/>
    <x v="6"/>
    <s v="SI"/>
    <s v="TECLA A Y 1 A VECES NO FUNCIONAN"/>
    <m/>
    <x v="3"/>
    <n v="1"/>
    <m/>
    <x v="0"/>
    <n v="45"/>
    <m/>
    <n v="0"/>
    <m/>
    <m/>
    <m/>
    <m/>
  </r>
  <r>
    <s v="Barcelona"/>
    <s v="Cristina Cano Gomez"/>
    <n v="682687162"/>
    <s v=" cristina.canogomez.ext@telefonica.com  "/>
    <s v="Gran Vía de les Corts Catalanes 159, planta 1. 08016"/>
    <d v="2025-11-19T00:00:00"/>
    <m/>
    <s v="K103925"/>
    <s v="5CG5091T84"/>
    <x v="19"/>
    <s v="SI"/>
    <s v="SUENA TAPA INFERIOR"/>
    <m/>
    <x v="3"/>
    <n v="1"/>
    <m/>
    <x v="0"/>
    <n v="45"/>
    <m/>
    <n v="0"/>
    <m/>
    <m/>
    <m/>
    <m/>
  </r>
  <r>
    <s v="Barcelona"/>
    <s v="Cristina Cano Gomez"/>
    <n v="682687163"/>
    <s v=" cristina.canogomez.ext@telefonica.com  "/>
    <s v="Gran Vía de les Corts Catalanes 159, planta 1. 08017"/>
    <d v="2025-11-19T00:00:00"/>
    <m/>
    <s v="N923694"/>
    <s v="5CG047277C"/>
    <x v="7"/>
    <s v="NO"/>
    <s v="CARCASA INFERIOR ROTA"/>
    <m/>
    <x v="1"/>
    <n v="1"/>
    <m/>
    <x v="178"/>
    <n v="45"/>
    <n v="111.75"/>
    <n v="156.75"/>
    <d v="2025-12-19T00:00:00"/>
    <m/>
    <m/>
    <m/>
  </r>
  <r>
    <s v="Barcelona"/>
    <s v="Cristina Cano Gomez"/>
    <n v="682687164"/>
    <s v=" cristina.canogomez.ext@telefonica.com  "/>
    <s v="Gran Vía de les Corts Catalanes 159, planta 1. 08018"/>
    <d v="2025-11-19T00:00:00"/>
    <m/>
    <s v="N917699"/>
    <s v="5CG0515RB3"/>
    <x v="7"/>
    <s v="NO"/>
    <s v="TECLADO ROTO"/>
    <s v="COVER TECLADO"/>
    <x v="1"/>
    <n v="1"/>
    <m/>
    <x v="46"/>
    <n v="45"/>
    <n v="163.75"/>
    <n v="208.75"/>
    <d v="2025-12-19T00:00:00"/>
    <m/>
    <m/>
    <m/>
  </r>
  <r>
    <s v="Barcelona"/>
    <s v="Cristina Cano Gomez"/>
    <n v="682687165"/>
    <s v=" cristina.canogomez.ext@telefonica.com  "/>
    <s v="Gran Vía de les Corts Catalanes 159, planta 1. 08019"/>
    <d v="2025-11-19T00:00:00"/>
    <m/>
    <s v="N923899"/>
    <s v="5CG047273L"/>
    <x v="7"/>
    <s v="NO"/>
    <s v="TECLADO DUPLICA LETRAS"/>
    <m/>
    <x v="3"/>
    <n v="1"/>
    <m/>
    <x v="0"/>
    <n v="45"/>
    <m/>
    <n v="0"/>
    <m/>
    <m/>
    <m/>
    <m/>
  </r>
  <r>
    <s v="Barcelona"/>
    <s v="Cristina Cano Gomez"/>
    <n v="682687166"/>
    <s v=" cristina.canogomez.ext@telefonica.com  "/>
    <s v="Gran Vía de les Corts Catalanes 159, planta 1. 08020"/>
    <d v="2025-11-19T00:00:00"/>
    <m/>
    <s v="N922403"/>
    <s v="5CG0517J1W"/>
    <x v="7"/>
    <s v="NO"/>
    <s v="FALLA TECLADO"/>
    <m/>
    <x v="1"/>
    <n v="1"/>
    <m/>
    <x v="46"/>
    <n v="45"/>
    <n v="163.75"/>
    <n v="208.75"/>
    <d v="2025-12-19T00:00:00"/>
    <m/>
    <m/>
    <m/>
  </r>
  <r>
    <s v="Barcelona"/>
    <s v="Cristina Cano Gomez"/>
    <n v="682687167"/>
    <s v=" cristina.canogomez.ext@telefonica.com  "/>
    <s v="Gran Vía de les Corts Catalanes 159, planta 1. 08021"/>
    <d v="2025-11-19T00:00:00"/>
    <m/>
    <s v="N873716"/>
    <s v="5CG1017RNW"/>
    <x v="7"/>
    <s v="NO"/>
    <s v="FALLA ALTAVOCES, LENTITUD SISTEMA, TAPA DAÑADA EN LAS ESQUINAS"/>
    <s v="COVER TECLADO / COVER LCD / PANTALLA"/>
    <x v="1"/>
    <n v="1"/>
    <m/>
    <x v="179"/>
    <n v="45"/>
    <n v="435.4"/>
    <n v="480.4"/>
    <d v="2026-04-10T00:00:00"/>
    <m/>
    <m/>
    <m/>
  </r>
  <r>
    <s v="Barcelona"/>
    <s v="Cristina Cano Gomez"/>
    <n v="682687168"/>
    <s v=" cristina.canogomez.ext@telefonica.com  "/>
    <s v="Gran Vía de les Corts Catalanes 159, planta 1. 08022"/>
    <d v="2025-11-19T00:00:00"/>
    <m/>
    <s v="N922841"/>
    <s v="5CG0514GZ2"/>
    <x v="7"/>
    <s v="NO"/>
    <s v="FALLA TECLADO"/>
    <s v="USB C NO FUNCIONA CORRECTAMENTE, REPARACION DE PLACA BASE"/>
    <x v="1"/>
    <n v="1"/>
    <s v="REPARACION DE PLACA BASE"/>
    <x v="58"/>
    <n v="45"/>
    <n v="215"/>
    <n v="260"/>
    <d v="2025-12-02T00:00:00"/>
    <m/>
    <m/>
    <m/>
  </r>
  <r>
    <s v="Barcelona"/>
    <s v="Cristina Cano Gomez"/>
    <n v="682687169"/>
    <s v=" cristina.canogomez.ext@telefonica.com  "/>
    <s v="Gran Vía de les Corts Catalanes 159, planta 1. 08023"/>
    <d v="2025-11-19T00:00:00"/>
    <m/>
    <s v="N978095"/>
    <s v="5CG2201VGB"/>
    <x v="9"/>
    <s v="NO"/>
    <s v="PANTALLA ROTA"/>
    <s v="PANTALLA ROTA Y COVER TECLADO GOLPEADO"/>
    <x v="1"/>
    <n v="1"/>
    <s v="SE SUSTITUYE COVER PANTALLA Y COVER TECLADO "/>
    <x v="126"/>
    <n v="45"/>
    <n v="483.75"/>
    <n v="528.75"/>
    <d v="2025-12-02T00:00:00"/>
    <m/>
    <s v="1/2025"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41"/>
    <s v="5CG0514H0V"/>
    <x v="7"/>
    <s v="NO"/>
    <s v="TECLA CONTROL ROTA"/>
    <s v="COVER LCD"/>
    <x v="1"/>
    <n v="1"/>
    <m/>
    <x v="180"/>
    <n v="45"/>
    <n v="111.75"/>
    <n v="156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103956"/>
    <s v="5CG5091T00"/>
    <x v="19"/>
    <s v="SI"/>
    <s v="PANTALLA ROT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53936"/>
    <s v="5CG1281Q4W"/>
    <x v="9"/>
    <s v="NO"/>
    <s v="ABOLLADURA LATERAL NO PLATAFORMA"/>
    <s v="COVER PANTALLA"/>
    <x v="1"/>
    <n v="1"/>
    <m/>
    <x v="64"/>
    <n v="45"/>
    <n v="320"/>
    <n v="365"/>
    <d v="2026-02-19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06038"/>
    <s v="CND24001N0"/>
    <x v="21"/>
    <s v="SI"/>
    <s v="TECLAS SUELTAS"/>
    <s v="SUSTITUCION DE TECLADO / NO PASA GARANTÍA "/>
    <x v="1"/>
    <n v="1"/>
    <s v="SUSTITUYE TECLADO Y NO PROCEDE LA GARANTÍA POR ROTURA"/>
    <x v="46"/>
    <n v="45"/>
    <n v="120"/>
    <n v="165"/>
    <d v="2025-12-02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06032"/>
    <s v="CND24001MZ"/>
    <x v="21"/>
    <s v="SI"/>
    <s v="TECLAS SUELTAS"/>
    <s v="SUSTITUCION DE TECLADO / NO PASA GARANTÍA "/>
    <x v="1"/>
    <n v="1"/>
    <s v="SUSTITUYE TECLADO Y NO PROCEDE LA GARANTÍA POR ROTURA"/>
    <x v="46"/>
    <n v="45"/>
    <n v="120"/>
    <n v="165"/>
    <d v="2025-12-02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871739"/>
    <s v="5CG1095F52"/>
    <x v="11"/>
    <s v="NO"/>
    <s v="FALLO DISCO DURO Y FALLO TARJETA WIFI"/>
    <s v="Revisado wifi ok / disco duro cambiado"/>
    <x v="1"/>
    <n v="1"/>
    <m/>
    <x v="36"/>
    <n v="45"/>
    <n v="220"/>
    <n v="265"/>
    <d v="2025-12-02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7525"/>
    <s v="5CG0517DQL"/>
    <x v="7"/>
    <s v="NO"/>
    <s v="AGUA VERTIDA EN LA PANTALLA"/>
    <s v="Reparar placa"/>
    <x v="3"/>
    <n v="1"/>
    <m/>
    <x v="0"/>
    <n v="45"/>
    <m/>
    <n v="0"/>
    <m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 Las Rozas, Madrid"/>
    <d v="2025-11-20T00:00:00"/>
    <m/>
    <s v="N917984"/>
    <s v="5CG0514HHQ"/>
    <x v="7"/>
    <s v="NO"/>
    <s v="SOBRECALENTAMIENTO HASTA APAGARSE CONTINUO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73"/>
    <s v="5CG0517FMM"/>
    <x v="7"/>
    <s v="NO"/>
    <s v="NO RECONOCE DISCO DURO FALLA HDD"/>
    <s v="REPARACION DE PLACA BASE/DISCO DURO/BATERIA/TECLADO COVER"/>
    <x v="1"/>
    <n v="1"/>
    <m/>
    <x v="181"/>
    <n v="45"/>
    <n v="613.75"/>
    <n v="658.75"/>
    <d v="2026-04-10T00:00:00"/>
    <m/>
    <m/>
    <s v="BRAISIRIA"/>
  </r>
  <r>
    <s v="Madrid"/>
    <s v="Carmen Rodríguez Lage"/>
    <s v="616866669 "/>
    <s v="mariacarmen.rodriguezlage.ext@telefonica.com"/>
    <s v="C/ Gabriel García Márquez 1, 28232  Las Rozas, Madrid"/>
    <d v="2025-11-20T00:00:00"/>
    <m/>
    <s v="N923677"/>
    <s v="5CG04727F4"/>
    <x v="7"/>
    <s v="NO"/>
    <s v="TECLA I ROTA TECLADO"/>
    <s v="Reparado tecla + gomas"/>
    <x v="1"/>
    <n v="1"/>
    <m/>
    <x v="97"/>
    <n v="45"/>
    <n v="183.75"/>
    <n v="228.75"/>
    <d v="2026-01-16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6301"/>
    <s v="5CG10158NH"/>
    <x v="11"/>
    <s v="NO"/>
    <s v="PANTALLA ROTA Y BATERIA DAÑADA"/>
    <s v="COVER PANTALLA /TAPA TRASERA"/>
    <x v="1"/>
    <n v="1"/>
    <m/>
    <x v="182"/>
    <n v="45"/>
    <n v="431.75"/>
    <n v="476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0412"/>
    <s v="5CG1012Q1L"/>
    <x v="11"/>
    <s v="NO"/>
    <s v="CONEXIÓN USB-C CON HOLGURA"/>
    <s v="REPARACION DE PLACA BASE /BATERIA"/>
    <x v="1"/>
    <n v="1"/>
    <m/>
    <x v="183"/>
    <n v="45"/>
    <n v="335"/>
    <n v="380"/>
    <d v="2026-04-10T00:00:00"/>
    <m/>
    <m/>
    <s v="BRAISIRIA"/>
  </r>
  <r>
    <s v="Madrid"/>
    <s v="Carmen Rodríguez Lage"/>
    <s v="616866669 "/>
    <s v="mariacarmen.rodriguezlage.ext@telefonica.com"/>
    <s v="C/ Gabriel García Márquez 1, 28232  Las Rozas, Madrid"/>
    <d v="2025-11-20T00:00:00"/>
    <m/>
    <s v="N922787"/>
    <s v="5CG0514H0W"/>
    <x v="7"/>
    <s v="NO"/>
    <s v="TECLA &quot;O&quot; SUELTA"/>
    <m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31"/>
    <s v="5CG0514GCN"/>
    <x v="7"/>
    <s v="NO"/>
    <s v="GOLPE ESQUINA Y TAPA INFERIOR ABOLLADA"/>
    <m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81986"/>
    <s v="5CG2312BPM"/>
    <x v="8"/>
    <s v="NO"/>
    <s v="PANTALLA ABIERTA"/>
    <s v="Tornillo tapa sueltos"/>
    <x v="1"/>
    <n v="1"/>
    <m/>
    <x v="32"/>
    <n v="45"/>
    <n v="160"/>
    <n v="205"/>
    <d v="2026-01-16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28129"/>
    <s v="5CG3021J6S"/>
    <x v="8"/>
    <s v="NO"/>
    <s v="NO ENCIENDE, PANTALLA ROTA"/>
    <m/>
    <x v="3"/>
    <n v="1"/>
    <m/>
    <x v="0"/>
    <n v="45"/>
    <m/>
    <n v="0"/>
    <m/>
    <m/>
    <m/>
    <s v="13/01/2026 SE LLE  BRASIRIA REPARACION DE PLACA BASE"/>
  </r>
  <r>
    <s v="Madrid"/>
    <s v="Carmen Rodríguez Lage"/>
    <s v="616866669 "/>
    <s v="mariacarmen.rodriguezlage.ext@telefonica.com"/>
    <s v="C/ Gabriel García Márquez 1, 28232  Las Rozas, Madrid"/>
    <d v="2025-11-20T00:00:00"/>
    <m/>
    <s v="N982004"/>
    <s v="5CG2312BNR"/>
    <x v="8"/>
    <s v="NO"/>
    <s v="PANTALLA ROTA"/>
    <s v="SCAMBIO DE PANTALLA / FLESH DE VIDEO"/>
    <x v="1"/>
    <n v="1"/>
    <m/>
    <x v="184"/>
    <n v="45"/>
    <n v="275"/>
    <n v="320"/>
    <d v="2026-01-16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2840"/>
    <s v="5CG0514GS9"/>
    <x v="7"/>
    <s v="NO"/>
    <s v="ROTURA EMBELLECEDOR VISAGRA"/>
    <m/>
    <x v="1"/>
    <n v="1"/>
    <m/>
    <x v="46"/>
    <n v="45"/>
    <n v="163.75"/>
    <n v="208.75"/>
    <d v="2026-03-04T00:00:00"/>
    <m/>
    <m/>
    <s v="POR ENTREGAR"/>
  </r>
  <r>
    <s v="Madrid"/>
    <s v="Carmen Rodríguez Lage"/>
    <s v="616866669 "/>
    <s v="mariacarmen.rodriguezlage.ext@telefonica.com"/>
    <s v="C/ Gabriel García Márquez 1, 28232  Las Rozas, Madrid"/>
    <d v="2025-11-20T00:00:00"/>
    <m/>
    <s v="N916774"/>
    <s v="5CG0517GDW"/>
    <x v="7"/>
    <s v="NO"/>
    <s v="TOUCHPAD ROTO"/>
    <m/>
    <x v="1"/>
    <n v="1"/>
    <m/>
    <x v="185"/>
    <n v="45"/>
    <n v="280"/>
    <n v="325"/>
    <d v="2026-02-19T00:00:00"/>
    <s v="X"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53469"/>
    <s v="5CG0514G42"/>
    <x v="7"/>
    <s v="NO"/>
    <s v="FALLA TECLADO NO PUEDES ESCRIBIR"/>
    <s v="COVER TECLADO"/>
    <x v="1"/>
    <n v="1"/>
    <m/>
    <x v="46"/>
    <n v="45"/>
    <n v="163.75"/>
    <n v="208.75"/>
    <d v="2026-02-19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112578"/>
    <s v="5CG0517H6V"/>
    <x v="7"/>
    <s v="NO"/>
    <s v="NO ENCIENDE, ARRANCA, PERO NO MUESTRA NAD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8564"/>
    <s v="5CG0517FPC"/>
    <x v="7"/>
    <s v="NO"/>
    <s v="TECLAS SUELTAS"/>
    <s v="PLACA BASE/DISCO DURO /TECLADO COVER ( FALTA)"/>
    <x v="3"/>
    <n v="1"/>
    <m/>
    <x v="186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16972"/>
    <s v="5CG0517GY9"/>
    <x v="7"/>
    <s v="NO"/>
    <s v="NO PASA DE LA PANTALLA DE BIOS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97070"/>
    <s v="5CG1511BF0"/>
    <x v="9"/>
    <s v="NO"/>
    <s v="FALLO CARGA BATERIA"/>
    <m/>
    <x v="1"/>
    <n v="1"/>
    <m/>
    <x v="6"/>
    <n v="45"/>
    <n v="120"/>
    <n v="165"/>
    <d v="2026-01-16T00:00:00"/>
    <m/>
    <m/>
    <s v="04/03/2026 SE VUELVE A ENVIAR"/>
  </r>
  <r>
    <s v="Madrid"/>
    <s v="Carmen Rodríguez Lage"/>
    <s v="616866669 "/>
    <s v="mariacarmen.rodriguezlage.ext@telefonica.com"/>
    <s v="C/ Gabriel García Márquez 1, 28232  Las Rozas, Madrid"/>
    <d v="2025-11-20T00:00:00"/>
    <m/>
    <s v="N943601"/>
    <s v="5CG127C32X"/>
    <x v="9"/>
    <s v="NO"/>
    <s v="HOLGURA PUERTOS USB-C"/>
    <s v="PLACA BASE"/>
    <x v="1"/>
    <n v="1"/>
    <m/>
    <x v="14"/>
    <n v="45"/>
    <n v="215"/>
    <n v="260"/>
    <d v="2026-01-16T00:00:00"/>
    <m/>
    <m/>
    <s v="POR ENTREGAR/BRAISIRIA"/>
  </r>
  <r>
    <s v="Madrid"/>
    <s v="Carmen Rodríguez Lage"/>
    <s v="616866669 "/>
    <s v="mariacarmen.rodriguezlage.ext@telefonica.com"/>
    <s v="C/ Gabriel García Márquez 1, 28232  Las Rozas, Madrid"/>
    <d v="2025-11-20T00:00:00"/>
    <m/>
    <s v="N874451"/>
    <s v="5CG046386W"/>
    <x v="7"/>
    <s v="NO"/>
    <s v="FALLO GENERALIZADO DE TECLADO"/>
    <m/>
    <x v="1"/>
    <n v="1"/>
    <m/>
    <x v="187"/>
    <n v="45"/>
    <n v="283.75"/>
    <n v="328.75"/>
    <d v="2026-02-19T00:00:00"/>
    <s v="X"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N923676"/>
    <s v="5CG047275V"/>
    <x v="7"/>
    <s v="NO"/>
    <s v="FALTAN TECLAS"/>
    <m/>
    <x v="1"/>
    <n v="1"/>
    <m/>
    <x v="46"/>
    <n v="45"/>
    <n v="163.75"/>
    <n v="208.75"/>
    <d v="2026-02-19T00:00:00"/>
    <m/>
    <m/>
    <m/>
  </r>
  <r>
    <s v="Madrid"/>
    <s v="Carmen Rodríguez Lage"/>
    <s v="616866669 "/>
    <s v="mariacarmen.rodriguezlage.ext@telefonica.com"/>
    <s v="C/ Gabriel García Márquez 1, 28232  Las Rozas, Madrid"/>
    <d v="2025-11-20T00:00:00"/>
    <m/>
    <s v="K040074"/>
    <s v="5CG3300WLP"/>
    <x v="6"/>
    <s v="SI"/>
    <s v="TECLADO NO FUNCIONA"/>
    <s v="COVER TECLADO(GARANTÍA)"/>
    <x v="1"/>
    <n v="1"/>
    <m/>
    <x v="188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30291"/>
    <s v="5CG1083P19"/>
    <x v="11"/>
    <s v="NO "/>
    <s v="PLACA BASE"/>
    <m/>
    <x v="1"/>
    <n v="1"/>
    <m/>
    <x v="14"/>
    <n v="45"/>
    <n v="215"/>
    <n v="26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873786"/>
    <s v="5CG1017Q75"/>
    <x v="7"/>
    <s v="NO"/>
    <s v="TECLADO AVERIADO"/>
    <m/>
    <x v="1"/>
    <n v="1"/>
    <m/>
    <x v="46"/>
    <n v="45"/>
    <n v="163.75"/>
    <n v="208.7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117"/>
    <s v="5CG2073LFK"/>
    <x v="8"/>
    <s v="NO"/>
    <s v="TECLADO AVERI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18874"/>
    <s v="5CG0517FCQ"/>
    <x v="7"/>
    <s v="NO"/>
    <s v="NO INICIA"/>
    <m/>
    <x v="3"/>
    <n v="1"/>
    <m/>
    <x v="0"/>
    <n v="45"/>
    <m/>
    <n v="0"/>
    <m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45396"/>
    <s v="5CG40753RD"/>
    <x v="10"/>
    <s v="SI"/>
    <s v="TECLADO AVERIADO (H/W)FALLO"/>
    <m/>
    <x v="1"/>
    <n v="1"/>
    <m/>
    <x v="165"/>
    <n v="45"/>
    <n v="0"/>
    <n v="45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7282"/>
    <s v="5CG3131FRT"/>
    <x v="6"/>
    <s v="SI "/>
    <s v="REINICIOS AUTOMATICOS"/>
    <m/>
    <x v="1"/>
    <n v="1"/>
    <m/>
    <x v="189"/>
    <n v="45"/>
    <n v="115"/>
    <n v="160"/>
    <d v="2026-02-19T00:00:00"/>
    <m/>
    <m/>
    <s v="REPARADO 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10908"/>
    <s v="5CG3131CY1"/>
    <x v="6"/>
    <s v="SI "/>
    <s v="PANTALLA AVERIADA"/>
    <m/>
    <x v="1"/>
    <n v="1"/>
    <m/>
    <x v="190"/>
    <n v="45"/>
    <n v="160"/>
    <n v="205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873840"/>
    <s v="5CG1017MY0"/>
    <x v="7"/>
    <s v="NO"/>
    <s v="PANTALLA AVERIADA"/>
    <m/>
    <x v="1"/>
    <n v="1"/>
    <m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16918"/>
    <s v="5CG0517GFW"/>
    <x v="7"/>
    <s v="NO"/>
    <s v="NO FUNCIONA CAMARA/LECTOR DE HUELLAS"/>
    <m/>
    <x v="1"/>
    <n v="1"/>
    <m/>
    <x v="191"/>
    <n v="45"/>
    <n v="190"/>
    <n v="235"/>
    <d v="2025-1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23984"/>
    <s v="5CG04727B9"/>
    <x v="7"/>
    <s v="NO"/>
    <s v="TECLADO AVERIADO"/>
    <s v="Cambiar teclado"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108"/>
    <s v="5CG2073KKL"/>
    <x v="8"/>
    <s v="NO "/>
    <s v="TECLADO AVERIADO"/>
    <m/>
    <x v="1"/>
    <n v="1"/>
    <m/>
    <x v="192"/>
    <n v="45"/>
    <n v="393.75"/>
    <n v="43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202"/>
    <s v="5CG2073L58"/>
    <x v="8"/>
    <s v="NO "/>
    <s v="FALLO EN EL SISTEMA DE REFRIGERACIÓN (SE SOBRE CALIENTA)"/>
    <s v="PLACA BASE / GOMAS/ Bateria / Fan"/>
    <x v="1"/>
    <n v="1"/>
    <m/>
    <x v="193"/>
    <n v="45"/>
    <n v="455"/>
    <n v="500"/>
    <d v="2026-02-19T00:00:00"/>
    <m/>
    <m/>
    <s v="13/01/2026 SE LLE  BRASIRIA REPARACION DE PLACA BASE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30337"/>
    <s v="5CG1083N45"/>
    <x v="11"/>
    <s v="NO "/>
    <s v="NO FUNCIONA TACTIL, DESPERFECTO ESTETICO EN EL CHASIS"/>
    <s v="COVER TECLADO /GOMAS"/>
    <x v="1"/>
    <n v="1"/>
    <m/>
    <x v="194"/>
    <n v="45"/>
    <n v="183.75"/>
    <n v="22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23629"/>
    <s v="5CG047275K"/>
    <x v="7"/>
    <s v="NO"/>
    <s v="TECLADO AVERIADO"/>
    <s v="PANTALLA/TOUCHPAD /BATERIA"/>
    <x v="1"/>
    <n v="1"/>
    <m/>
    <x v="195"/>
    <n v="45"/>
    <n v="632.5"/>
    <n v="677.5"/>
    <d v="2026-03-04T00:00:00"/>
    <m/>
    <m/>
    <s v="POR ENTREGAR"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40098"/>
    <s v="5CG3300WNS"/>
    <x v="6"/>
    <s v="SI "/>
    <s v="TECLADO AVERIADO (G,R,_´)"/>
    <m/>
    <x v="1"/>
    <n v="1"/>
    <m/>
    <x v="196"/>
    <n v="45"/>
    <n v="163.75"/>
    <n v="20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7213"/>
    <s v="5CG3131GYZ"/>
    <x v="6"/>
    <s v="SI"/>
    <s v="PANTALLA AVERIADA"/>
    <m/>
    <x v="1"/>
    <n v="1"/>
    <m/>
    <x v="32"/>
    <n v="45"/>
    <n v="160"/>
    <n v="20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N989151"/>
    <s v="5CG2073KKP"/>
    <x v="8"/>
    <s v="NO"/>
    <s v="FALLA PUERTOS USB"/>
    <s v="REPACION DE PLACA BASE / COVER TECLADO ( FALTA)"/>
    <x v="3"/>
    <n v="1"/>
    <m/>
    <x v="197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6732"/>
    <s v="5CG3131DRP"/>
    <x v="6"/>
    <s v="SI "/>
    <s v="TECLADO AVERIADO"/>
    <m/>
    <x v="1"/>
    <n v="1"/>
    <m/>
    <x v="198"/>
    <n v="45"/>
    <n v="0"/>
    <n v="4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02T00:00:00"/>
    <m/>
    <s v="K038287"/>
    <s v="5CG3300WK7"/>
    <x v="6"/>
    <s v="SI "/>
    <s v="TECLADO AVERIADO "/>
    <m/>
    <x v="1"/>
    <n v="1"/>
    <m/>
    <x v="199"/>
    <n v="45"/>
    <n v="0"/>
    <n v="4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14347"/>
    <s v="5CG0514FSC"/>
    <x v="7"/>
    <s v="NO"/>
    <s v="DAÑO CARCASA/PANTALLA ROTA"/>
    <s v="COVER TECLADO / GOMAS TRASERAS"/>
    <x v="1"/>
    <n v="1"/>
    <m/>
    <x v="200"/>
    <n v="45"/>
    <n v="183.75"/>
    <n v="22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113956"/>
    <s v="5CG0514HT2"/>
    <x v="7"/>
    <s v="NO"/>
    <s v="NO ENCIENDE LA PANTALLA, PERO SI PROYECTA"/>
    <s v="Fallo conector,solucionado"/>
    <x v="1"/>
    <n v="1"/>
    <m/>
    <x v="135"/>
    <n v="45"/>
    <n v="215"/>
    <n v="260"/>
    <d v="2026-03-04T00:00:00"/>
    <m/>
    <m/>
    <s v="reparacion placa base"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873583"/>
    <s v="5CG1017RNB"/>
    <x v="7"/>
    <s v="NO"/>
    <s v="PANTALLA ROTA  /COVER TECLADO /MARCO LCD              .                  "/>
    <s v="COVER TECLADO / GOMAS"/>
    <x v="1"/>
    <n v="1"/>
    <m/>
    <x v="97"/>
    <n v="45"/>
    <n v="183.75"/>
    <n v="228.7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42317"/>
    <s v="5CG2119HJF"/>
    <x v="11"/>
    <s v="NO"/>
    <s v="APAGADOS CONTINUOS"/>
    <m/>
    <x v="1"/>
    <n v="1"/>
    <m/>
    <x v="122"/>
    <n v="45"/>
    <n v="215"/>
    <n v="260"/>
    <d v="2026-01-16T00:00:00"/>
    <s v="     "/>
    <m/>
    <s v="POR ENTREGAR / BRAISIRIA"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873767"/>
    <s v="5CG1017QLY"/>
    <x v="22"/>
    <s v="NO"/>
    <s v="FALLA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45708"/>
    <s v="5CG1254S2C"/>
    <x v="9"/>
    <s v="NO"/>
    <s v="FUERA DE PLATAFORMA/NO FUNCIONA TECLADO/COVER DAÑADA"/>
    <s v="EL TECLADO FUNCIONA CORRECTAMEMTE, SE DEBE CAMBIAR GOMAS"/>
    <x v="1"/>
    <n v="1"/>
    <m/>
    <x v="163"/>
    <n v="45"/>
    <n v="20"/>
    <n v="6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57598"/>
    <s v="5CG4181C0F"/>
    <x v="10"/>
    <s v="NO"/>
    <s v="FALLA TOUCHPAD"/>
    <m/>
    <x v="1"/>
    <n v="1"/>
    <m/>
    <x v="201"/>
    <n v="45"/>
    <n v="0"/>
    <n v="4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3960"/>
    <s v="5CG04727J7"/>
    <x v="23"/>
    <s v="NO"/>
    <s v="BATERIA HINCHADA"/>
    <s v="Bateria + cover trasero"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14040"/>
    <s v="5CG0514JXN"/>
    <x v="22"/>
    <s v="NO"/>
    <s v="COVER DAÑADO"/>
    <s v="COVER TECLADO"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47567"/>
    <s v="5CG1257XDJ"/>
    <x v="9"/>
    <s v="NO"/>
    <s v="COVER DAÑADO"/>
    <s v="COVER PANTALLA /GOMAS"/>
    <x v="1"/>
    <n v="1"/>
    <m/>
    <x v="202"/>
    <n v="45"/>
    <n v="340"/>
    <n v="38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112606"/>
    <s v="5CG1257X4P"/>
    <x v="9"/>
    <s v="NO"/>
    <s v="NO ARRANCA WINDOWS DESPUES DE MAQUETAR/COVER DAÑADA"/>
    <m/>
    <x v="1"/>
    <n v="1"/>
    <m/>
    <x v="97"/>
    <n v="45"/>
    <n v="183.75"/>
    <n v="228.7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10562"/>
    <s v="5CG3131F7T"/>
    <x v="6"/>
    <s v="NO"/>
    <s v="TECLA A ROTA"/>
    <s v="COVER TECLADO "/>
    <x v="3"/>
    <n v="1"/>
    <m/>
    <x v="145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113561"/>
    <s v="5CG0517FNY"/>
    <x v="7"/>
    <s v="NO"/>
    <s v="TECLA E ROTA/COVER DAÑADO"/>
    <m/>
    <x v="1"/>
    <n v="1"/>
    <m/>
    <x v="147"/>
    <n v="45"/>
    <n v="275.5"/>
    <n v="320.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9956"/>
    <s v="5CG10790HF"/>
    <x v="11"/>
    <s v="NO"/>
    <s v="PANTALLA ROTA/COVER DAÑADA"/>
    <s v="COVER PANTALLA/COVER TECLADO/TAPA TRASERA"/>
    <x v="1"/>
    <n v="1"/>
    <m/>
    <x v="203"/>
    <n v="45"/>
    <n v="595.5"/>
    <n v="640.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2412"/>
    <s v="5CG0517HYT"/>
    <x v="22"/>
    <s v="NO"/>
    <s v="COVER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14238"/>
    <s v="5CG0515T65"/>
    <x v="7"/>
    <s v="NO"/>
    <s v="APAGADOS CONTINUOS"/>
    <m/>
    <x v="1"/>
    <n v="1"/>
    <m/>
    <x v="14"/>
    <n v="45"/>
    <n v="215"/>
    <n v="260"/>
    <d v="2026-01-16T00:00:00"/>
    <s v="Reparacion de placa base"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57230"/>
    <s v="5CG4194B6F"/>
    <x v="22"/>
    <s v="NO"/>
    <s v="PANTALLA ROTA"/>
    <m/>
    <x v="1"/>
    <n v="1"/>
    <m/>
    <x v="32"/>
    <n v="45"/>
    <n v="160"/>
    <n v="205"/>
    <d v="2026-01-16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32988"/>
    <s v="5CG1255V1N"/>
    <x v="9"/>
    <s v="NO"/>
    <s v="FALLA TECLADO PORQUE LE HA CAIDO CAFE/ COVER DAÑADA"/>
    <s v="PLACA BASE /GOMAS"/>
    <x v="1"/>
    <n v="1"/>
    <m/>
    <x v="92"/>
    <n v="45"/>
    <n v="235"/>
    <n v="280"/>
    <d v="2026-02-19T00:00:00"/>
    <m/>
    <m/>
    <s v="13/01/2026 SE LLE  BRASIRIA 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56931"/>
    <s v="5CG42348NY"/>
    <x v="17"/>
    <s v="SI"/>
    <s v="FALTA TECLA L"/>
    <s v="COVER TECLADO SE SUSTITUYE SIN LA GARANTÍA POR ROTURA"/>
    <x v="1"/>
    <n v="1"/>
    <m/>
    <x v="204"/>
    <n v="45"/>
    <n v="163.75"/>
    <n v="208.7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K045075"/>
    <s v="5CG40753YW"/>
    <x v="10"/>
    <s v="SI"/>
    <s v="ERROR DISCODURO"/>
    <m/>
    <x v="1"/>
    <n v="1"/>
    <m/>
    <x v="205"/>
    <n v="45"/>
    <n v="0"/>
    <n v="45"/>
    <d v="2026-02-19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m/>
    <s v="N929992"/>
    <s v="5CG10792LJ"/>
    <x v="18"/>
    <s v="NO"/>
    <s v="SOBRECALENTAMIENTO/FALLO BATERIA/COVER GOLPE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03T00:00:00"/>
    <s v="                          "/>
    <s v="N917792"/>
    <s v="5CG0515TTJ"/>
    <x v="8"/>
    <s v="NO"/>
    <s v="APAGADOS CONTINUOS/SOBRECALENTAMIENTO/NO MAQUETA"/>
    <m/>
    <x v="1"/>
    <n v="1"/>
    <m/>
    <x v="14"/>
    <n v="45"/>
    <n v="215"/>
    <n v="260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44954"/>
    <s v="5CG4075CQQ"/>
    <x v="10"/>
    <s v="SI"/>
    <s v="PANTALLA ROTA"/>
    <s v="CAMBIAR PANTALLA "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922855"/>
    <s v="5CG10189NB"/>
    <x v="11"/>
    <s v="NO"/>
    <s v="NO FUNCIONA CAMAR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36780"/>
    <s v="5CG3131D1B"/>
    <x v="6"/>
    <s v="SI"/>
    <s v="PAD HUNDIDO"/>
    <s v="Desmontado y todo ok"/>
    <x v="1"/>
    <n v="1"/>
    <s v="NO PROCEDE LA GARANTIA EL TOUCHPAD ESTA ROTO FISICO "/>
    <x v="12"/>
    <n v="45"/>
    <n v="77"/>
    <n v="122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843155"/>
    <s v="5CG1027R4Y"/>
    <x v="7"/>
    <s v="NO"/>
    <s v="TECLADO ROTO, CARCASA ESQUINAS ROTA, BITLOCKER"/>
    <m/>
    <x v="1"/>
    <n v="1"/>
    <m/>
    <x v="46"/>
    <n v="45"/>
    <n v="163.75"/>
    <n v="208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51019"/>
    <s v="5CG4321Y5P"/>
    <x v="10"/>
    <s v="SI"/>
    <s v="FALLA BATERIA"/>
    <s v="ESTADO DE BATERIA 97 % , VERIFICACION DE CARGA EN BUEN ESTADO "/>
    <x v="1"/>
    <n v="1"/>
    <s v="SI PROCEDE LA GARANTÍA"/>
    <x v="6"/>
    <n v="45"/>
    <n v="0"/>
    <n v="4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110578"/>
    <s v="5CG12543YQ"/>
    <x v="9"/>
    <s v="NO"/>
    <s v="TIENE DOBLE TECLA M"/>
    <s v="Reponer tecla"/>
    <x v="1"/>
    <n v="1"/>
    <s v="Se pone tecla que falta de repuestos"/>
    <x v="46"/>
    <n v="45"/>
    <n v="163.75"/>
    <n v="208.75"/>
    <d v="2025-12-19T00:00:00"/>
    <m/>
    <s v="1/2025"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922414"/>
    <s v="5CG0517HND"/>
    <x v="7"/>
    <s v="NO"/>
    <s v="FALLA BATERIA"/>
    <s v="Bateria 82%"/>
    <x v="1"/>
    <n v="1"/>
    <m/>
    <x v="6"/>
    <n v="45"/>
    <n v="120"/>
    <n v="16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43204"/>
    <s v="5CG2073KRJ"/>
    <x v="8"/>
    <s v="NO"/>
    <s v="PUERTOS USB-C FLOJOS, SE DESCONECTA"/>
    <m/>
    <x v="1"/>
    <n v="1"/>
    <m/>
    <x v="14"/>
    <n v="45"/>
    <n v="215"/>
    <n v="260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40028"/>
    <s v="5CG3300WP0"/>
    <x v="6"/>
    <s v="SI"/>
    <s v="NO FUNCIONA TECLADO, DUPLICA TECLAS"/>
    <s v="COVER TECLADO "/>
    <x v="3"/>
    <n v="1"/>
    <m/>
    <x v="206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873579"/>
    <s v="5CG1017RFW"/>
    <x v="7"/>
    <s v="NO"/>
    <s v="CARCASA INFERIOR DAÑADA GOLPES"/>
    <s v="Cambiada"/>
    <x v="1"/>
    <n v="1"/>
    <s v="Se le cambio la caracasa inferior "/>
    <x v="207"/>
    <n v="45"/>
    <n v="111.75"/>
    <n v="156.75"/>
    <d v="2026-01-16T00:00:00"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K010921"/>
    <s v="5CG3131CVX"/>
    <x v="6"/>
    <s v="SI"/>
    <s v="FALLA BATERIA, PUERTOS USB-C FALLAN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5-12-08T00:00:00"/>
    <m/>
    <s v="N926076"/>
    <s v="5CG1011HPG"/>
    <x v="11"/>
    <s v="NO"/>
    <s v="LIGAS TAPA INFERIOR, NO FUNCIONAN PUERT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45304"/>
    <s v="5CG4075492"/>
    <x v="10"/>
    <s v="NO"/>
    <s v="Bateria Hinchada"/>
    <s v="Bateria ok / Equipo golpeado bateria fuera de sitio / Cover teclado y tapa trasera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22358"/>
    <s v="5CG0517GFJ"/>
    <x v="7"/>
    <s v="NO"/>
    <s v="Fallo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89179"/>
    <s v="5CG2073L44"/>
    <x v="8"/>
    <s v="NO"/>
    <s v="Fallo HD"/>
    <m/>
    <x v="1"/>
    <n v="1"/>
    <m/>
    <x v="7"/>
    <n v="45"/>
    <n v="115"/>
    <n v="160"/>
    <d v="2026-03-04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875646"/>
    <s v="5CG1095DLY"/>
    <x v="11"/>
    <s v="NO"/>
    <s v="Fallo Boton Encendi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874146"/>
    <s v="5CG046376Z"/>
    <x v="7"/>
    <s v="NO"/>
    <s v="Teclas saltadas\Gomas de Base"/>
    <s v="Cambio cover teclado + gomas"/>
    <x v="1"/>
    <n v="1"/>
    <m/>
    <x v="208"/>
    <n v="45"/>
    <n v="173.75"/>
    <n v="21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22086"/>
    <s v="5CG0515RYR"/>
    <x v="7"/>
    <s v="NO"/>
    <s v="Teclas saltadas"/>
    <s v="Cambio cover teclado"/>
    <x v="1"/>
    <n v="1"/>
    <m/>
    <x v="46"/>
    <n v="45"/>
    <n v="163.75"/>
    <n v="208.7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104311"/>
    <s v="5CG5091T0F"/>
    <x v="19"/>
    <s v="SI"/>
    <s v="Fallo HD"/>
    <s v="cambio cover teclado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10813"/>
    <s v="5CG3131FSY"/>
    <x v="6"/>
    <s v="SI"/>
    <s v="No funciona Q,A,Z"/>
    <s v="Teclado garantia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40035"/>
    <s v="5CG3300WJX"/>
    <x v="6"/>
    <s v="SI"/>
    <s v="Falla 5, 6"/>
    <s v="COVER TECLADO (GARANTÍA)"/>
    <x v="3"/>
    <n v="1"/>
    <m/>
    <x v="145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42678"/>
    <s v="5CG046378B"/>
    <x v="7"/>
    <s v="NO"/>
    <s v="No funciona C,V,B,N,M"/>
    <s v="Diagnostico OK"/>
    <x v="1"/>
    <n v="1"/>
    <m/>
    <x v="6"/>
    <n v="45"/>
    <n v="120"/>
    <n v="165"/>
    <d v="2026-01-16T00:00:00"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08890"/>
    <s v="5CG3131GPW"/>
    <x v="6"/>
    <s v="SI"/>
    <s v="Pantalla KO"/>
    <s v="Pantalla rota / cover roto / carcasa rota"/>
    <x v="3"/>
    <n v="1"/>
    <s v="Pantalla cambiada, falta cover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922220"/>
    <s v="5CG0514H0S"/>
    <x v="7"/>
    <s v="NO"/>
    <s v="Gomas, Fallo de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K010828"/>
    <s v="5CG3131CVH"/>
    <x v="6"/>
    <s v="SI"/>
    <s v="Pantall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5-12-15T00:00:00"/>
    <m/>
    <s v="N874236"/>
    <s v="5CG046390N"/>
    <x v="7"/>
    <s v="NO"/>
    <s v="Fallo Touchpad"/>
    <s v="Diagnostico OK"/>
    <x v="1"/>
    <n v="1"/>
    <m/>
    <x v="46"/>
    <n v="45"/>
    <n v="163.75"/>
    <n v="208.75"/>
    <d v="2026-01-16T00:00:00"/>
    <m/>
    <s v="1/2025"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28024"/>
    <s v="5CG3020QV0"/>
    <x v="18"/>
    <s v="NO"/>
    <s v="TACTIL NO FUNCION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56383"/>
    <s v="5CG1332J1G"/>
    <x v="9"/>
    <s v="NO"/>
    <s v="FALLO BATERIA"/>
    <s v="BATERIA"/>
    <x v="1"/>
    <n v="1"/>
    <m/>
    <x v="6"/>
    <n v="45"/>
    <n v="120"/>
    <n v="1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2538"/>
    <s v="5CG0514HT4"/>
    <x v="7"/>
    <s v="NO"/>
    <s v="FALLA TECLA A"/>
    <s v="REPARACION DE PLACA BASE"/>
    <x v="1"/>
    <n v="1"/>
    <m/>
    <x v="118"/>
    <n v="45"/>
    <n v="215"/>
    <n v="26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3858"/>
    <s v="5CG04727J6"/>
    <x v="7"/>
    <s v="NO"/>
    <s v="FALLA BATERIA/TECLADO"/>
    <s v="COVER TECLADO"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104021"/>
    <s v="5CG5091T5M"/>
    <x v="19"/>
    <s v="SI"/>
    <s v="PANTALLA ROTA"/>
    <s v="PANTALLA/COVER TECLADO( GARANTIA )"/>
    <x v="1"/>
    <n v="1"/>
    <m/>
    <x v="209"/>
    <n v="45"/>
    <n v="160"/>
    <n v="20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53465"/>
    <s v="5CG3131CTG"/>
    <x v="6"/>
    <s v="SI"/>
    <s v="FALLA ALGUNAS TECLAS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45197"/>
    <s v="5CG4075544"/>
    <x v="10"/>
    <s v="SI"/>
    <s v="CARCASA GOLPEAD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2311"/>
    <s v="5CG0515R9B"/>
    <x v="7"/>
    <s v="NO"/>
    <s v="NO ARRANCA"/>
    <s v="REPARACION DE PLACA BASE"/>
    <x v="1"/>
    <n v="1"/>
    <m/>
    <x v="125"/>
    <n v="45"/>
    <n v="215"/>
    <n v="26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874514"/>
    <s v="5CG047278B"/>
    <x v="7"/>
    <s v="NO"/>
    <s v="FALLO BATERIA"/>
    <s v="COVER LCD/PANTALLA"/>
    <x v="1"/>
    <n v="1"/>
    <m/>
    <x v="210"/>
    <n v="45"/>
    <n v="271.75"/>
    <n v="316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112535"/>
    <s v="5CG1027R57"/>
    <x v="7"/>
    <s v="NO"/>
    <s v="MOJADO"/>
    <s v="REPARACION DE PLACA BASE / COVER TECLADO"/>
    <x v="1"/>
    <n v="1"/>
    <m/>
    <x v="211"/>
    <n v="45"/>
    <n v="378.75"/>
    <n v="423.75"/>
    <d v="2026-04-10T00:00:00"/>
    <m/>
    <s v="1/2025"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57093"/>
    <s v="5CG4194KLB"/>
    <x v="10"/>
    <s v="SI"/>
    <s v="PANTALLA ROT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3689"/>
    <s v="5CG04727KQ"/>
    <x v="7"/>
    <s v="NO"/>
    <s v="FALLA TECLADO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8557"/>
    <s v="5CG0514GZ1"/>
    <x v="7"/>
    <s v="NO"/>
    <s v="GOLPE CARCASA"/>
    <s v="COVER TECLADO"/>
    <x v="1"/>
    <n v="1"/>
    <m/>
    <x v="46"/>
    <n v="45"/>
    <n v="163.75"/>
    <n v="20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4029"/>
    <s v="5CG0514K6C"/>
    <x v="7"/>
    <s v="NO"/>
    <s v="NO ARRANC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110911"/>
    <s v="5CG1041JM1"/>
    <x v="11"/>
    <s v="NO"/>
    <s v="FALLO BATERIA"/>
    <s v="BATERIA"/>
    <x v="3"/>
    <n v="1"/>
    <m/>
    <x v="6"/>
    <n v="45"/>
    <n v="120"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6039"/>
    <s v="5CG1011JQX"/>
    <x v="7"/>
    <s v="NO"/>
    <s v="ERROR WINDOWS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7974"/>
    <s v="5CG0517HGD"/>
    <x v="7"/>
    <s v="NO"/>
    <s v="TECLADO ROTO"/>
    <s v="COVER TECLADO /GOMAS"/>
    <x v="1"/>
    <n v="1"/>
    <m/>
    <x v="212"/>
    <n v="45"/>
    <n v="183.75"/>
    <n v="22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23867"/>
    <s v="5CG04727DQ"/>
    <x v="7"/>
    <s v="NO"/>
    <s v="APAGADOS CONTINUOS"/>
    <s v="REPARACION DE PLACA BASE"/>
    <x v="1"/>
    <n v="1"/>
    <m/>
    <x v="125"/>
    <n v="45"/>
    <n v="215"/>
    <n v="260"/>
    <d v="2026-04-10T00:00:00"/>
    <m/>
    <m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08893"/>
    <s v="5CG3131FPD"/>
    <x v="6"/>
    <s v="SI"/>
    <s v="TECLA R y A ROTAS"/>
    <s v="COVER TECLADO"/>
    <x v="3"/>
    <n v="1"/>
    <m/>
    <x v="46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10593"/>
    <s v="5CG3131FKF"/>
    <x v="6"/>
    <s v="SI"/>
    <s v="APAGADOS CONTINUOS 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8716"/>
    <s v="5CG0517F2K"/>
    <x v="7"/>
    <s v="NO"/>
    <s v="NO ARRANC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14041"/>
    <s v="5CG0514JYS"/>
    <x v="7"/>
    <s v="NO"/>
    <s v="PUERTO USB DAÑADO/CARCASA ROTA"/>
    <s v="SE RETIRA DEL USB EL METAL INTERIOR Y FUNCIONA CORRECTAMENTE"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98703"/>
    <s v="5CG1518B0L"/>
    <x v="18"/>
    <s v="NO"/>
    <s v="NO ARRANCA"/>
    <m/>
    <x v="3"/>
    <n v="1"/>
    <m/>
    <x v="0"/>
    <n v="45"/>
    <m/>
    <n v="0"/>
    <m/>
    <m/>
    <m/>
    <s v="COMENZANDO 2026/01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N994375"/>
    <s v="5CG22050DT"/>
    <x v="9"/>
    <s v="NO"/>
    <s v="PANTALLA DAÑADA"/>
    <s v="REPARACION DE PLACA BASE"/>
    <x v="1"/>
    <n v="1"/>
    <m/>
    <x v="125"/>
    <n v="45"/>
    <n v="215"/>
    <n v="260"/>
    <d v="2026-04-10T00:00:00"/>
    <m/>
    <s v="1/2025"/>
    <s v="BRAISIRIA"/>
  </r>
  <r>
    <s v="Madrid"/>
    <s v="Carmen Rodríguez Lage "/>
    <n v="616866669"/>
    <s v="mariacarmen.rodriguezlage.ext@telefonica.com"/>
    <s v="Torre Plaza Castilla - Paseo de la Castellana, 189. Planta 13. 28046 - Madrid"/>
    <d v="2025-12-22T00:00:00"/>
    <m/>
    <s v="K058389"/>
    <s v="5CG4181S36"/>
    <x v="17"/>
    <s v="SI"/>
    <s v="FALLA TOUCHPAD/TECLADO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6909"/>
    <s v="5CG0514H80"/>
    <x v="7"/>
    <s v="NO  "/>
    <s v="LA TECLA &quot;0&quot; MARCA EL &quot;1&quot;. &quot;_&quot;, &quot;&gt;&quot; Y &quot;&lt;&quot; ESTÁN CAMBIADOS"/>
    <m/>
    <x v="1"/>
    <n v="1"/>
    <m/>
    <x v="194"/>
    <n v="45"/>
    <n v="183.75"/>
    <n v="228.75"/>
    <d v="2026-02-19T00:00:00"/>
    <m/>
    <s v="1/2025"/>
    <s v="VOLVEMOS A ENVIAR A INFOSER ( SE HA SOLUCIONADO ESTA PARA ENTREGARLO)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53434"/>
    <s v="5CG1017Q08"/>
    <x v="7"/>
    <s v="NO"/>
    <s v="LA TECLA &quot;0&quot; MARCA EL &quot;1&quot;. &quot;_&quot;, &quot;&gt;&quot; Y &quot;&lt;&quot; ESTÁN CAMBIADOS"/>
    <m/>
    <x v="1"/>
    <n v="1"/>
    <m/>
    <x v="213"/>
    <n v="0"/>
    <n v="0"/>
    <n v="0"/>
    <d v="2026-04-10T00:00:00"/>
    <m/>
    <s v="1/2025"/>
    <s v="VOLVEMOS A ENVIAR A INFOSER (EN ESPERA DE UN NUEVO TECLADO COVER)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6902"/>
    <s v="5CG2201VGB"/>
    <x v="18"/>
    <s v="NO"/>
    <s v="NO ENCIENDE NI CARGA BATERÍA"/>
    <m/>
    <x v="3"/>
    <n v="1"/>
    <m/>
    <x v="0"/>
    <n v="45"/>
    <m/>
    <n v="0"/>
    <m/>
    <m/>
    <s v="1/2025"/>
    <s v="VOLVEMOS A ENVIAR A INFOSER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6910"/>
    <s v="5CG1080BVY"/>
    <x v="18"/>
    <s v="NO"/>
    <s v="NO ENCIENDE NI CARGA BATERÍA"/>
    <m/>
    <x v="3"/>
    <n v="1"/>
    <m/>
    <x v="0"/>
    <n v="45"/>
    <m/>
    <n v="0"/>
    <m/>
    <m/>
    <s v="1/2025"/>
    <s v="VOLVEMOS A ENVIAR A INFOSER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30601"/>
    <s v="5CG0520724"/>
    <x v="7"/>
    <s v="NO"/>
    <s v="PANTALLA ROTA Y TECLA &quot;V&quot; KO"/>
    <s v="GOMA TRASERA/PANTALLA"/>
    <x v="1"/>
    <n v="1"/>
    <m/>
    <x v="214"/>
    <n v="45"/>
    <n v="180"/>
    <n v="22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3711"/>
    <s v="5CG04727G0"/>
    <x v="7"/>
    <s v="NO"/>
    <s v="FALLA HDMI"/>
    <s v="TESTEO Y TODO OK"/>
    <x v="1"/>
    <n v="1"/>
    <m/>
    <x v="215"/>
    <n v="45"/>
    <n v="0"/>
    <n v="4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17608"/>
    <s v="5CG0515SMG"/>
    <x v="7"/>
    <s v="NO"/>
    <s v="PANTALLA Y TECLADO KO. GOLPES LATERALES"/>
    <s v="COVER TECLADO"/>
    <x v="1"/>
    <n v="1"/>
    <m/>
    <x v="1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0580"/>
    <s v="5CG0517HXG"/>
    <x v="7"/>
    <s v="NO"/>
    <s v="TOUCHPAD KO"/>
    <s v="TOUCHPAD "/>
    <x v="1"/>
    <n v="1"/>
    <m/>
    <x v="12"/>
    <n v="45"/>
    <n v="77"/>
    <n v="122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57752"/>
    <s v="5CG4181BZJ"/>
    <x v="10"/>
    <s v="SI"/>
    <s v="PUERTOS KO USB Y USB-C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76079"/>
    <s v="5CG2072GVQ"/>
    <x v="8"/>
    <s v="NO"/>
    <s v="IMAGEN CONGELADA AL ENCEDER"/>
    <s v="BATERIA"/>
    <x v="1"/>
    <n v="1"/>
    <m/>
    <x v="6"/>
    <n v="45"/>
    <n v="120"/>
    <n v="16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10674"/>
    <s v="5CG3131F68"/>
    <x v="6"/>
    <s v="SI"/>
    <s v="REINICIO CONTINUO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16830"/>
    <s v="5CG0515SML"/>
    <x v="7"/>
    <s v="NO"/>
    <s v="GOLPES CARCASA Y LATERALES. REINICIO CONTINUO"/>
    <s v="COVER TECLADO/GOMAS"/>
    <x v="1"/>
    <n v="1"/>
    <m/>
    <x v="200"/>
    <n v="45"/>
    <n v="183.75"/>
    <n v="22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36761"/>
    <s v="5CG3131DXT"/>
    <x v="6"/>
    <s v="SI"/>
    <s v="NO ENCIENDE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873692"/>
    <s v="5CG1017NZB"/>
    <x v="7"/>
    <s v="NO"/>
    <s v="PANTALLA MOVIL"/>
    <s v="COVER TECLADO"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873555"/>
    <s v="5CG1017MXR"/>
    <x v="7"/>
    <s v="NO"/>
    <s v="GOLPES CARCASA Y LATERALES"/>
    <s v="MARCO DE PANTALLA/COVER LCD"/>
    <x v="1"/>
    <n v="1"/>
    <m/>
    <x v="216"/>
    <n v="45"/>
    <n v="181.75"/>
    <n v="226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3742"/>
    <s v="5CG04727JF"/>
    <x v="7"/>
    <s v="NO"/>
    <s v="FALTA TECLA/GOLPE LATERAL"/>
    <s v="COVER TECLADO"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057732"/>
    <s v="5CG4181BZF"/>
    <x v="10"/>
    <s v="SI"/>
    <s v="PANTALLA ROTA"/>
    <m/>
    <x v="3"/>
    <n v="1"/>
    <m/>
    <x v="0"/>
    <n v="45"/>
    <m/>
    <n v="0"/>
    <m/>
    <m/>
    <m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K110549"/>
    <s v="5CG0517HGC"/>
    <x v="7"/>
    <s v="NO"/>
    <s v="FALLA TECLA BORRADO"/>
    <m/>
    <x v="3"/>
    <n v="1"/>
    <m/>
    <x v="0"/>
    <n v="45"/>
    <m/>
    <n v="0"/>
    <m/>
    <m/>
    <s v="1/2025"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2778"/>
    <s v="5CG0514H79"/>
    <x v="7"/>
    <s v="NO"/>
    <s v="BATERIA KO"/>
    <m/>
    <x v="3"/>
    <n v="1"/>
    <m/>
    <x v="0"/>
    <n v="45"/>
    <m/>
    <n v="0"/>
    <m/>
    <m/>
    <s v="1/2025"/>
    <s v="COMENZANDO 2026/01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34255"/>
    <s v="5CG1254SDX"/>
    <x v="9"/>
    <s v="NO"/>
    <s v="REINICIO CONTINUO"/>
    <s v="REPARACION DE PLACA BASE"/>
    <x v="1"/>
    <n v="1"/>
    <m/>
    <x v="118"/>
    <n v="45"/>
    <n v="215"/>
    <n v="260"/>
    <d v="2026-04-10T00:00:00"/>
    <m/>
    <s v="1/2025"/>
    <s v="BRAISIRIA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27255"/>
    <s v="5CG10735OT"/>
    <x v="11"/>
    <s v="NO"/>
    <s v="EQUIPO MOJADO"/>
    <s v="COVERTECLADO /GOMAS/REPARACION DE PLACA BASE"/>
    <x v="1"/>
    <n v="1"/>
    <m/>
    <x v="217"/>
    <n v="45"/>
    <n v="398.75"/>
    <n v="443.75"/>
    <d v="2026-04-10T00:00:00"/>
    <m/>
    <m/>
    <s v="BRAISIRIA"/>
  </r>
  <r>
    <s v="Barcelona"/>
    <s v="Cristina Cano Gomez"/>
    <s v="682687160 "/>
    <s v="cristina.canogomez.ext@telefonica.com  "/>
    <s v="Av. Diagonal, 621, zona intermedia, pl. -1. 08028 – Barcelona"/>
    <d v="2026-12-05T00:00:00"/>
    <m/>
    <s v="N934248"/>
    <s v="5CG1255RS3"/>
    <x v="9"/>
    <s v="NO"/>
    <s v="REINICIO CONTINUO"/>
    <s v="TAPA TRASERA"/>
    <x v="1"/>
    <n v="1"/>
    <m/>
    <x v="40"/>
    <n v="45"/>
    <n v="111.75"/>
    <n v="156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40025"/>
    <s v="5CG3300WHR"/>
    <x v="6"/>
    <s v="SI"/>
    <s v="PANTALLA ROTA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111130"/>
    <s v="5CG2204Y3X"/>
    <x v="9"/>
    <s v="NO"/>
    <s v="HARD DISK"/>
    <s v="COVER TECLADO /GOMAS TRASERAS"/>
    <x v="1"/>
    <n v="1"/>
    <m/>
    <x v="212"/>
    <n v="45"/>
    <n v="183.75"/>
    <n v="22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53980"/>
    <s v="5CG1281NKP"/>
    <x v="9"/>
    <s v="NO"/>
    <s v="CARCASA EN MAL ESTADO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21041"/>
    <s v="5CG1041QBQ"/>
    <x v="11"/>
    <s v="NO"/>
    <s v="PANTALLA ROTA ABOLLADO EN TAPA FALLO DE RAM Y DISCO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3781"/>
    <s v="5CG1255THK"/>
    <x v="9"/>
    <s v="NO"/>
    <s v="ERROR DISCO DURO"/>
    <s v="GOMAS TRASERA"/>
    <x v="1"/>
    <n v="1"/>
    <m/>
    <x v="218"/>
    <n v="45"/>
    <n v="20"/>
    <n v="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17674"/>
    <s v="5CG0515R9D"/>
    <x v="7"/>
    <s v="NO"/>
    <s v="FALLO DISPLAY"/>
    <s v="PANTALLA"/>
    <x v="1"/>
    <n v="1"/>
    <m/>
    <x v="32"/>
    <n v="45"/>
    <n v="160"/>
    <n v="20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16953"/>
    <s v="5CG0517HNL"/>
    <x v="7"/>
    <s v="NO"/>
    <s v="ERROR DISCO DURO"/>
    <s v="COVER TECLADO/DISCO DURO"/>
    <x v="3"/>
    <n v="1"/>
    <m/>
    <x v="219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29924"/>
    <s v="5CG10791QW"/>
    <x v="11"/>
    <s v="NO"/>
    <s v="BATERIA ROTA NO CARGA Y NO ENCIENDE"/>
    <s v="BATERIA"/>
    <x v="1"/>
    <n v="1"/>
    <m/>
    <x v="6"/>
    <n v="45"/>
    <n v="120"/>
    <n v="1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40057"/>
    <s v="5CG3300WM0"/>
    <x v="6"/>
    <s v="SI"/>
    <s v="NO ARRANCA Y NO FUNCIONA EL TECLADO"/>
    <m/>
    <x v="3"/>
    <n v="1"/>
    <m/>
    <x v="0"/>
    <n v="45"/>
    <m/>
    <n v="0"/>
    <m/>
    <m/>
    <m/>
    <s v="COMENZANDO 2026/01( 5CG33002M0)"/>
  </r>
  <r>
    <s v="Madrid"/>
    <s v="Carmen Rodríguez Lage"/>
    <s v="616866669 "/>
    <s v="mariacarmen.rodriguezlage.ext@telefonica.com"/>
    <s v="C/ Gabriel García Márquez 1, 28232  Las Rozas, Madrid"/>
    <d v="2026-12-05T00:00:00"/>
    <m/>
    <s v="N922185"/>
    <s v="5CG0517FZ7"/>
    <x v="7"/>
    <s v="NO"/>
    <s v="SUENA VENTILADOR PANTALLAZOS NEGROS CONTINUOS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9169"/>
    <s v="5CG4265MCZ"/>
    <x v="24"/>
    <s v="SI"/>
    <s v="PANTALLA ROTA"/>
    <m/>
    <x v="1"/>
    <n v="1"/>
    <m/>
    <x v="32"/>
    <n v="45"/>
    <n v="190"/>
    <n v="23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112577"/>
    <s v="CND2214BYW"/>
    <x v="25"/>
    <s v="NO"/>
    <s v="PANTALLAZOS AZULES ERROR MEMORIA"/>
    <m/>
    <x v="1"/>
    <n v="1"/>
    <m/>
    <x v="32"/>
    <n v="45"/>
    <n v="190"/>
    <n v="23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51232"/>
    <s v="5CG4453HNF"/>
    <x v="24"/>
    <s v="SI"/>
    <s v="ERROR DISCO DURO ERROR NO MAQUETADO"/>
    <m/>
    <x v="1"/>
    <n v="1"/>
    <m/>
    <x v="220"/>
    <n v="45"/>
    <n v="0"/>
    <n v="4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K006041"/>
    <s v="CND24001MM"/>
    <x v="25"/>
    <s v="NO"/>
    <s v="TECLAS SUELTAS NO MAQUETA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06048"/>
    <s v="CND24001L8"/>
    <x v="26"/>
    <s v="NO"/>
    <s v="PANTALLA ROTA NO ENCIENDE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47587"/>
    <s v="5CG1254SJQ"/>
    <x v="9"/>
    <s v="NO"/>
    <s v="FALLO DISCO DURO LATIGILLO ROTO"/>
    <s v="COVER TECLADO"/>
    <x v="1"/>
    <n v="1"/>
    <m/>
    <x v="46"/>
    <n v="45"/>
    <n v="163.75"/>
    <n v="20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89319"/>
    <s v="5CG2073LQT"/>
    <x v="8"/>
    <s v="NO"/>
    <s v="FALLA DISPLAY PANTALLA"/>
    <m/>
    <x v="1"/>
    <n v="1"/>
    <m/>
    <x v="221"/>
    <n v="45"/>
    <n v="237"/>
    <n v="282"/>
    <d v="2026-04-10T00:00:00"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3468"/>
    <s v="5CG0515VRB"/>
    <x v="7"/>
    <s v="NO"/>
    <s v="TECLA O SUELTA"/>
    <m/>
    <x v="1"/>
    <n v="1"/>
    <m/>
    <x v="46"/>
    <n v="45"/>
    <n v="163.75"/>
    <n v="20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874479"/>
    <s v="5CG04637VK"/>
    <x v="7"/>
    <s v="NO"/>
    <s v="ERROR BIOS, NO MAQUETA, NO RECONOCE USB, MAL FUNCIONAMIENTO"/>
    <s v="DISCO DURO"/>
    <x v="3"/>
    <n v="1"/>
    <m/>
    <x v="7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56138"/>
    <s v="5CG40754MT"/>
    <x v="10"/>
    <s v="SI"/>
    <s v="PANTALLA ROTA / NO DETECTA WIFI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K044638"/>
    <s v="5CG3515319"/>
    <x v="10"/>
    <s v="SI"/>
    <s v="FALLO BATERIA NO ENCIENDE"/>
    <m/>
    <x v="3"/>
    <n v="1"/>
    <m/>
    <x v="0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92166"/>
    <s v="5CG1511690"/>
    <x v="9"/>
    <s v="NO"/>
    <s v="CARCASA DAÑADA"/>
    <s v="COVER PANTALLA"/>
    <x v="1"/>
    <n v="1"/>
    <m/>
    <x v="64"/>
    <n v="45"/>
    <n v="320"/>
    <n v="3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874138"/>
    <s v="5CG046391G"/>
    <x v="7"/>
    <s v="NO"/>
    <s v="NO FUNCIONA USB A"/>
    <s v="PLACA BASE REPARACION"/>
    <x v="1"/>
    <n v="1"/>
    <m/>
    <x v="222"/>
    <n v="45"/>
    <n v="215"/>
    <n v="260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14315"/>
    <s v="5CG0514HTL"/>
    <x v="7"/>
    <s v="NO"/>
    <s v="CARCASA DAÑADA"/>
    <s v="NO VEMOS NADA MUY NOTORIO PARA REEMPLAZAR PIEZA"/>
    <x v="1"/>
    <n v="1"/>
    <m/>
    <x v="223"/>
    <n v="45"/>
    <n v="0"/>
    <n v="4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12-05T00:00:00"/>
    <m/>
    <s v="N991550"/>
    <s v="5CG1518B0N"/>
    <x v="9"/>
    <s v="NO"/>
    <s v="CARCASA DAÑADA Y PANTALLA ROTA"/>
    <s v="COVER TECLADO/COVER PANTALLA/GOMAS"/>
    <x v="1"/>
    <n v="1"/>
    <m/>
    <x v="224"/>
    <n v="45"/>
    <n v="503.75"/>
    <n v="548.75"/>
    <d v="2026-04-10T00:00:00"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53341"/>
    <s v="5CG127C47V"/>
    <x v="9"/>
    <s v="NO"/>
    <s v="CARCASA DAÑADA"/>
    <s v="COVER TECLADO"/>
    <x v="3"/>
    <n v="1"/>
    <m/>
    <x v="46"/>
    <n v="45"/>
    <m/>
    <n v="0"/>
    <m/>
    <m/>
    <m/>
    <s v="COMENZANDO 2026/01"/>
  </r>
  <r>
    <s v="Madrid"/>
    <s v="Carmen Rodríguez Lage"/>
    <s v="616866669 "/>
    <s v="mariacarmen.rodriguezlage.ext@telefonica.com"/>
    <s v="C/ Gabriel García Márquez 1, 28232  Las Rozas, Madrid"/>
    <d v="2026-12-05T00:00:00"/>
    <m/>
    <s v="N947563"/>
    <s v="5CG1257NPJ"/>
    <x v="9"/>
    <s v="NO"/>
    <s v="CARCASA DAÑADA"/>
    <s v="COVER TECLADO "/>
    <x v="1"/>
    <n v="1"/>
    <m/>
    <x v="46"/>
    <n v="45"/>
    <n v="163.75"/>
    <n v="208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0157"/>
    <s v="5CG33201LV"/>
    <x v="27"/>
    <s v="SI"/>
    <s v="GOLPE EN CARCASA Y PUERTOS DAÑAD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0709"/>
    <s v="5CG101892G"/>
    <x v="28"/>
    <s v="NO"/>
    <s v="FALLAN PUERTOS Y LIGAS DE TAPA INFERIOR DAÑAD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28083"/>
    <s v="5CG3020QW6"/>
    <x v="29"/>
    <s v="SI"/>
    <s v="CARCASA GOLPEAD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2846"/>
    <s v="5CG1083QV9"/>
    <x v="28"/>
    <s v="NO"/>
    <s v="FALLAN PUERTOS Y LIGAS DE TAPA INFERIOR DAÑAD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4997"/>
    <s v="5CG4075CRC"/>
    <x v="30"/>
    <s v="SI"/>
    <s v="PANTALLA PARPADE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873773"/>
    <s v="5CG1017PRV"/>
    <x v="31"/>
    <s v="NO"/>
    <s v="TECLADO ROTO Y PUERTOS FALLAN"/>
    <s v="COVER TECLADO"/>
    <x v="1"/>
    <n v="1"/>
    <m/>
    <x v="46"/>
    <n v="45"/>
    <n v="163.75"/>
    <n v="208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40087"/>
    <s v="5CG3300WLQ"/>
    <x v="32"/>
    <s v="SI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31961"/>
    <s v="5CG1072LGT"/>
    <x v="28"/>
    <s v="NO"/>
    <s v="LIGAS DE TAPA INFERIOR, FALLO PUERT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08997"/>
    <s v="5CG3131FVG"/>
    <x v="32"/>
    <s v="SI"/>
    <s v="FALLA TECLADO, NO FUNCIONAN BIEN TECL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89133"/>
    <s v="5CG2073LPR"/>
    <x v="33"/>
    <s v="NO"/>
    <s v="TORNILLO FLOJO TAPA INFERIOR, ERROR EN CAMARA"/>
    <m/>
    <x v="3"/>
    <n v="1"/>
    <m/>
    <x v="0"/>
    <n v="45"/>
    <m/>
    <n v="0"/>
    <m/>
    <m/>
    <s v="1/2025"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23701"/>
    <s v="5CG047276B"/>
    <x v="31"/>
    <s v="NO"/>
    <s v="PAD NO FUNCIONA"/>
    <m/>
    <x v="1"/>
    <n v="1"/>
    <m/>
    <x v="225"/>
    <n v="45"/>
    <n v="308.75"/>
    <n v="353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27246"/>
    <s v="5CG10734QT"/>
    <x v="28"/>
    <s v="NO"/>
    <s v="TECLADO ROTO, SE APAGA CONSTANTEMENTE, LIGAS TAPA INFERIOR"/>
    <s v=" COVER TECLADO /BATERIA /TAPA TRASERA"/>
    <x v="3"/>
    <n v="1"/>
    <m/>
    <x v="226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K053977"/>
    <s v="5CG4482RKZ"/>
    <x v="27"/>
    <s v="SI"/>
    <s v="GOLPE EN ESQUINA, DOBLADA DE CARCAS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1-19T00:00:00"/>
    <m/>
    <s v="N918881"/>
    <s v="5CG0517HPJ"/>
    <x v="31"/>
    <s v="NO"/>
    <s v="ESQUINA ROTA DE CARCAS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8273"/>
    <s v="5CG3300WMY"/>
    <x v="32"/>
    <s v="SI"/>
    <s v="KO por agu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89199"/>
    <s v="5CG2073KRL"/>
    <x v="33"/>
    <m/>
    <s v="Tecla Flecha arriba apunto de caer \ Falla Touchpad boton derecho"/>
    <s v="COVER TECLADO/TOUCHPAD REPARADO"/>
    <x v="3"/>
    <n v="1"/>
    <m/>
    <x v="227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3947"/>
    <s v="5CG0472743"/>
    <x v="31"/>
    <s v="NO"/>
    <s v="Falla teclado"/>
    <s v="PANTALLA"/>
    <x v="3"/>
    <n v="1"/>
    <m/>
    <x v="32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2318"/>
    <s v="5CG0515SBK"/>
    <x v="31"/>
    <s v="NO"/>
    <s v="Reinicio Continuo"/>
    <s v="PLACA BASE REPARACION /COVER TECLADO"/>
    <x v="1"/>
    <n v="1"/>
    <m/>
    <x v="141"/>
    <n v="45"/>
    <n v="378.75"/>
    <n v="423.75"/>
    <d v="2026-04-10T00:00:00"/>
    <m/>
    <m/>
    <s v="BRAISIRIA"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84192"/>
    <s v="5CG2401GN5"/>
    <x v="33"/>
    <s v="NO"/>
    <s v="No pasa del logo de BIOS"/>
    <s v="DISCO DURO / MEMORIA RAM"/>
    <x v="3"/>
    <n v="1"/>
    <m/>
    <x v="228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874232"/>
    <s v="5CG04638Q2"/>
    <x v="31"/>
    <m/>
    <s v="H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17614"/>
    <s v="5CG0515RN2"/>
    <x v="31"/>
    <s v="NO "/>
    <s v="PANTALLA/COVER LCD /COVER/TECLADO /GOMAS"/>
    <m/>
    <x v="1"/>
    <n v="1"/>
    <m/>
    <x v="229"/>
    <n v="45"/>
    <n v="455.5"/>
    <n v="500.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10719"/>
    <s v="5CG3131F55"/>
    <x v="32"/>
    <m/>
    <s v="Ventiladores \ 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6975"/>
    <s v="5CG3131FRJ"/>
    <x v="32"/>
    <m/>
    <s v="Pantalla Rota\Fallos en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57756"/>
    <s v="5CG4181BYY"/>
    <x v="30"/>
    <m/>
    <s v="Disco Duro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2369"/>
    <s v="5CG0517HWS"/>
    <x v="31"/>
    <s v="NO"/>
    <s v="Disco Duro KO"/>
    <s v="DISCO DURO"/>
    <x v="1"/>
    <n v="1"/>
    <m/>
    <x v="7"/>
    <n v="45"/>
    <n v="120"/>
    <n v="16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89196"/>
    <s v="5CG2073LP4"/>
    <x v="33"/>
    <m/>
    <s v="Gomas Traseras\Bateria KO\Ventiladores ruido excesiv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6814"/>
    <s v="5CG3131D1S"/>
    <x v="32"/>
    <m/>
    <s v="Equipo 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843357"/>
    <s v="5CG1027R52"/>
    <x v="31"/>
    <s v="NO "/>
    <s v="Fallan teclas tclado Enter\Borrado\Shift"/>
    <s v="COVER TECLADO/COVER LCD"/>
    <x v="1"/>
    <n v="1"/>
    <m/>
    <x v="62"/>
    <n v="45"/>
    <n v="274.75"/>
    <n v="319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36779"/>
    <s v="5CG3131D0H"/>
    <x v="32"/>
    <m/>
    <s v="Falla Barra Espaciador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010761"/>
    <s v="5CG3131FZT"/>
    <x v="32"/>
    <m/>
    <s v="Fallo Baterí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31003"/>
    <s v="5CG1017MX9"/>
    <x v="31"/>
    <s v="NO"/>
    <s v="Faltan teclas"/>
    <s v="COVER TECLADO"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3731"/>
    <s v="5CG047273W"/>
    <x v="31"/>
    <s v="NO"/>
    <s v="Fallo Touchpad"/>
    <s v="TOUCHPAD "/>
    <x v="1"/>
    <n v="1"/>
    <m/>
    <x v="12"/>
    <n v="45"/>
    <n v="77"/>
    <n v="122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K110562"/>
    <s v="5CG04637W0"/>
    <x v="31"/>
    <s v="NO "/>
    <s v="Falla HD"/>
    <s v="BATERÍA /COVER TECLADO"/>
    <x v="1"/>
    <n v="1"/>
    <m/>
    <x v="230"/>
    <n v="45"/>
    <n v="283.75"/>
    <n v="328.7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2495"/>
    <s v="5CG0517FCL"/>
    <x v="31"/>
    <s v="NO "/>
    <s v="No detecta Hd"/>
    <s v="disco duro / bateria"/>
    <x v="1"/>
    <n v="1"/>
    <m/>
    <x v="231"/>
    <n v="45"/>
    <n v="240"/>
    <n v="285"/>
    <d v="2026-02-19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23587"/>
    <s v="5CG0472745"/>
    <x v="31"/>
    <s v="NO"/>
    <s v="Falla tecla Enter y algunas mas"/>
    <s v="COVER TECLADO"/>
    <x v="1"/>
    <n v="1"/>
    <s v="VOLVIO CON LAS TECLAS FISICAMENTE ROTAS Y SIN TECLAS"/>
    <x v="46"/>
    <n v="45"/>
    <n v="163.75"/>
    <n v="208.75"/>
    <d v="2026-04-10T00:00:00"/>
    <m/>
    <s v="1/2025"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874511"/>
    <s v="5CG04727JK"/>
    <x v="31"/>
    <s v="NO"/>
    <s v="Faltan teclas "/>
    <m/>
    <x v="1"/>
    <n v="1"/>
    <m/>
    <x v="46"/>
    <n v="45"/>
    <n v="163.75"/>
    <n v="20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1-26T00:00:00"/>
    <m/>
    <s v="N991393"/>
    <s v="5CG15189P2"/>
    <x v="28"/>
    <m/>
    <s v="Teclas K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770"/>
    <s v="5CG3131DZS"/>
    <x v="34"/>
    <s v="SI"/>
    <s v="CARCASA ROTA/SUSTRAIDO"/>
    <m/>
    <x v="1"/>
    <n v="1"/>
    <m/>
    <x v="232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40093"/>
    <s v="5CG3300WH1"/>
    <x v="34"/>
    <s v="SI"/>
    <s v="FALLA TOUCHPAD"/>
    <s v="TOUCHPAD "/>
    <x v="1"/>
    <n v="1"/>
    <s v="SE HABIA DESCOLOCADO EL TOUCHPAD"/>
    <x v="233"/>
    <n v="45"/>
    <n v="77"/>
    <n v="122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28088"/>
    <s v="5CG3021J74"/>
    <x v="35"/>
    <m/>
    <s v="FALLA TOUCHPAD/BISAGRAS"/>
    <m/>
    <x v="1"/>
    <n v="1"/>
    <m/>
    <x v="234"/>
    <n v="45"/>
    <n v="297"/>
    <n v="342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50438"/>
    <s v="5CG046385X"/>
    <x v="36"/>
    <m/>
    <s v="FALLA TOUCHPAD"/>
    <s v="BATERIA"/>
    <x v="1"/>
    <n v="1"/>
    <m/>
    <x v="6"/>
    <n v="45"/>
    <n v="120"/>
    <n v="16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602"/>
    <s v="5CG0517FYN"/>
    <x v="36"/>
    <s v="NO"/>
    <s v="ERROR DE BOOT DE ARRANQUE"/>
    <m/>
    <x v="1"/>
    <n v="1"/>
    <m/>
    <x v="235"/>
    <n v="45"/>
    <n v="320"/>
    <n v="3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113574"/>
    <s v="5CG1017RRJ"/>
    <x v="36"/>
    <m/>
    <s v="FALLA TECLADO"/>
    <s v="COVER TECLADO"/>
    <x v="1"/>
    <n v="1"/>
    <m/>
    <x v="46"/>
    <n v="45"/>
    <n v="163.75"/>
    <n v="208.7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23937"/>
    <s v="5CG04727D7"/>
    <x v="36"/>
    <m/>
    <s v="TECLA &quot;O&quot; ROTA"/>
    <m/>
    <x v="1"/>
    <n v="1"/>
    <m/>
    <x v="46"/>
    <n v="45"/>
    <n v="163.75"/>
    <n v="208.7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722"/>
    <s v="5CG3131DYJ"/>
    <x v="34"/>
    <s v="SI"/>
    <s v="NO ARRANCA"/>
    <s v="PLACA BASE ( GARANTÍA)"/>
    <x v="1"/>
    <n v="1"/>
    <m/>
    <x v="236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10523"/>
    <s v="5CG3131FV2"/>
    <x v="34"/>
    <s v="SI"/>
    <s v="NO ARRANCA"/>
    <s v="PLACA BASE ( GARANTÍA)"/>
    <x v="1"/>
    <n v="1"/>
    <m/>
    <x v="237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45392"/>
    <s v="5CG40753Q7"/>
    <x v="37"/>
    <m/>
    <s v="FALLA TOUCHPAD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682"/>
    <s v="5CG3131DQF"/>
    <x v="34"/>
    <m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6666"/>
    <s v="5CG3131FNW"/>
    <x v="34"/>
    <m/>
    <s v="FALLA TECLA &quot;Q&quot; y &quot;A&quot;"/>
    <s v="COVER TECLADO ( GARANTÍA )"/>
    <x v="3"/>
    <n v="1"/>
    <m/>
    <x v="188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60349"/>
    <s v="5CG4250KWF"/>
    <x v="37"/>
    <s v="SI"/>
    <s v="NO ARRANCA"/>
    <m/>
    <x v="1"/>
    <n v="1"/>
    <m/>
    <x v="238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57207"/>
    <s v="5CG4194B1M"/>
    <x v="37"/>
    <m/>
    <s v="ERROR PANTALLA AZUL/Unexpected Store Exception/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113968"/>
    <s v="5CG0514DQP"/>
    <x v="36"/>
    <m/>
    <s v="PANTALLA ROTA"/>
    <m/>
    <x v="1"/>
    <n v="1"/>
    <m/>
    <x v="118"/>
    <n v="45"/>
    <n v="215"/>
    <n v="260"/>
    <d v="2026-03-04T00:00:00"/>
    <m/>
    <m/>
    <s v="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811"/>
    <s v="5CG0514G0D"/>
    <x v="36"/>
    <m/>
    <s v="sobrecalentamiento/apagados"/>
    <s v="VENTILADOR"/>
    <x v="1"/>
    <n v="1"/>
    <m/>
    <x v="17"/>
    <n v="45"/>
    <n v="100"/>
    <n v="145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873599"/>
    <s v="5CG1017RNS"/>
    <x v="36"/>
    <m/>
    <s v="FALLA TOUCHPAD"/>
    <s v="BATERIA"/>
    <x v="1"/>
    <n v="1"/>
    <m/>
    <x v="239"/>
    <n v="45"/>
    <n v="197"/>
    <n v="242"/>
    <d v="2026-03-04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08905"/>
    <s v="5CG3131H1K"/>
    <x v="34"/>
    <m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767"/>
    <s v="5CG0514HGS"/>
    <x v="36"/>
    <m/>
    <s v="SUENA VENTILADOR"/>
    <m/>
    <x v="1"/>
    <n v="1"/>
    <m/>
    <x v="135"/>
    <n v="45"/>
    <n v="215"/>
    <n v="260"/>
    <d v="2026-03-04T00:00:00"/>
    <m/>
    <m/>
    <s v="REPARACION DE PLACA BASE"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9003"/>
    <s v="5CG0514G04"/>
    <x v="34"/>
    <m/>
    <s v="CARCAS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18987"/>
    <s v="5CG0517HP9"/>
    <x v="38"/>
    <m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7594"/>
    <s v="5CG3133581"/>
    <x v="39"/>
    <s v="SI"/>
    <s v="PUERTO C DAÑADO"/>
    <s v="COVER PANTALLA ( NO PROCEDE LA GARANTIA POR ROTURA)"/>
    <x v="1"/>
    <n v="1"/>
    <m/>
    <x v="240"/>
    <n v="45"/>
    <n v="320"/>
    <n v="36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24213"/>
    <s v="5CG1072LRW"/>
    <x v="40"/>
    <s v="SI"/>
    <s v="falla teclado/touchpad/cover roto"/>
    <s v="COVER TECLADO/GOMAS"/>
    <x v="1"/>
    <n v="1"/>
    <m/>
    <x v="194"/>
    <n v="45"/>
    <n v="183.75"/>
    <n v="228.7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K037670"/>
    <s v="5CG31335K1"/>
    <x v="39"/>
    <s v="SI"/>
    <s v="falla puerto usb-c"/>
    <s v="ACTUALIZACION DE BIOS"/>
    <x v="1"/>
    <n v="1"/>
    <m/>
    <x v="241"/>
    <n v="45"/>
    <n v="0"/>
    <n v="45"/>
    <d v="2026-04-10T00:00:00"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937462"/>
    <s v="5CG1257QB2"/>
    <x v="41"/>
    <m/>
    <s v="apagados continuos"/>
    <m/>
    <x v="3"/>
    <n v="1"/>
    <m/>
    <x v="7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1-30T00:00:00"/>
    <m/>
    <s v="N875433"/>
    <s v="5CG1119HJ3"/>
    <x v="40"/>
    <s v="NO"/>
    <s v="PANTALLA ROTA"/>
    <s v="COVER TECLADO / COVER PANTALLA/GOMAS"/>
    <x v="1"/>
    <n v="1"/>
    <m/>
    <x v="242"/>
    <n v="45"/>
    <n v="403.75"/>
    <n v="448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33075"/>
    <s v="5CG1257PL5"/>
    <x v="18"/>
    <m/>
    <s v="FALLO DISCO DURO"/>
    <m/>
    <x v="3"/>
    <n v="1"/>
    <m/>
    <x v="0"/>
    <n v="45"/>
    <m/>
    <n v="0"/>
    <m/>
    <m/>
    <m/>
    <s v="NO HAN LLEGADO"/>
  </r>
  <r>
    <s v="Madrid"/>
    <s v="Carmen Rodríguez Lage"/>
    <s v="616866669 "/>
    <s v="mariacarmen.rodriguezlage.ext@telefonica.com"/>
    <s v="C/ Gabriel García Márquez 1, 28232  Las Rozas, Madrid"/>
    <d v="2026-01-30T00:00:00"/>
    <m/>
    <s v="N916626"/>
    <s v="5CG0515RQ1"/>
    <x v="7"/>
    <m/>
    <s v="TECLA &quot;I&quot; ROTA"/>
    <m/>
    <x v="3"/>
    <n v="1"/>
    <m/>
    <x v="0"/>
    <n v="45"/>
    <m/>
    <n v="0"/>
    <m/>
    <m/>
    <m/>
    <s v="NO HAN LLEGADO"/>
  </r>
  <r>
    <s v="Madrid"/>
    <s v="Carmen Rodríguez Lage"/>
    <s v="616866669 "/>
    <s v="mariacarmen.rodriguezlage.ext@telefonica.com"/>
    <s v="C/ Gabriel García Márquez 1, 28232  Las Rozas, Madrid"/>
    <d v="2026-01-30T00:00:00"/>
    <m/>
    <s v="N917976"/>
    <s v="5CG0517GS0"/>
    <x v="42"/>
    <s v="NO"/>
    <s v="CARCASA ROTA"/>
    <s v="TAPA TRASERA"/>
    <x v="1"/>
    <n v="1"/>
    <m/>
    <x v="40"/>
    <n v="45"/>
    <n v="111.75"/>
    <n v="156.7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17985"/>
    <s v="5CG0514GC9"/>
    <x v="38"/>
    <s v="NO"/>
    <s v="CARCASA ROTA"/>
    <s v="FLESH DE TOUCHPAD"/>
    <x v="1"/>
    <n v="1"/>
    <m/>
    <x v="243"/>
    <n v="45"/>
    <n v="115"/>
    <n v="160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84182"/>
    <s v="5CG2401GN1"/>
    <x v="43"/>
    <m/>
    <s v="PANTALLA NO SE VE"/>
    <m/>
    <x v="1"/>
    <n v="1"/>
    <m/>
    <x v="24"/>
    <n v="45"/>
    <n v="115"/>
    <n v="160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18867"/>
    <s v="5CG0517FC3"/>
    <x v="38"/>
    <s v="NO"/>
    <s v="FALLO BATERIA NO ENCIENDE"/>
    <s v="REPARACION DE PLACA BASE"/>
    <x v="1"/>
    <n v="1"/>
    <m/>
    <x v="135"/>
    <n v="45"/>
    <n v="215"/>
    <n v="260"/>
    <d v="2026-04-10T00:00:00"/>
    <m/>
    <m/>
    <s v="BRAISIRIA"/>
  </r>
  <r>
    <s v="Madrid"/>
    <s v="Carmen Rodríguez Lage"/>
    <s v="616866669 "/>
    <s v="mariacarmen.rodriguezlage.ext@telefonica.com"/>
    <s v="C/ Gabriel García Márquez 1, 28232  Las Rozas, Madrid"/>
    <d v="2026-01-30T00:00:00"/>
    <m/>
    <s v="K113585"/>
    <s v="5CG3021J1W"/>
    <x v="43"/>
    <m/>
    <s v="CARCASA ROTA"/>
    <m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113584"/>
    <s v="5CG3021J20"/>
    <x v="43"/>
    <m/>
    <s v="LETRA &quot;E&quot; Y &quot;R&quot; SUELTAS"/>
    <s v="COVER TECLADO"/>
    <x v="1"/>
    <n v="1"/>
    <m/>
    <x v="46"/>
    <n v="45"/>
    <n v="163.75"/>
    <n v="208.7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44446"/>
    <s v="5CG15119HQ"/>
    <x v="41"/>
    <s v="NO"/>
    <s v="DISCO DURO DAÑADO"/>
    <s v="BATERIA"/>
    <x v="1"/>
    <n v="1"/>
    <m/>
    <x v="6"/>
    <n v="45"/>
    <n v="120"/>
    <n v="16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48948"/>
    <s v="5CG1070MGF"/>
    <x v="40"/>
    <m/>
    <s v="BATERIA DAÑADA, CARCASA DAÑAD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60047"/>
    <s v="CND24001NS"/>
    <x v="44"/>
    <m/>
    <s v="DAÑADO DISCO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36654"/>
    <s v="5CG3131DQ8"/>
    <x v="34"/>
    <m/>
    <s v="DAÑADO DISCO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97070"/>
    <s v="5CG1511BFO"/>
    <x v="41"/>
    <m/>
    <s v="BATERIA DAÑADA, CARCASA DAÑADA"/>
    <m/>
    <x v="3"/>
    <n v="1"/>
    <m/>
    <x v="14"/>
    <n v="45"/>
    <m/>
    <n v="0"/>
    <m/>
    <m/>
    <m/>
    <s v="PLACA BASE REPARACION "/>
  </r>
  <r>
    <s v="Madrid"/>
    <s v="Carmen Rodríguez Lage"/>
    <s v="616866669 "/>
    <s v="mariacarmen.rodriguezlage.ext@telefonica.com"/>
    <s v="C/ Gabriel García Márquez 1, 28232  Las Rozas, Madrid"/>
    <d v="2026-01-30T00:00:00"/>
    <m/>
    <s v="N981986"/>
    <s v="5CG2312BPM"/>
    <x v="8"/>
    <m/>
    <s v="CARCASA PANTALLA DESCOLOCADA"/>
    <m/>
    <x v="1"/>
    <n v="1"/>
    <m/>
    <x v="0"/>
    <n v="0"/>
    <n v="0"/>
    <n v="0"/>
    <d v="2026-03-04T00:00:00"/>
    <m/>
    <m/>
    <s v="POR CORREGIR Y YA ESTAN FACTURADOS"/>
  </r>
  <r>
    <s v="Madrid"/>
    <s v="Carmen Rodríguez Lage"/>
    <s v="616866669 "/>
    <s v="mariacarmen.rodriguezlage.ext@telefonica.com"/>
    <s v="C/ Gabriel García Márquez 1, 28232  Las Rozas, Madrid"/>
    <d v="2026-01-30T00:00:00"/>
    <m/>
    <s v="N982004"/>
    <s v="5CG2312BNR"/>
    <x v="8"/>
    <m/>
    <s v="MARCO ROTO"/>
    <m/>
    <x v="1"/>
    <n v="1"/>
    <m/>
    <x v="244"/>
    <n v="0"/>
    <n v="70"/>
    <n v="70"/>
    <d v="2026-03-04T00:00:00"/>
    <m/>
    <m/>
    <s v="POR CORREGIR Y YA ESTAN FACTURADOS"/>
  </r>
  <r>
    <s v="Madrid"/>
    <s v="Carmen Rodríguez Lage"/>
    <s v="616866669 "/>
    <s v="mariacarmen.rodriguezlage.ext@telefonica.com"/>
    <s v="C/ Gabriel García Márquez 1, 28232  Las Rozas, Madrid"/>
    <d v="2026-01-30T00:00:00"/>
    <m/>
    <s v="N917964"/>
    <s v="5CG0514HJ8"/>
    <x v="38"/>
    <m/>
    <s v="CARCASA ABOLLADA LATERAL Y PICOTAZO EN TAPADER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88993"/>
    <s v="5CG2073558"/>
    <x v="43"/>
    <m/>
    <s v="BATERIA NO CARGA Y NO ENCIENDE"/>
    <m/>
    <x v="1"/>
    <n v="1"/>
    <m/>
    <x v="135"/>
    <n v="45"/>
    <n v="215"/>
    <n v="260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40861"/>
    <s v="5CG34444HB"/>
    <x v="37"/>
    <m/>
    <s v="PANTALLA ROTA"/>
    <m/>
    <x v="3"/>
    <n v="1"/>
    <m/>
    <x v="0"/>
    <n v="45"/>
    <m/>
    <n v="0"/>
    <m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N922739"/>
    <s v="5CG0514GD1"/>
    <x v="38"/>
    <m/>
    <s v="PANTALLA ROTA"/>
    <m/>
    <x v="1"/>
    <n v="1"/>
    <m/>
    <x v="32"/>
    <n v="45"/>
    <n v="160"/>
    <n v="205"/>
    <d v="2026-03-04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010823"/>
    <s v="5CG3131FK6"/>
    <x v="34"/>
    <s v="SI"/>
    <s v="BATERIA DEFECTUOSA"/>
    <s v="BATERIA ( BATERIA)"/>
    <x v="1"/>
    <n v="1"/>
    <m/>
    <x v="173"/>
    <n v="45"/>
    <n v="0"/>
    <n v="45"/>
    <d v="2026-04-10T00:00:00"/>
    <m/>
    <m/>
    <m/>
  </r>
  <r>
    <s v="Madrid"/>
    <s v="Carmen Rodríguez Lage"/>
    <s v="616866669 "/>
    <s v="mariacarmen.rodriguezlage.ext@telefonica.com"/>
    <s v="C/ Gabriel García Márquez 1, 28232  Las Rozas, Madrid"/>
    <d v="2026-01-30T00:00:00"/>
    <m/>
    <s v="K113582"/>
    <s v="5CG05206W1"/>
    <x v="38"/>
    <s v="NO"/>
    <s v="TECLADO NO ESPAÑOL Y CARCASA DAÑADA"/>
    <s v="COVER TECLADO"/>
    <x v="1"/>
    <n v="1"/>
    <m/>
    <x v="46"/>
    <n v="45"/>
    <n v="163.75"/>
    <n v="208.7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873772"/>
    <s v="5CG1017RRW"/>
    <x v="31"/>
    <m/>
    <s v="teclas rotas"/>
    <m/>
    <x v="1"/>
    <n v="1"/>
    <m/>
    <x v="46"/>
    <n v="45"/>
    <n v="163.75"/>
    <n v="208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25600"/>
    <s v="5CG1011BGJ"/>
    <x v="28"/>
    <s v="NO"/>
    <s v="sonido ventilador"/>
    <s v="VENTILADOR"/>
    <x v="1"/>
    <n v="1"/>
    <m/>
    <x v="17"/>
    <n v="45"/>
    <n v="100"/>
    <n v="14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41746"/>
    <s v="5CG3522CZ6"/>
    <x v="27"/>
    <m/>
    <s v="no arranc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873745"/>
    <s v="5CG1017R6J"/>
    <x v="31"/>
    <m/>
    <s v="falla teclado, teclas suprimir y up dowm"/>
    <s v="COVER TECLADO / VENTILADOR"/>
    <x v="1"/>
    <n v="1"/>
    <m/>
    <x v="111"/>
    <n v="45"/>
    <n v="263.75"/>
    <n v="308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37165"/>
    <s v="5CG3131GZX"/>
    <x v="32"/>
    <m/>
    <s v="fallan puertos usb"/>
    <s v="COVER TECLADO ( GARANTÍA)"/>
    <x v="3"/>
    <n v="1"/>
    <m/>
    <x v="245"/>
    <n v="45"/>
    <n v="120"/>
    <n v="165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50843"/>
    <s v="5CG046385T"/>
    <x v="31"/>
    <m/>
    <s v="teclas rot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843347"/>
    <s v="5CG1027R40"/>
    <x v="31"/>
    <s v="NO"/>
    <s v="ligas de tapa inferior"/>
    <s v="GOMAS"/>
    <x v="1"/>
    <n v="1"/>
    <s v="SOLO SE COLOCO LA GOMA DE ABAJO ( SOLO UNA )"/>
    <x v="218"/>
    <n v="45"/>
    <n v="20"/>
    <n v="65"/>
    <d v="2026-04-10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24631"/>
    <s v="5CG0486QXC"/>
    <x v="28"/>
    <m/>
    <s v="pantalla despegada y marco doblado"/>
    <s v="COVER PANTALLA"/>
    <x v="1"/>
    <n v="1"/>
    <m/>
    <x v="64"/>
    <n v="45"/>
    <n v="320"/>
    <n v="36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27450"/>
    <s v="5CG1072KJC"/>
    <x v="28"/>
    <m/>
    <s v="no enciende"/>
    <s v="COVER TECLADO"/>
    <x v="1"/>
    <n v="1"/>
    <m/>
    <x v="46"/>
    <n v="45"/>
    <n v="163.75"/>
    <n v="208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N989823"/>
    <s v="5CG2073LPY"/>
    <x v="33"/>
    <m/>
    <s v="pantalla con linea, puertos usb dañados"/>
    <s v="PANTALLA"/>
    <x v="1"/>
    <n v="1"/>
    <m/>
    <x v="32"/>
    <n v="45"/>
    <n v="160"/>
    <n v="20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37306"/>
    <s v="5CG3131CTK"/>
    <x v="32"/>
    <m/>
    <s v="fallan tecl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111120"/>
    <s v="5CG1257DST"/>
    <x v="45"/>
    <m/>
    <s v="no enciend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47854"/>
    <s v="5CG5091T3Z"/>
    <x v="46"/>
    <m/>
    <s v="no arranc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113839"/>
    <s v="5CG1072KFG"/>
    <x v="28"/>
    <m/>
    <s v="gomas antideslizantes rotas"/>
    <m/>
    <x v="1"/>
    <n v="1"/>
    <m/>
    <x v="246"/>
    <n v="45"/>
    <n v="331.75"/>
    <n v="376.75"/>
    <d v="2026-03-04T00:00:00"/>
    <m/>
    <m/>
    <m/>
  </r>
  <r>
    <s v="Barcelona"/>
    <s v="Cristina Cano Gomez"/>
    <n v="682687160"/>
    <s v=" cristina.canogomez.ext@telefonica.com  "/>
    <s v="Gran Vía de les Corts Catalanes 159, planta 1. 08014"/>
    <d v="2026-02-05T00:00:00"/>
    <m/>
    <s v="K010887"/>
    <s v="5CG3131D0C"/>
    <x v="32"/>
    <s v="SI"/>
    <s v="falla puerto jack y usb-c"/>
    <s v="ACTUALIZACION DE BIOS Y SU FUNCIONAMIENTO CORRECTO"/>
    <x v="1"/>
    <n v="1"/>
    <m/>
    <x v="247"/>
    <n v="45"/>
    <n v="0"/>
    <n v="4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04488"/>
    <s v="5CG509415M"/>
    <x v="46"/>
    <s v="SI"/>
    <s v="fallo de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53631"/>
    <s v="5CG1279WNP"/>
    <x v="45"/>
    <s v="NO"/>
    <s v="TECLA 8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04489"/>
    <s v="5CG50940XR"/>
    <x v="47"/>
    <s v="SI"/>
    <s v="FALLO DE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45348"/>
    <s v="5CG40753RJ"/>
    <x v="48"/>
    <s v="SI"/>
    <s v="FALLA TECLAS &quot;SHIFT&quot; &quot;ALT GR&quot;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89165"/>
    <s v="5CG2073LNW"/>
    <x v="49"/>
    <s v="NO"/>
    <s v="FALLA TOUCHPAD"/>
    <s v="SUSTITUCION DE TOUCHPAD/BATERIA"/>
    <x v="1"/>
    <n v="1"/>
    <m/>
    <x v="248"/>
    <n v="45"/>
    <n v="197"/>
    <n v="242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89160"/>
    <s v="5CG2073KLR"/>
    <x v="49"/>
    <s v="NO"/>
    <s v="FALLA DISC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219"/>
    <s v="5CG04637V9"/>
    <x v="50"/>
    <s v="NO"/>
    <s v="PARPADEOS DE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865"/>
    <s v="5CG3131D1F"/>
    <x v="51"/>
    <s v="SI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3950"/>
    <s v="5CG0472777"/>
    <x v="50"/>
    <s v="NO"/>
    <s v="TECLAS &quot;B&quot;, &quot;Y&quot; FUNCIONAN DE FORMA IRREGULA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935"/>
    <s v="5CG3131HFF"/>
    <x v="51"/>
    <s v="SI"/>
    <s v="Fallo HD"/>
    <m/>
    <x v="3"/>
    <n v="1"/>
    <s v="SE HA UTILIZADO LA PANTALLA COMPLETA DE ESTE EQUIPO PARA EL EQUIPO 5CG3131H15,PERO ES SOLICITAR SOLAMENTE EL COVER LCD COMO GARANTÍA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2841"/>
    <s v="5CG0514GZ2"/>
    <x v="50"/>
    <s v="NO"/>
    <s v="Falla tecla &quot;A&quot;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55995"/>
    <s v="5CG407542V"/>
    <x v="48"/>
    <s v="SI"/>
    <s v="Pantall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04072"/>
    <s v="5CG5091TCS"/>
    <x v="47"/>
    <s v="SI"/>
    <s v="Fallo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833"/>
    <s v="5CG3131GXT"/>
    <x v="51"/>
    <s v="SI"/>
    <s v="Tecla salt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3806"/>
    <s v="5CG1017Q19"/>
    <x v="50"/>
    <s v="NO"/>
    <s v="No carga baterí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89079"/>
    <s v="5CG207350M"/>
    <x v="49"/>
    <s v="NO"/>
    <s v="Fallo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6921"/>
    <s v="5CG0514JX8"/>
    <x v="50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17653"/>
    <s v="5CG0515VRJ"/>
    <x v="50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43204"/>
    <s v="5CG2073KRJ"/>
    <x v="49"/>
    <s v="NO"/>
    <s v="Falla tecla 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643"/>
    <s v="5CG3131FZN"/>
    <x v="51"/>
    <s v="SI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6907"/>
    <s v="5CG127C32Y"/>
    <x v="52"/>
    <s v="NO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3827"/>
    <s v="5CG1017Q7X"/>
    <x v="50"/>
    <s v="NO"/>
    <s v="Teclado y bateria ko"/>
    <s v="COVER TECLADO / BATERIA"/>
    <x v="3"/>
    <n v="1"/>
    <m/>
    <x v="249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906"/>
    <s v="5CG3131D57"/>
    <x v="51"/>
    <s v="SI"/>
    <s v="Fallo tecla suprimi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42678"/>
    <s v="5CG046378B"/>
    <x v="52"/>
    <s v="NO"/>
    <s v="Falla tecla espaci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0561"/>
    <s v="5CG04727M9"/>
    <x v="50"/>
    <s v="NO"/>
    <s v="Teclado Ko"/>
    <s v="COVER TECLADO"/>
    <x v="3"/>
    <n v="1"/>
    <m/>
    <x v="16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286"/>
    <s v="5CG046391K"/>
    <x v="52"/>
    <s v="NO"/>
    <s v="teclado ko"/>
    <s v="COVER TECLADO/COVER PANTALLA"/>
    <x v="1"/>
    <n v="1"/>
    <m/>
    <x v="250"/>
    <n v="45"/>
    <n v="483.75"/>
    <n v="528.75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4478"/>
    <s v="5CG1070LWN"/>
    <x v="52"/>
    <s v="NO"/>
    <s v="Fallo conector de carg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58436"/>
    <s v="5CG138D089"/>
    <x v="50"/>
    <s v="NO"/>
    <s v="Fallo Tarjeta de re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10737"/>
    <s v="5CG3131FTB"/>
    <x v="51"/>
    <s v="SI"/>
    <s v="Fallo HD"/>
    <m/>
    <x v="3"/>
    <n v="1"/>
    <s v="SE RETIRA SU TOUCHPAD AL EQUIPO 5CG3131GXP ( SOLICITAR POR GARANTÍA TOUCHPAD)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3989"/>
    <s v="5CG04727LC"/>
    <x v="50"/>
    <s v="NO"/>
    <s v="Baterí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21427"/>
    <s v="5CG1041GRJ"/>
    <x v="52"/>
    <s v="NO"/>
    <s v="Falla teclado por liqui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142"/>
    <s v="5CG0463923"/>
    <x v="50"/>
    <s v="NO"/>
    <s v="Tecla E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968"/>
    <s v="5CG3131D0D"/>
    <x v="49"/>
    <s v="NO"/>
    <s v="Parte inferior Pantall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008894"/>
    <s v="5CG3131FVN"/>
    <x v="51"/>
    <s v="SI"/>
    <s v="Teclas lado izquierdo no funcionan"/>
    <s v="COVER TECLADO"/>
    <x v="3"/>
    <n v="1"/>
    <m/>
    <x v="251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18945"/>
    <s v="5CG0514FS5"/>
    <x v="50"/>
    <s v="NO"/>
    <s v="FALLO DE TECLAS "/>
    <s v="FLESH DE TECLADO"/>
    <x v="1"/>
    <n v="1"/>
    <s v="vino de barcelona pero en el Equipos de reparacion aparece en noviembre enviado desde plaza castilla"/>
    <x v="252"/>
    <n v="45"/>
    <n v="115"/>
    <n v="160"/>
    <d v="2026-04-10T00:00:00"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6914"/>
    <s v="5CG04637X5"/>
    <x v="50"/>
    <s v="NO"/>
    <s v="Touchpad no v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874236"/>
    <s v="5CG046390N"/>
    <x v="50"/>
    <s v="NO"/>
    <s v="Touchpad no v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K110552"/>
    <s v="5CG04727CK"/>
    <x v="50"/>
    <s v="NO"/>
    <s v="al mover pantalla pierde la imagen"/>
    <s v="PANTALLA Y COVER TECLADO"/>
    <x v="3"/>
    <n v="1"/>
    <s v="SE HA UTILIZADO PANTALLA Y FLEX DE PANTALLA DE EQUIPOS IRREPARABLES Y TECLAS COMO EL F2 NO FUNCIONABAN"/>
    <x v="253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953926"/>
    <s v="5CG1281RNB"/>
    <x v="52"/>
    <s v="NO"/>
    <s v="Teclas saltada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2-11T00:00:00"/>
    <m/>
    <s v="N036911"/>
    <s v="5CG3131GZL"/>
    <x v="51"/>
    <s v="SI"/>
    <s v="Teclado tecla T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3831"/>
    <s v="5CG1017PS2"/>
    <x v="50"/>
    <s v="NO"/>
    <s v="ERROR PANTALLA AZUL/TECLADO i DAÑADA"/>
    <s v="COVER TECLADO"/>
    <x v="3"/>
    <n v="1"/>
    <m/>
    <x v="4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9898"/>
    <s v="5CG10790G9"/>
    <x v="53"/>
    <s v="SI"/>
    <s v="TECLADO BORR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9967"/>
    <s v="5CG10790KN"/>
    <x v="52"/>
    <s v="NO"/>
    <s v="FALLO BATERIA/COVER TRASERA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3323"/>
    <s v="5CG1027R2Z"/>
    <x v="50"/>
    <s v="NO"/>
    <s v="FALLO BATERIA"/>
    <s v="BATERIA"/>
    <x v="3"/>
    <n v="1"/>
    <s v="FALLABA BATERIA Y SE VOLVIO A CAMBIAR "/>
    <x v="254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1950"/>
    <s v="5CG1095DBX"/>
    <x v="52"/>
    <s v="NO"/>
    <s v="FALLO MICR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3841"/>
    <s v="5CG04727HR"/>
    <x v="50"/>
    <s v="NO"/>
    <s v="FALLA PUERTOS USB C"/>
    <s v="REPARACION PLACA BASE"/>
    <x v="3"/>
    <n v="1"/>
    <m/>
    <x v="255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4170"/>
    <s v="5CG0463861"/>
    <x v="50"/>
    <s v="NO"/>
    <s v="TECLAS ROT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2716"/>
    <s v="5CG0514H76"/>
    <x v="50"/>
    <s v="NO"/>
    <s v="FALLA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2657"/>
    <s v="5CG0514F2Y"/>
    <x v="50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8949"/>
    <s v="5CG0514G0X"/>
    <x v="50"/>
    <s v="NO"/>
    <s v="TECLA E ROTA"/>
    <s v="COVER TECLADO"/>
    <x v="3"/>
    <n v="1"/>
    <m/>
    <x v="4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36671"/>
    <s v="5CG3131DYZ"/>
    <x v="51"/>
    <s v="SI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0641"/>
    <s v="5CG1070N10"/>
    <x v="52"/>
    <s v="NO"/>
    <s v="PANTALLA ROTA/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7356"/>
    <s v="5CG5101G7B"/>
    <x v="54"/>
    <s v="NO"/>
    <s v="PUERTO USB C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45647"/>
    <s v="5CG1254R2W"/>
    <x v="55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10561"/>
    <s v="5CG3131DXR"/>
    <x v="51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10570"/>
    <s v="5CG3131F82"/>
    <x v="51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8630"/>
    <s v="5CG0517GDL"/>
    <x v="50"/>
    <s v="NO"/>
    <s v="NO FUNCION TOUCHPAD"/>
    <s v="TOUCHPAD/COVER TECLADO "/>
    <x v="3"/>
    <n v="1"/>
    <s v=" SE VOLVIO A COLOCAR UN NUEVO COVER TECLADO PORQUE EL ANTERIOR LO MANIPULARON MAL Y NO FUNCIONABA LAS TECLAS F9 Y F10"/>
    <x v="25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3589"/>
    <s v="5CG047279L"/>
    <x v="50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7639"/>
    <s v="5CG0515SSJ"/>
    <x v="50"/>
    <s v="NO"/>
    <s v="TECLADO ROTO"/>
    <s v="COVER TECLADO /COVER LCD"/>
    <x v="3"/>
    <n v="1"/>
    <m/>
    <x v="257"/>
    <n v="45"/>
    <n v="275.5"/>
    <n v="320.5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57122"/>
    <s v="5CG4194KLR"/>
    <x v="48"/>
    <s v="SI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0441"/>
    <s v="5CG33549LV"/>
    <x v="53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10546"/>
    <s v="5CG3131GQW"/>
    <x v="51"/>
    <s v="SI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55966"/>
    <s v="5CG046385P"/>
    <x v="50"/>
    <s v="NO"/>
    <s v="APAGAD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4122"/>
    <s v="5CG0515TT4"/>
    <x v="50"/>
    <s v="NO"/>
    <s v="apagados continuos/teclado roto"/>
    <m/>
    <x v="3"/>
    <n v="1"/>
    <s v="SE SUSTITUYE PANTALLA A OTRO EQUIPO"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875207"/>
    <s v="5CG1072D68"/>
    <x v="52"/>
    <s v="NO"/>
    <s v="CARCASA GOLPEADA/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6637"/>
    <s v="5CG0515RXQ"/>
    <x v="50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18632"/>
    <s v="5CG0517FBD"/>
    <x v="50"/>
    <s v="NO"/>
    <s v="CARCASA ROTA/CAMAR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22523"/>
    <s v="5CG0514G0M"/>
    <x v="50"/>
    <s v="NO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37266"/>
    <s v="5CG3131FV8"/>
    <x v="51"/>
    <s v="SI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045387"/>
    <s v="5CG40753P8"/>
    <x v="48"/>
    <s v="SI"/>
    <s v="TECLA SHIFT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N931357"/>
    <s v="5CG1083MKK"/>
    <x v="52"/>
    <s v="NO"/>
    <s v="TECLA R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s v="18/02/202"/>
    <m/>
    <s v="K113576 "/>
    <s v="5CG1017Q0B"/>
    <x v="50"/>
    <s v="NO"/>
    <s v="FALL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949"/>
    <s v="5CG3131FBF"/>
    <x v="51"/>
    <s v="SI"/>
    <s v="FALLA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47870"/>
    <s v="5CG5091SZC"/>
    <x v="47"/>
    <s v="SI"/>
    <s v="Fallo H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6913"/>
    <s v="5CG3080SCV"/>
    <x v="56"/>
    <s v="SI"/>
    <s v="Cambiar Etiqueta NAME en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16833"/>
    <s v="5CG0515SRC"/>
    <x v="50"/>
    <s v="NO"/>
    <s v="Falla Touchpad (parte izda)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0577"/>
    <s v="5CG04638D7"/>
    <x v="50"/>
    <s v="NO"/>
    <s v="Teclado Letra &quot;i&quot;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08803"/>
    <s v="5CG3131FV9"/>
    <x v="51"/>
    <s v="SI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6911"/>
    <s v="5CG0517FDG"/>
    <x v="50"/>
    <s v="NO"/>
    <s v="TOUCHPAD DAÑADO, TAPA SEMIABIER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08807"/>
    <s v="5CG3131FZ7"/>
    <x v="51"/>
    <s v="SI"/>
    <s v="PANTALLA EN NEGRO Y BLOQUE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38288"/>
    <s v="5CG3300WLZ"/>
    <x v="51"/>
    <s v="SI"/>
    <s v="FALLAS TECLAS Q ,A, Z, 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06981"/>
    <s v="5CG3300WKZ"/>
    <x v="51"/>
    <s v="SI"/>
    <s v="FALLA TECLA 5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92144"/>
    <s v="5CG15117WK"/>
    <x v="57"/>
    <s v="NO"/>
    <s v="Fallo HW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58676"/>
    <s v="5CG4081QLY"/>
    <x v="54"/>
    <s v="NO"/>
    <s v="FALLO TOUCHPA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22466"/>
    <s v="5CG0517HYH"/>
    <x v="50"/>
    <s v="NO"/>
    <s v="S.O. KO POSIBLE ROTURA DISC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92138"/>
    <s v="5CG15116W8"/>
    <x v="58"/>
    <s v="NO"/>
    <s v="PANTALLA DAÑADA GOMAS PARTE POSTERI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28160"/>
    <s v="5CG3021J71"/>
    <x v="49"/>
    <s v="NO"/>
    <s v="SE CALIENTA MUCHO + GOMAS DE ABAJO"/>
    <s v="POR VER 5CG3021J7J"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40914"/>
    <s v="5CG34444G8"/>
    <x v="48"/>
    <s v="SI"/>
    <s v="FALLO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44674"/>
    <s v="5CG3515314"/>
    <x v="48"/>
    <s v="SI"/>
    <s v="NO SE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22403"/>
    <s v="5CG0517J1W"/>
    <x v="50"/>
    <s v="NO"/>
    <s v="Baterí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36736"/>
    <s v="5CG3131DXN"/>
    <x v="51"/>
    <s v="SI"/>
    <s v="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37234"/>
    <s v="5CG3131HDK"/>
    <x v="51"/>
    <s v="SI"/>
    <s v="Tarjeta de re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908"/>
    <s v="5CG3131CY1"/>
    <x v="51"/>
    <s v="SI"/>
    <s v="Cambiar Etiqueta NAME en BI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891"/>
    <s v="5CG3131CWM"/>
    <x v="51"/>
    <s v="SI"/>
    <s v="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874423"/>
    <s v="5CG04638CR"/>
    <x v="50"/>
    <s v="NO"/>
    <s v="Fallo Tarjeta de re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44747"/>
    <s v="5CG1279Z2M"/>
    <x v="58"/>
    <s v="NO"/>
    <s v="Camar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84151"/>
    <s v="5CG2401GP5"/>
    <x v="49"/>
    <s v="NO"/>
    <s v="teclas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N989283"/>
    <s v="5CG2073LFM"/>
    <x v="49"/>
    <s v="NO"/>
    <s v="bsod (PANTALLAZOS AZULES)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010625"/>
    <s v="5CG3131F6L"/>
    <x v="51"/>
    <s v="SI"/>
    <s v="No carg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04297"/>
    <s v="5CG5091TFS"/>
    <x v="47"/>
    <s v="SI"/>
    <s v="BAteri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03T00:00:00"/>
    <m/>
    <s v="K110562"/>
    <s v="5CG04637W0"/>
    <x v="50"/>
    <s v="NO"/>
    <s v="Fallo Touchpad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104467"/>
    <s v="5CG50940T2"/>
    <x v="19"/>
    <s v="SI"/>
    <s v="RUIDO VENTILADOR CONTINUO, NO MUESTRA IMAGEN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40145"/>
    <s v="5CG33201LT"/>
    <x v="17"/>
    <s v="SI"/>
    <s v="TECLADO ROTO, RUIDO VENTILADOR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N916901"/>
    <s v="5CG0515RXN"/>
    <x v="7"/>
    <s v="NO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06547"/>
    <s v="5CG2412STH"/>
    <x v="8"/>
    <s v="NO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37170"/>
    <s v="5CG3131HDY"/>
    <x v="6"/>
    <s v="SI"/>
    <s v="TAPA FLOJA, HDMI NO FUNCION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N933422"/>
    <s v="5CG1254PGD"/>
    <x v="9"/>
    <s v="NO"/>
    <s v="TAPA INFERIOR ROTA, PUERTOS Y PLASTICOS ROT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37215"/>
    <s v="5CG3131FW9"/>
    <x v="6"/>
    <s v="SI"/>
    <s v="BATERIA CARGA REGULAR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3-04T00:00:00"/>
    <m/>
    <s v="K036778"/>
    <s v="5CG3131D0V"/>
    <x v="6"/>
    <s v="SI"/>
    <s v="TECLAS Q, A, 1, 2 NO FUNCIONAN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873583"/>
    <s v="5CG1017RMB"/>
    <x v="50"/>
    <s v="NO"/>
    <s v="PANTALLA ROTA"/>
    <s v="5CG1017RNB"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97098"/>
    <s v="5CG1511BK5  "/>
    <x v="59"/>
    <s v="NO"/>
    <s v="FALLA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113590"/>
    <s v="5CG1255V1N  "/>
    <x v="59"/>
    <s v="NO"/>
    <s v="TECLA &quot;T&quot; NO FUNCION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113587"/>
    <s v="5CG0486M7G  "/>
    <x v="60"/>
    <s v="NO"/>
    <s v="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7792"/>
    <s v="5CG0515TTJ  "/>
    <x v="60"/>
    <s v="NO"/>
    <s v="FALLO DE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22758"/>
    <s v="5CG0517HWW  "/>
    <x v="50"/>
    <s v="NO"/>
    <s v="FALLO BATERIA/TECLADO RO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51085"/>
    <s v="5CG1072DM5  "/>
    <x v="60"/>
    <s v="NO"/>
    <s v="FALLO BATERIA/TECLADO ROTO/FALTA GOMA DE LA BAS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36715"/>
    <s v="5CG3131CYG "/>
    <x v="51"/>
    <s v="SI"/>
    <s v="ERROR PANTALLA AZUL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56033"/>
    <s v="5CG4075414  "/>
    <x v="48"/>
    <s v="SI"/>
    <s v="MANCHA EN LA ESQUINA INFERIOR IZQUIERDA DE LA PANTALL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114333"/>
    <s v="5CG1070N18  "/>
    <x v="60"/>
    <s v="NO"/>
    <s v="FALLO DE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M991589"/>
    <s v="5CG1518BR2  "/>
    <x v="59"/>
    <s v="NO"/>
    <s v="CARCASA TRASERA DESCUADRADA Y BISAGRA DERECH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22498"/>
    <s v="5CG0517FYJ  "/>
    <x v="50"/>
    <s v="NO"/>
    <s v="CARCASA DE LAS BISAGRAS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5935"/>
    <s v="5CG10486H7  "/>
    <x v="60"/>
    <s v="NO"/>
    <s v="GOLPEADO EN LA ESQUINA SUPERIOR IZQUIERD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4316"/>
    <s v="5CG0514HV3  "/>
    <x v="50"/>
    <s v="NO"/>
    <s v="TECLADO 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K040011"/>
    <s v="5CG3300WK5  "/>
    <x v="51"/>
    <s v="SI"/>
    <s v="FALLA TECLADO/SOPORTE DE PANTALLA RO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8766"/>
    <s v="5CG0514HVD  "/>
    <x v="50"/>
    <s v="NO"/>
    <s v="FALLO BATERI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8T00:00:00"/>
    <m/>
    <s v="N919007"/>
    <s v="5CG0514G4T  "/>
    <x v="50"/>
    <s v="NO"/>
    <s v="APAGADOS CONTINUO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30319"/>
    <s v="5CG1083MK8"/>
    <x v="52"/>
    <s v="NO"/>
    <s v="FALLA BATERI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116906"/>
    <s v="5CG3140V14"/>
    <x v="61"/>
    <s v="SI"/>
    <s v="Fallo HD"/>
    <m/>
    <x v="3"/>
    <n v="1"/>
    <s v="SE HA SUSTITUIDO SU COVER PANTALLA POR EL EQUIPO 5CG3133581, SOLICITAR PIEZA POR GARANTÍA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16663"/>
    <s v="5CG0514G0C"/>
    <x v="50"/>
    <s v="NO"/>
    <s v="Ventilad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40077"/>
    <s v="5CG3300SRQ"/>
    <x v="51"/>
    <s v="SI"/>
    <s v="Fallo Touchpad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54253"/>
    <s v="5CG03982T3"/>
    <x v="52"/>
    <s v="NO"/>
    <s v="Ventilador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468"/>
    <s v="5CG0517FC9"/>
    <x v="50"/>
    <s v="NO"/>
    <s v="Gomas y Golpe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08829"/>
    <s v="5CG3131GQ0"/>
    <x v="51"/>
    <s v="SI"/>
    <s v="Sobrecalentamient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36647"/>
    <s v="5CG3131DZ1"/>
    <x v="51"/>
    <s v="SI"/>
    <s v="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89823"/>
    <s v="5CG2073LPY"/>
    <x v="49"/>
    <s v="NO"/>
    <s v="Fallo HD &amp; Fallo maque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1014"/>
    <s v="5CG4321YJF"/>
    <x v="48"/>
    <s v="SI"/>
    <s v="Posible fallo placa o ram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38"/>
    <s v="5CG3131CTZ"/>
    <x v="51"/>
    <s v="SI"/>
    <s v="Fallo Pantalla, bateria y Falta tec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74256"/>
    <s v="5CG04638FN"/>
    <x v="50"/>
    <s v="NO"/>
    <s v="Pantalla KO, Teclado falta tec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18720"/>
    <s v="5CG0517FNR"/>
    <x v="50"/>
    <s v="NO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105033"/>
    <s v="5CG5101G9D"/>
    <x v="62"/>
    <s v="NO"/>
    <s v="Puertos USB y jack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43"/>
    <s v="5CG3131FW2"/>
    <x v="51"/>
    <s v="SI"/>
    <s v="Teclado lateral izq del teclado f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88975"/>
    <s v="5CG2073LNG"/>
    <x v="49"/>
    <s v="NO"/>
    <s v="Faltan tecla, pantallazos azules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57035"/>
    <s v="5CG9250PTH"/>
    <x v="49"/>
    <s v="NO"/>
    <s v="Fallan Puertos USB-C"/>
    <m/>
    <x v="3"/>
    <n v="0"/>
    <s v="NO HA LLEGADO ESTE EQUIPO"/>
    <x v="0"/>
    <m/>
    <m/>
    <m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89179"/>
    <s v="5CG2073L44"/>
    <x v="49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30291"/>
    <s v="5CG1083P19"/>
    <x v="63"/>
    <s v="NO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7232"/>
    <s v="5CG4194B6D"/>
    <x v="48"/>
    <s v="SI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944"/>
    <s v="5CG1018BBP"/>
    <x v="63"/>
    <s v="NO"/>
    <s v="PARA DESPIEC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3920"/>
    <s v="5CG04727C6"/>
    <x v="50"/>
    <s v="NO"/>
    <s v="teclado averi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73786"/>
    <s v="5CG1017Q75"/>
    <x v="50"/>
    <s v="NO"/>
    <s v="touchpad averi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7242"/>
    <s v="5CG4194B6C"/>
    <x v="48"/>
    <s v="SI"/>
    <s v="No enciende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77"/>
    <s v="5CG3131CXD"/>
    <x v="51"/>
    <s v="SI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54659"/>
    <s v="5CG4321Y3C"/>
    <x v="48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874247"/>
    <s v="5CG046392G"/>
    <x v="50"/>
    <s v="NO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396"/>
    <s v="5CG0517FYH"/>
    <x v="50"/>
    <s v="NO"/>
    <s v="BOLITA DEL RATÓN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17926"/>
    <s v="5CG0517H78"/>
    <x v="50"/>
    <s v="NO"/>
    <s v="NO ARRANCA POSIBLE BIOS O RAM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K010830"/>
    <s v="5CG3131D43"/>
    <x v="51"/>
    <s v="SI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57035"/>
    <s v="5CG3131DX7"/>
    <x v="51"/>
    <s v="SI"/>
    <m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51955"/>
    <s v="5CG42665KC"/>
    <x v="17"/>
    <s v="SI"/>
    <s v="PARTE IZQUIERDA DE LA PANTALLA QUEMAD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3968"/>
    <s v="5CG0514DQP"/>
    <x v="64"/>
    <s v="NO"/>
    <s v="PANTALLA MAL"/>
    <s v="PANTALLA"/>
    <x v="3"/>
    <n v="1"/>
    <m/>
    <x v="32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47567"/>
    <s v="5CG1257XDJ"/>
    <x v="9"/>
    <s v="NO"/>
    <s v="TACTIL NO FUNCIONA, LED DE ENCENDIDO FUNDI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36302"/>
    <s v="5CG2020VJ2"/>
    <x v="65"/>
    <s v="NO"/>
    <s v="FALLA PUERTO USB-C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56439"/>
    <s v="5CG1330CWM"/>
    <x v="65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82309"/>
    <s v="5CG2303CLZ"/>
    <x v="65"/>
    <s v="NO"/>
    <s v="PANTALLA DAÑADA/GOMAS TRASERAS DAÑAD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57221"/>
    <s v="5CG4194B7K"/>
    <x v="66"/>
    <s v="SI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3571"/>
    <s v="5CG04638CM"/>
    <x v="64"/>
    <s v="NO"/>
    <s v="APAGADOS CONTINUOS / FALLA BATERIA"/>
    <s v="PLACA BASE REPARACION/BATERIA"/>
    <x v="3"/>
    <n v="1"/>
    <m/>
    <x v="258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04123"/>
    <s v="5CG5091T5Q"/>
    <x v="67"/>
    <s v="SI"/>
    <s v="SE HA CAIDO UN VASO DE AGUA EN TECL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36741"/>
    <s v="5CG3131DY8"/>
    <x v="68"/>
    <s v="SI"/>
    <s v="PANTALL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2607"/>
    <s v="5CG0472785"/>
    <x v="64"/>
    <s v="NO"/>
    <s v="NO ENCIEND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36786"/>
    <s v="5CG3131DZK"/>
    <x v="68"/>
    <s v="SI"/>
    <s v="FALLA TECLA ENTER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16941"/>
    <s v="5CG0517GF8"/>
    <x v="64"/>
    <s v="NO"/>
    <s v="PUERTO HDMI DAÑAD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113574"/>
    <s v="5CG1017RRJ"/>
    <x v="64"/>
    <s v="NO"/>
    <s v="FALLO BATERIA"/>
    <s v="BATERIA "/>
    <x v="3"/>
    <n v="1"/>
    <m/>
    <x v="6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22555"/>
    <s v="5CG0515V9Y"/>
    <x v="64"/>
    <s v="NO"/>
    <s v="APAGADOS CONTINUOS/TECLA E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24091"/>
    <s v="5CG1072M24"/>
    <x v="69"/>
    <s v="NO"/>
    <s v="APAGADOS CONTINUOS/GOMAS TRASERAS ROT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17745"/>
    <s v="5CG0515SBC"/>
    <x v="64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K050419"/>
    <s v="5CG1119HGZ"/>
    <x v="69"/>
    <s v="NO"/>
    <s v="APAGADOS CONTINUOS 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30000"/>
    <s v="5CG10792KH"/>
    <x v="69"/>
    <s v="NO"/>
    <s v="FALLA VENTILADOR/GOMAS TRASERAS ROTA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3-16T00:00:00"/>
    <m/>
    <s v="N933679"/>
    <s v="5CG1254S8B"/>
    <x v="70"/>
    <s v="NO"/>
    <s v="PUERTO USB C DAÑADO/GOMA TRASER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3-20T00:00:00"/>
    <m/>
    <s v="N922370"/>
    <s v="5CG0517GG8"/>
    <x v="50"/>
    <s v="NO"/>
    <s v="Falla la carga de baterí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58241"/>
    <s v="5CG4181T3W"/>
    <x v="17"/>
    <s v="SI"/>
    <s v="PANTALLA EN NEGRO NO ENCIEND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22313"/>
    <s v="5CG0515S9Z"/>
    <x v="7"/>
    <s v="NO"/>
    <s v="TECLAS ROT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105061"/>
    <s v="5CG5101G90"/>
    <x v="17"/>
    <s v="SI"/>
    <s v="PUERTO USB-C NO CARGA CORRIENT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874385"/>
    <s v="5CG04638G4"/>
    <x v="7"/>
    <s v="NO"/>
    <s v="TAPA SUPERIOR FLOJA 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06986"/>
    <s v="5CG3300WMJ"/>
    <x v="6"/>
    <s v="SI"/>
    <s v="FALLAN LAS TECLAS NUMERICAS &quot;5&quot; Y &quot;6&quot;, Y FALLA EL EXCEL Y SE CIERR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94736"/>
    <s v="5CG2204Z8J"/>
    <x v="9"/>
    <s v="NO"/>
    <s v="VENTILADOR HACE RUID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45099"/>
    <s v="5CG40754MZ"/>
    <x v="37"/>
    <s v="SI"/>
    <s v="PORTATIL PANTALLA CON MANCHA NEGRA EN ESQUINA INFERIOR IZQ.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56972"/>
    <s v="5CG4194B1W"/>
    <x v="37"/>
    <s v="SI"/>
    <s v="EL SEGUNDO PUERTO USB-C ESTA ROTO HARDWARE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30944"/>
    <s v="5CG1017RFG"/>
    <x v="7"/>
    <s v="NO"/>
    <s v="TECLAS ROTA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871385"/>
    <s v="5CG1257DB8"/>
    <x v="9"/>
    <s v="NO"/>
    <s v="CARCASA ROTA VISAGRA NO AGUANTA LA PANTALLA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840862"/>
    <s v="5CG03296D9"/>
    <x v="16"/>
    <s v="NO"/>
    <s v="PORTATIL NO ARRANCA, SE HACE HARD RESET Y NO ARRANCA, ERROR BI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40053"/>
    <s v="5CG3300WNR"/>
    <x v="6"/>
    <s v="SI"/>
    <s v="PORTATIL NO ARRANCA, SE HACE HARD RESET Y NO ARRANCA, ERROR BIOS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037319"/>
    <s v="5CG3131FB2"/>
    <x v="6"/>
    <s v="SI"/>
    <s v="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N918664"/>
    <s v="5CG0517FCH"/>
    <x v="7"/>
    <s v="NO"/>
    <s v="GOMAS ROTAS Y TECLADO ROTO"/>
    <m/>
    <x v="3"/>
    <n v="1"/>
    <m/>
    <x v="0"/>
    <n v="45"/>
    <m/>
    <n v="0"/>
    <m/>
    <m/>
    <m/>
    <m/>
  </r>
  <r>
    <s v="Barcelona"/>
    <s v="Cristina Cano Gomez"/>
    <n v="682687160"/>
    <s v=" cristina.canogomez.ext@telefonica.com  "/>
    <s v="Gran Vía de les Corts Catalanes 159, planta 1. 08014"/>
    <d v="2026-04-10T00:00:00"/>
    <m/>
    <s v="K105208"/>
    <s v="5CG5101GFL"/>
    <x v="17"/>
    <s v="SI"/>
    <s v="SE APAGA LA PANTALL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874131"/>
    <s v="5CG04638DN"/>
    <x v="7"/>
    <s v="NO"/>
    <s v="APAGADOS CONTINUOS / TECLA &quot;A&quot;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113577"/>
    <s v="5CG1254SFW"/>
    <x v="9"/>
    <s v="NO"/>
    <s v="NO FUNCIONA BIEN / TOUCHPAD NO FUNCIONA CORRECTAMENTE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116759"/>
    <s v="5CG1514CQV"/>
    <x v="9"/>
    <s v="NO"/>
    <s v="APAGADOS CONTINU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922568"/>
    <s v="5CG0517HYL"/>
    <x v="7"/>
    <s v="NO"/>
    <s v="APAGADOS CONTINUOS/SOBRECALENTAMIEN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37167"/>
    <s v="5CG3131GXX"/>
    <x v="6"/>
    <s v="SI"/>
    <s v="TECLAS ROTAS (1,Q,A y Z)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36754"/>
    <s v="5CG3131CV8"/>
    <x v="15"/>
    <s v="SI"/>
    <s v="APAGADOS CONTINUOS/SOBRECALENTAMIENTO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922656"/>
    <s v="5CG0514GQW"/>
    <x v="7"/>
    <s v="NO"/>
    <s v="BISAGRA ROT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N918659"/>
    <s v="5CG0517FBG"/>
    <x v="7"/>
    <s v="NO"/>
    <s v="APAGADOS CONTINUOS/ERROR BATERIA BIOS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46033"/>
    <s v="5CG50617SZ"/>
    <x v="17"/>
    <s v="SI"/>
    <s v="APAGADOS CONTINUOS/RUIDO VENTILADOR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36700"/>
    <s v="5CG3131DXD"/>
    <x v="6"/>
    <s v="SI"/>
    <s v="CARACASA EN MAL ESTADO Y DESCUADRAD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51080"/>
    <s v="5CG4321Y1M"/>
    <x v="37"/>
    <s v="SI"/>
    <s v="NO ARRANCA"/>
    <m/>
    <x v="3"/>
    <n v="1"/>
    <m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047348"/>
    <s v="5CG5101G91"/>
    <x v="17"/>
    <s v="SI"/>
    <m/>
    <m/>
    <x v="3"/>
    <n v="1"/>
    <s v="NO ESTA EN LA LISTA DE LOS EQUIPOS PROVENIENTES DE LAS 2 CAJAS DEL 14/04/2026"/>
    <x v="0"/>
    <n v="45"/>
    <m/>
    <n v="0"/>
    <m/>
    <m/>
    <m/>
    <m/>
  </r>
  <r>
    <s v="Madrid"/>
    <s v="Carmen Rodríguez Lage "/>
    <n v="616866669"/>
    <s v="mariacarmen.rodriguezlage.ext@telefonica.com"/>
    <s v="Torre Plaza Castilla - Paseo de la Castellana, 189. Planta 13. 28046 - Madrid"/>
    <d v="2026-04-14T00:00:00"/>
    <m/>
    <s v="K104819"/>
    <s v="5CG50940RK"/>
    <x v="19"/>
    <s v="SI"/>
    <m/>
    <m/>
    <x v="3"/>
    <n v="1"/>
    <s v="NO ESTA EN LA LISTA DE LOS EQUIPOS PROVENIENTES DE LAS 2 CAJAS DEL 14/04/2026"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104814"/>
    <s v="5CG50940RO"/>
    <x v="19"/>
    <s v="SI"/>
    <s v="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91338"/>
    <s v="5CG15189M7"/>
    <x v="9"/>
    <s v="NO"/>
    <s v="DESPRENDIMIENTO PANTALL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10739"/>
    <s v="5CG3131FNC"/>
    <x v="6"/>
    <s v="SI"/>
    <s v="PANTALLA DAN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874511"/>
    <s v="5CG04727JK"/>
    <x v="7"/>
    <s v="NO"/>
    <s v="TECLAS F R V ESTAN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88981"/>
    <s v="5CG2073KKF"/>
    <x v="8"/>
    <s v="NO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17947"/>
    <s v="5CG0517HWZ"/>
    <x v="7"/>
    <s v="NO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30591"/>
    <s v="5CG05206W3"/>
    <x v="7"/>
    <s v="NO"/>
    <s v="NO COGE REDES WIFI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0842"/>
    <s v="5CG3021J6L"/>
    <x v="8"/>
    <s v="NO"/>
    <s v="TECLAS, TOUCHPAD Y PANTALLA ROT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5925"/>
    <s v="5CG40754J4"/>
    <x v="10"/>
    <s v="SI"/>
    <s v="FALLO PARTE IZQUIERD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6813"/>
    <s v="5CG3131F6W"/>
    <x v="6"/>
    <s v="SI"/>
    <s v="PANTALLA DAÑ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6338"/>
    <s v="5CG3140VMK"/>
    <x v="15"/>
    <s v="SI"/>
    <s v="SE CLICA EL TACTIL SOL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10807"/>
    <s v="5CG3131D7G"/>
    <x v="6"/>
    <s v="SI"/>
    <s v="PUERTOS TIPO C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116949"/>
    <s v="5CG0515SBJ"/>
    <x v="7"/>
    <s v="NO"/>
    <s v="TECLAS M YN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10642"/>
    <s v="5CG3131FP4"/>
    <x v="6"/>
    <s v="SI"/>
    <s v="TOUCHPAD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6057"/>
    <s v="5CG407548V"/>
    <x v="10"/>
    <s v="SI"/>
    <s v="FALLO PARTE IZQUIERDA TECLAD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7258"/>
    <s v="5CG3131FWQ"/>
    <x v="6"/>
    <s v="SI"/>
    <s v="DISCO DURO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18945"/>
    <s v="5CG0514FS5"/>
    <x v="71"/>
    <s v="NO"/>
    <s v="BATERIA KO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36848"/>
    <s v="5CG3131F7J"/>
    <x v="6"/>
    <s v="SI"/>
    <s v="NO ARRANC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K054621"/>
    <s v="5CG4321Y7G"/>
    <x v="10"/>
    <s v="SI"/>
    <s v="PANTALLA DANADA"/>
    <m/>
    <x v="3"/>
    <n v="1"/>
    <m/>
    <x v="0"/>
    <n v="45"/>
    <m/>
    <n v="0"/>
    <m/>
    <m/>
    <m/>
    <m/>
  </r>
  <r>
    <s v="Barcelona"/>
    <s v="Cristina Cano Gomez"/>
    <s v="682687160 "/>
    <s v="cristina.canogomez.ext@telefonica.com  "/>
    <s v="Av. Diagonal, 621, zona intermedia, pl. -1. 08028 – Barcelona"/>
    <d v="2026-04-21T00:00:00"/>
    <m/>
    <s v="N916549"/>
    <s v="5CG0515VRQ"/>
    <x v="7"/>
    <s v="NO"/>
    <s v="PANTALLA DANADA"/>
    <m/>
    <x v="3"/>
    <n v="1"/>
    <m/>
    <x v="0"/>
    <n v="45"/>
    <m/>
    <n v="0"/>
    <m/>
    <m/>
    <m/>
    <m/>
  </r>
  <r>
    <m/>
    <m/>
    <m/>
    <m/>
    <m/>
    <m/>
    <m/>
    <m/>
    <m/>
    <x v="0"/>
    <m/>
    <m/>
    <m/>
    <x v="0"/>
    <m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62295-7E9F-4744-BDD8-09987EC5BF98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T10" firstHeaderRow="1" firstDataRow="2" firstDataCol="1" rowPageCount="1" colPageCount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74">
        <item x="18"/>
        <item x="17"/>
        <item x="11"/>
        <item x="9"/>
        <item x="15"/>
        <item x="16"/>
        <item x="10"/>
        <item x="19"/>
        <item x="7"/>
        <item x="8"/>
        <item x="6"/>
        <item x="12"/>
        <item x="13"/>
        <item x="14"/>
        <item x="4"/>
        <item x="1"/>
        <item x="2"/>
        <item x="5"/>
        <item x="3"/>
        <item x="20"/>
        <item x="0"/>
        <item x="21"/>
        <item m="1" x="72"/>
        <item x="24"/>
        <item x="25"/>
        <item x="26"/>
        <item x="22"/>
        <item x="23"/>
        <item x="27"/>
        <item x="28"/>
        <item x="29"/>
        <item x="30"/>
        <item x="31"/>
        <item x="32"/>
        <item x="33"/>
        <item x="38"/>
        <item x="39"/>
        <item x="42"/>
        <item x="43"/>
        <item x="41"/>
        <item x="40"/>
        <item x="44"/>
        <item x="34"/>
        <item x="37"/>
        <item x="45"/>
        <item x="46"/>
        <item x="35"/>
        <item x="3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Row" showAll="0">
      <items count="13">
        <item x="4"/>
        <item m="1" x="8"/>
        <item x="1"/>
        <item x="3"/>
        <item x="2"/>
        <item x="0"/>
        <item m="1" x="9"/>
        <item m="1" x="10"/>
        <item m="1" x="11"/>
        <item m="1" x="6"/>
        <item m="1" x="7"/>
        <item m="1" x="5"/>
        <item t="default"/>
      </items>
    </pivotField>
    <pivotField showAll="0"/>
    <pivotField showAll="0"/>
    <pivotField axis="axisPage" multipleItemSelectionAllowed="1" showAll="0">
      <items count="260">
        <item x="82"/>
        <item x="49"/>
        <item x="55"/>
        <item h="1" x="122"/>
        <item x="76"/>
        <item x="70"/>
        <item x="69"/>
        <item x="67"/>
        <item x="54"/>
        <item x="51"/>
        <item x="6"/>
        <item x="33"/>
        <item x="71"/>
        <item x="18"/>
        <item x="64"/>
        <item x="42"/>
        <item x="95"/>
        <item x="46"/>
        <item x="16"/>
        <item x="50"/>
        <item x="98"/>
        <item x="7"/>
        <item x="24"/>
        <item x="73"/>
        <item x="23"/>
        <item x="20"/>
        <item x="15"/>
        <item x="41"/>
        <item x="22"/>
        <item x="75"/>
        <item x="78"/>
        <item x="77"/>
        <item x="32"/>
        <item x="61"/>
        <item x="87"/>
        <item x="21"/>
        <item x="28"/>
        <item x="14"/>
        <item x="26"/>
        <item x="99"/>
        <item x="11"/>
        <item x="5"/>
        <item x="27"/>
        <item x="25"/>
        <item x="85"/>
        <item x="37"/>
        <item x="30"/>
        <item x="8"/>
        <item x="118"/>
        <item x="9"/>
        <item x="91"/>
        <item x="44"/>
        <item x="40"/>
        <item x="83"/>
        <item x="47"/>
        <item x="10"/>
        <item x="90"/>
        <item x="4"/>
        <item x="31"/>
        <item x="81"/>
        <item x="39"/>
        <item x="53"/>
        <item x="38"/>
        <item x="66"/>
        <item x="74"/>
        <item x="59"/>
        <item x="12"/>
        <item x="2"/>
        <item x="17"/>
        <item x="36"/>
        <item x="80"/>
        <item x="0"/>
        <item x="1"/>
        <item x="3"/>
        <item x="13"/>
        <item x="19"/>
        <item x="29"/>
        <item x="34"/>
        <item x="35"/>
        <item x="43"/>
        <item x="45"/>
        <item x="48"/>
        <item x="52"/>
        <item x="56"/>
        <item x="57"/>
        <item x="58"/>
        <item x="68"/>
        <item x="72"/>
        <item x="79"/>
        <item x="84"/>
        <item x="86"/>
        <item x="88"/>
        <item x="97"/>
        <item x="100"/>
        <item x="101"/>
        <item x="103"/>
        <item x="115"/>
        <item x="110"/>
        <item x="111"/>
        <item x="113"/>
        <item x="120"/>
        <item x="121"/>
        <item x="123"/>
        <item x="129"/>
        <item x="130"/>
        <item x="143"/>
        <item x="151"/>
        <item x="163"/>
        <item x="164"/>
        <item x="174"/>
        <item x="126"/>
        <item x="117"/>
        <item x="178"/>
        <item x="191"/>
        <item x="208"/>
        <item x="106"/>
        <item h="1" x="62"/>
        <item h="1" x="65"/>
        <item h="1" x="96"/>
        <item h="1" x="112"/>
        <item h="1" x="132"/>
        <item h="1" x="142"/>
        <item h="1" x="153"/>
        <item h="1" x="92"/>
        <item h="1" x="162"/>
        <item h="1" x="176"/>
        <item h="1" x="184"/>
        <item h="1" x="207"/>
        <item h="1" x="140"/>
        <item h="1" x="131"/>
        <item h="1" x="138"/>
        <item h="1" x="159"/>
        <item h="1" x="189"/>
        <item h="1" x="194"/>
        <item h="1" x="204"/>
        <item h="1" x="205"/>
        <item h="1" x="60"/>
        <item h="1" x="89"/>
        <item h="1" x="93"/>
        <item h="1" x="94"/>
        <item h="1" x="102"/>
        <item h="1" x="104"/>
        <item h="1" x="107"/>
        <item h="1" x="108"/>
        <item h="1" x="109"/>
        <item h="1" x="114"/>
        <item h="1" x="119"/>
        <item h="1" x="136"/>
        <item h="1" x="137"/>
        <item h="1" x="144"/>
        <item h="1" x="149"/>
        <item h="1" x="150"/>
        <item h="1" x="154"/>
        <item h="1" x="155"/>
        <item h="1" x="156"/>
        <item h="1" x="158"/>
        <item h="1" x="161"/>
        <item h="1" x="169"/>
        <item h="1" x="170"/>
        <item h="1" x="177"/>
        <item h="1" x="185"/>
        <item h="1" x="187"/>
        <item h="1" x="165"/>
        <item h="1" x="190"/>
        <item h="1" x="192"/>
        <item h="1" x="193"/>
        <item h="1" x="196"/>
        <item h="1" x="198"/>
        <item h="1" x="199"/>
        <item h="1" x="201"/>
        <item h="1" x="202"/>
        <item h="1" x="229"/>
        <item h="1" x="230"/>
        <item h="1" x="231"/>
        <item h="1" x="244"/>
        <item h="1" x="63"/>
        <item h="1" x="127"/>
        <item h="1" x="135"/>
        <item h="1" x="148"/>
        <item h="1" x="171"/>
        <item h="1" x="182"/>
        <item h="1" x="195"/>
        <item h="1" x="147"/>
        <item h="1" x="203"/>
        <item h="1" x="234"/>
        <item h="1" x="239"/>
        <item h="1" x="246"/>
        <item h="1" x="186"/>
        <item h="1" x="160"/>
        <item h="1" x="181"/>
        <item h="1" x="183"/>
        <item h="1" x="197"/>
        <item h="1" x="248"/>
        <item h="1" x="250"/>
        <item h="1" x="134"/>
        <item h="1" x="139"/>
        <item h="1" x="146"/>
        <item h="1" x="152"/>
        <item h="1" x="157"/>
        <item h="1" x="166"/>
        <item h="1" x="213"/>
        <item h="1" x="105"/>
        <item h="1" x="116"/>
        <item h="1" x="124"/>
        <item h="1" x="125"/>
        <item h="1" x="133"/>
        <item h="1" x="141"/>
        <item h="1" x="167"/>
        <item h="1" x="168"/>
        <item h="1" x="172"/>
        <item h="1" x="173"/>
        <item h="1" x="175"/>
        <item h="1" x="179"/>
        <item h="1" x="180"/>
        <item h="1" x="188"/>
        <item h="1" x="200"/>
        <item h="1" x="209"/>
        <item h="1" x="210"/>
        <item h="1" x="211"/>
        <item h="1" x="212"/>
        <item h="1" x="214"/>
        <item h="1" x="215"/>
        <item h="1" x="216"/>
        <item h="1" x="217"/>
        <item h="1" x="218"/>
        <item h="1" x="220"/>
        <item h="1" x="222"/>
        <item h="1" x="223"/>
        <item h="1" x="224"/>
        <item h="1" x="225"/>
        <item h="1" x="232"/>
        <item h="1" x="233"/>
        <item h="1" x="235"/>
        <item h="1" x="236"/>
        <item h="1" x="237"/>
        <item h="1" x="238"/>
        <item h="1" x="240"/>
        <item h="1" x="241"/>
        <item h="1" x="242"/>
        <item h="1" x="243"/>
        <item h="1" x="247"/>
        <item h="1" x="252"/>
        <item h="1" x="128"/>
        <item h="1" x="145"/>
        <item h="1" x="206"/>
        <item h="1" x="219"/>
        <item h="1" x="221"/>
        <item h="1" x="226"/>
        <item h="1" x="227"/>
        <item h="1" x="228"/>
        <item h="1" x="245"/>
        <item h="1" x="249"/>
        <item h="1" x="251"/>
        <item h="1" x="253"/>
        <item h="1" x="254"/>
        <item h="1" x="255"/>
        <item h="1" x="256"/>
        <item h="1" x="257"/>
        <item h="1" x="25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9"/>
  </colFields>
  <col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pageFields count="1">
    <pageField fld="16" hier="-1"/>
  </pageFields>
  <dataFields count="1">
    <dataField name="Cuenta de Nº DE SERI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B0751-342E-4430-B618-01A7BE906A5B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TEM">
  <location ref="E5:F1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m="1" x="10"/>
        <item x="4"/>
        <item m="1" x="6"/>
        <item m="1" x="8"/>
        <item m="1" x="5"/>
        <item x="1"/>
        <item m="1" x="9"/>
        <item m="1" x="7"/>
        <item x="3"/>
        <item x="2"/>
        <item m="1" x="1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6">
    <i>
      <x v="1"/>
    </i>
    <i>
      <x v="5"/>
    </i>
    <i>
      <x v="8"/>
    </i>
    <i>
      <x v="9"/>
    </i>
    <i>
      <x v="11"/>
    </i>
    <i t="grand">
      <x/>
    </i>
  </rowItems>
  <colItems count="1">
    <i/>
  </colItems>
  <dataFields count="1">
    <dataField name="FACTURACION TOTAL" fld="19" baseField="13" baseItem="0" numFmtId="164"/>
  </dataFields>
  <formats count="2">
    <format dxfId="137">
      <pivotArea collapsedLevelsAreSubtotals="1" fieldPosition="0">
        <references count="1">
          <reference field="13" count="1">
            <x v="5"/>
          </reference>
        </references>
      </pivotArea>
    </format>
    <format dxfId="136">
      <pivotArea dataOnly="0" labelOnly="1" fieldPosition="0">
        <references count="1">
          <reference field="1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7E8D4-14A0-425E-A1A3-5C195D578CFD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TEM">
  <location ref="B5:C1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4"/>
        <item x="1"/>
        <item x="3"/>
        <item x="2"/>
        <item x="0"/>
        <item m="1" x="8"/>
        <item m="1" x="9"/>
        <item m="1" x="10"/>
        <item m="1" x="11"/>
        <item m="1" x="6"/>
        <item m="1" x="7"/>
        <item m="1"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 TOTAL" fld="14" baseField="0" baseItem="0"/>
  </dataFields>
  <formats count="2">
    <format dxfId="139">
      <pivotArea collapsedLevelsAreSubtotals="1" fieldPosition="0">
        <references count="1">
          <reference field="13" count="1">
            <x v="1"/>
          </reference>
        </references>
      </pivotArea>
    </format>
    <format dxfId="138">
      <pivotArea dataOnly="0" labelOnly="1" fieldPosition="0">
        <references count="1">
          <reference field="1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9BF60-37B3-422D-8BA7-4599557FA07F}" name="Tabla1" displayName="Tabla1" ref="A3:W4" totalsRowShown="0">
  <autoFilter ref="A3:W4" xr:uid="{7DF9BF60-37B3-422D-8BA7-4599557FA07F}"/>
  <tableColumns count="23">
    <tableColumn id="1" xr3:uid="{3AF51804-A6E2-4C9B-B871-9B09A908CDFA}" name="Ubicacion"/>
    <tableColumn id="2" xr3:uid="{65FF3C3B-1913-4D23-A82C-119401A2ED72}" name="Contacto"/>
    <tableColumn id="3" xr3:uid="{51E3BC80-B26F-490B-B5E4-1D13B9DF5E1C}" name="Telefono"/>
    <tableColumn id="4" xr3:uid="{68EF6465-126F-491A-8E95-A544CE2AD6A4}" name="Email"/>
    <tableColumn id="5" xr3:uid="{8756210E-77EF-4B9F-AD75-0F6FB3F5B6F7}" name="Direccion"/>
    <tableColumn id="6" xr3:uid="{2FBF4CC9-DB69-444A-A64A-4800FABC44DE}" name="Fecha de entrada" dataDxfId="142"/>
    <tableColumn id="7" xr3:uid="{0032EAC4-A4B1-4C06-BEA5-19DEAFDC864F}" name="Caso"/>
    <tableColumn id="8" xr3:uid="{FD4EC9D9-14AD-47CB-B1D3-A306BB599933}" name="Etiqueta"/>
    <tableColumn id="9" xr3:uid="{FF5174B6-EF47-40BE-AA47-9A9178D6CAF8}" name="Nº DE SERIE"/>
    <tableColumn id="10" xr3:uid="{9D237F33-E9E9-40AF-8556-367C1E7FC35C}" name="Modelo"/>
    <tableColumn id="11" xr3:uid="{A11711D7-1F92-49B6-B23A-BFEFBEC5C578}" name="Garantía"/>
    <tableColumn id="12" xr3:uid="{CD3DF91A-FE43-4C84-96B4-EE8ED183D539}" name="DIAGNOSTICO DE CAIXA"/>
    <tableColumn id="13" xr3:uid="{B62ED061-63BF-4332-8D97-9EF48F0A96D6}" name="DIAGNOSTICO DE INFOSER"/>
    <tableColumn id="14" xr3:uid="{AF5B4CCE-7F34-4B35-80B5-618184B51342}" name="ESTADO"/>
    <tableColumn id="15" xr3:uid="{C44A1F0A-96A1-4ED4-ADA4-AE8DE4AAAC3D}" name="CANTIDAD"/>
    <tableColumn id="16" xr3:uid="{A0502AFC-577D-48DE-8501-922C9C5BE561}" name="OBSERVACION"/>
    <tableColumn id="17" xr3:uid="{68445E0D-F29B-4B08-8B0B-5732501108CB}" name="PIEZAS CAMBIADAS"/>
    <tableColumn id="18" xr3:uid="{4C60E6EE-5142-4061-8801-74F6F0073180}" name="Mantenimiento /limpieza interior y exterior / embalaje "/>
    <tableColumn id="19" xr3:uid="{FC6602A0-2EDD-4A8F-8F77-E776A7583BD0}" name="Precio de piezas"/>
    <tableColumn id="20" xr3:uid="{0D641127-A68C-40B1-B873-A854AE4DE787}" name="Precio final / sin iva"/>
    <tableColumn id="21" xr3:uid="{560C2704-7B0D-4DFA-AA35-F59F6CACED33}" name="Fecha Envió a cliente"/>
    <tableColumn id="22" xr3:uid="{781BCBB9-E4E6-4FA5-8A4C-92B1CB2556A0}" name="Equipos sin reparar / sin garantía "/>
    <tableColumn id="23" xr3:uid="{7A1A8B3C-1F6D-4CF9-99C7-D6E938362FA4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452A6-946F-4CDA-B7B6-8F47BD08465B}" name="Tabla2" displayName="Tabla2" ref="A3:W198" totalsRowShown="0">
  <autoFilter ref="A3:W198" xr:uid="{B44452A6-946F-4CDA-B7B6-8F47BD08465B}"/>
  <tableColumns count="23">
    <tableColumn id="1" xr3:uid="{48439952-AC9B-4EE8-B623-8D05AF154AD0}" name="Ubicacion"/>
    <tableColumn id="2" xr3:uid="{AA26380B-91DE-4221-92F1-E01FE26EEE57}" name="Contacto"/>
    <tableColumn id="3" xr3:uid="{457A0408-A9E6-4B19-B4FA-117C476F4235}" name="Telefono"/>
    <tableColumn id="4" xr3:uid="{1E72417F-6784-4B5C-8532-63F21621E2C5}" name="Email"/>
    <tableColumn id="5" xr3:uid="{06C431DD-0116-45DC-9C5C-3C25BA1866E9}" name="Direccion"/>
    <tableColumn id="6" xr3:uid="{ADF43177-3FEA-40E4-8129-F951F3A36087}" name="Fecha de entrada" dataDxfId="141"/>
    <tableColumn id="7" xr3:uid="{DB694E06-D27A-44B8-A328-370852DBB607}" name="Caso"/>
    <tableColumn id="8" xr3:uid="{6B8836AB-1C36-4BD8-A900-00F7978646E0}" name="Etiqueta"/>
    <tableColumn id="9" xr3:uid="{0D94B577-14CA-4043-B73D-518726711E2F}" name="Nº DE SERIE"/>
    <tableColumn id="10" xr3:uid="{AD4FC2B6-8928-4003-BF86-098AFE5DB4BA}" name="Modelo"/>
    <tableColumn id="11" xr3:uid="{0C84E3C0-CE92-4EC4-8423-8BFBAD9A63DB}" name="Garantía"/>
    <tableColumn id="12" xr3:uid="{540F3D66-7378-4395-9E4A-E5417F2D3C75}" name="DIAGNOSTICO DE CAIXA"/>
    <tableColumn id="13" xr3:uid="{60B616D5-3BA9-4C36-85A8-E5C7211528E0}" name="DIAGNOSTICO DE INFOSER"/>
    <tableColumn id="14" xr3:uid="{F5ED7942-475A-4206-A62A-7634A98115C2}" name="ESTADO"/>
    <tableColumn id="15" xr3:uid="{022B67C9-7389-4694-9D72-A7DBB60401D1}" name="CANTIDAD"/>
    <tableColumn id="16" xr3:uid="{0125FBE0-6A71-433A-9276-55F4EE192720}" name="OBSERVACION"/>
    <tableColumn id="17" xr3:uid="{985E1592-24F2-406A-9113-C36893269165}" name="PIEZAS CAMBIADAS"/>
    <tableColumn id="18" xr3:uid="{7B84BAFC-53EF-4860-9EF4-82A58903AE54}" name="Mantenimiento /limpieza interior y exterior / embalaje "/>
    <tableColumn id="19" xr3:uid="{63A1C3E0-6897-4050-A63D-6D4D8B558A8A}" name="Precio de piezas"/>
    <tableColumn id="20" xr3:uid="{CF331436-DFA4-4B4F-A61A-603E3F946C65}" name="Precio final / sin iva"/>
    <tableColumn id="21" xr3:uid="{AE4A90D0-D888-47B9-BE80-D95746358681}" name="Fecha Envió a cliente" dataDxfId="140"/>
    <tableColumn id="22" xr3:uid="{94EFC0CF-4AAE-477B-8467-5E7DC68BD2B1}" name="Equipos sin reparar / sin garantía "/>
    <tableColumn id="23" xr3:uid="{C2021547-39D0-4013-A652-BDFEAF357A43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ristina.canogomez.ext@telefonica.com" TargetMode="External"/><Relationship Id="rId18" Type="http://schemas.openxmlformats.org/officeDocument/2006/relationships/hyperlink" Target="mailto:mariacarmen.rodriguezlage.ext@telefonica.com" TargetMode="External"/><Relationship Id="rId26" Type="http://schemas.openxmlformats.org/officeDocument/2006/relationships/hyperlink" Target="mailto:mariacarmen.rodriguezlage.ext@telefonica.com" TargetMode="External"/><Relationship Id="rId39" Type="http://schemas.openxmlformats.org/officeDocument/2006/relationships/hyperlink" Target="https://7gk/" TargetMode="External"/><Relationship Id="rId21" Type="http://schemas.openxmlformats.org/officeDocument/2006/relationships/hyperlink" Target="mailto:cristina.canogomez.ext@telefonica.com" TargetMode="External"/><Relationship Id="rId34" Type="http://schemas.openxmlformats.org/officeDocument/2006/relationships/hyperlink" Target="mailto:mariacarmen.rodriguezlage.ext@telefonica.com" TargetMode="External"/><Relationship Id="rId42" Type="http://schemas.openxmlformats.org/officeDocument/2006/relationships/hyperlink" Target="mailto:cristina.canogomez.ext@telefonica.com%20&#160;" TargetMode="External"/><Relationship Id="rId47" Type="http://schemas.openxmlformats.org/officeDocument/2006/relationships/hyperlink" Target="mailto:mariacarmen.rodriguezlage.ext@telefonica.com" TargetMode="External"/><Relationship Id="rId7" Type="http://schemas.openxmlformats.org/officeDocument/2006/relationships/hyperlink" Target="mailto:cristina.canogomez.ext@telefonica.com" TargetMode="External"/><Relationship Id="rId2" Type="http://schemas.openxmlformats.org/officeDocument/2006/relationships/hyperlink" Target="mailto:cristina.canogomez.ext@telefonica.com%20&#160;" TargetMode="External"/><Relationship Id="rId16" Type="http://schemas.openxmlformats.org/officeDocument/2006/relationships/hyperlink" Target="mailto:cristina.canogomez.ext@telefonica.com" TargetMode="External"/><Relationship Id="rId29" Type="http://schemas.openxmlformats.org/officeDocument/2006/relationships/hyperlink" Target="mailto:mariacarmen.rodriguezlage.ext@telefonica.com" TargetMode="External"/><Relationship Id="rId1" Type="http://schemas.openxmlformats.org/officeDocument/2006/relationships/hyperlink" Target="mailto:cristina.canogomez.ext@telefonica.com" TargetMode="External"/><Relationship Id="rId6" Type="http://schemas.openxmlformats.org/officeDocument/2006/relationships/hyperlink" Target="mailto:cristina.canogomez.ext@telefonica.com" TargetMode="External"/><Relationship Id="rId11" Type="http://schemas.openxmlformats.org/officeDocument/2006/relationships/hyperlink" Target="mailto:cristina.canogomez.ext@telefonica.com" TargetMode="External"/><Relationship Id="rId24" Type="http://schemas.openxmlformats.org/officeDocument/2006/relationships/hyperlink" Target="mailto:cristina.canogomez.ext@telefonica.com" TargetMode="External"/><Relationship Id="rId32" Type="http://schemas.openxmlformats.org/officeDocument/2006/relationships/hyperlink" Target="mailto:mariacarmen.rodriguezlage.ext@telefonica.com" TargetMode="External"/><Relationship Id="rId37" Type="http://schemas.openxmlformats.org/officeDocument/2006/relationships/hyperlink" Target="mailto:mariacarmen.rodriguezlage.ext@telefonica.com" TargetMode="External"/><Relationship Id="rId40" Type="http://schemas.openxmlformats.org/officeDocument/2006/relationships/hyperlink" Target="mailto:cristina.canogomez.ext@telefonica.com%20&#160;" TargetMode="External"/><Relationship Id="rId45" Type="http://schemas.openxmlformats.org/officeDocument/2006/relationships/hyperlink" Target="mailto:mariacarmen.rodriguezlage.ext@telefonica.com" TargetMode="External"/><Relationship Id="rId5" Type="http://schemas.openxmlformats.org/officeDocument/2006/relationships/hyperlink" Target="mailto:cristina.canogomez.ext@telefonica.com" TargetMode="External"/><Relationship Id="rId15" Type="http://schemas.openxmlformats.org/officeDocument/2006/relationships/hyperlink" Target="mailto:cristina.canogomez.ext@telefonica.com" TargetMode="External"/><Relationship Id="rId23" Type="http://schemas.openxmlformats.org/officeDocument/2006/relationships/hyperlink" Target="mailto:cristina.canogomez.ext@telefonica.com" TargetMode="External"/><Relationship Id="rId28" Type="http://schemas.openxmlformats.org/officeDocument/2006/relationships/hyperlink" Target="mailto:mariacarmen.rodriguezlage.ext@telefonica.com" TargetMode="External"/><Relationship Id="rId36" Type="http://schemas.openxmlformats.org/officeDocument/2006/relationships/hyperlink" Target="mailto:mariacarmen.rodriguezlage.ext@telefonica.com" TargetMode="External"/><Relationship Id="rId10" Type="http://schemas.openxmlformats.org/officeDocument/2006/relationships/hyperlink" Target="mailto:cristina.canogomez.ext@telefonica.com" TargetMode="External"/><Relationship Id="rId19" Type="http://schemas.openxmlformats.org/officeDocument/2006/relationships/hyperlink" Target="mailto:mariacarmen.rodriguezlage.ext@telefonica.com" TargetMode="External"/><Relationship Id="rId31" Type="http://schemas.openxmlformats.org/officeDocument/2006/relationships/hyperlink" Target="mailto:mariacarmen.rodriguezlage.ext@telefonica.com" TargetMode="External"/><Relationship Id="rId44" Type="http://schemas.openxmlformats.org/officeDocument/2006/relationships/hyperlink" Target="mailto:cristina.canogomez.ext@telefonica.com%20&#160;" TargetMode="External"/><Relationship Id="rId4" Type="http://schemas.openxmlformats.org/officeDocument/2006/relationships/hyperlink" Target="mailto:cristina.canogomez.ext@telefonica.com" TargetMode="External"/><Relationship Id="rId9" Type="http://schemas.openxmlformats.org/officeDocument/2006/relationships/hyperlink" Target="mailto:cristina.canogomez.ext@telefonica.com%20&#160;" TargetMode="External"/><Relationship Id="rId14" Type="http://schemas.openxmlformats.org/officeDocument/2006/relationships/hyperlink" Target="mailto:cristina.canogomez.ext@telefonica.com" TargetMode="External"/><Relationship Id="rId22" Type="http://schemas.openxmlformats.org/officeDocument/2006/relationships/hyperlink" Target="mailto:cristina.canogomez.ext@telefonica.com" TargetMode="External"/><Relationship Id="rId27" Type="http://schemas.openxmlformats.org/officeDocument/2006/relationships/hyperlink" Target="mailto:mariacarmen.rodriguezlage.ext@telefonica.com" TargetMode="External"/><Relationship Id="rId30" Type="http://schemas.openxmlformats.org/officeDocument/2006/relationships/hyperlink" Target="mailto:mariacarmen.rodriguezlage.ext@telefonica.com" TargetMode="External"/><Relationship Id="rId35" Type="http://schemas.openxmlformats.org/officeDocument/2006/relationships/hyperlink" Target="mailto:mariacarmen.rodriguezlage.ext@telefonica.com" TargetMode="External"/><Relationship Id="rId43" Type="http://schemas.openxmlformats.org/officeDocument/2006/relationships/hyperlink" Target="mailto:cristina.canogomez.ext@telefonica.com%20&#160;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cristina.canogomez.ext@telefonica.com" TargetMode="External"/><Relationship Id="rId3" Type="http://schemas.openxmlformats.org/officeDocument/2006/relationships/hyperlink" Target="mailto:cristina.canogomez.ext@telefonica.com" TargetMode="External"/><Relationship Id="rId12" Type="http://schemas.openxmlformats.org/officeDocument/2006/relationships/hyperlink" Target="mailto:cristina.canogomez.ext@telefonica.com" TargetMode="External"/><Relationship Id="rId17" Type="http://schemas.openxmlformats.org/officeDocument/2006/relationships/hyperlink" Target="mailto:mariacarmen.rodriguezlage.ext@telefonica.com" TargetMode="External"/><Relationship Id="rId25" Type="http://schemas.openxmlformats.org/officeDocument/2006/relationships/hyperlink" Target="mailto:cristina.canogomez.ext@telefonica.com" TargetMode="External"/><Relationship Id="rId33" Type="http://schemas.openxmlformats.org/officeDocument/2006/relationships/hyperlink" Target="mailto:mariacarmen.rodriguezlage.ext@telefonica.com" TargetMode="External"/><Relationship Id="rId38" Type="http://schemas.openxmlformats.org/officeDocument/2006/relationships/hyperlink" Target="mailto:cristina.canogomez.ext@telefonica.com%20&#160;" TargetMode="External"/><Relationship Id="rId46" Type="http://schemas.openxmlformats.org/officeDocument/2006/relationships/hyperlink" Target="mailto:mariacarmen.rodriguezlage.ext@telefonica.com" TargetMode="External"/><Relationship Id="rId20" Type="http://schemas.openxmlformats.org/officeDocument/2006/relationships/hyperlink" Target="mailto:mariacarmen.rodriguezlage.ext@telefonica.com" TargetMode="External"/><Relationship Id="rId41" Type="http://schemas.openxmlformats.org/officeDocument/2006/relationships/hyperlink" Target="mailto:cristina.canogomez.ext@telefonica.com%20&#160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ristina.canogomez.ext@telefonica.com" TargetMode="External"/><Relationship Id="rId299" Type="http://schemas.openxmlformats.org/officeDocument/2006/relationships/hyperlink" Target="mailto:cristina.canogomez.ext@telefonica.com" TargetMode="External"/><Relationship Id="rId21" Type="http://schemas.openxmlformats.org/officeDocument/2006/relationships/hyperlink" Target="mailto:cristina.canogomez.ext@telefonica.com" TargetMode="External"/><Relationship Id="rId63" Type="http://schemas.openxmlformats.org/officeDocument/2006/relationships/hyperlink" Target="mailto:cristina.canogomez.ext@telefonica.com" TargetMode="External"/><Relationship Id="rId159" Type="http://schemas.openxmlformats.org/officeDocument/2006/relationships/hyperlink" Target="mailto:cristina.canogomez.ext@telefonica.com" TargetMode="External"/><Relationship Id="rId324" Type="http://schemas.openxmlformats.org/officeDocument/2006/relationships/hyperlink" Target="mailto:cristina.canogomez.ext@telefonica.com" TargetMode="External"/><Relationship Id="rId366" Type="http://schemas.openxmlformats.org/officeDocument/2006/relationships/hyperlink" Target="mailto:cristina.canogomez.ext@telefonica.com" TargetMode="External"/><Relationship Id="rId170" Type="http://schemas.openxmlformats.org/officeDocument/2006/relationships/hyperlink" Target="mailto:cristina.canogomez.ext@telefonica.com" TargetMode="External"/><Relationship Id="rId226" Type="http://schemas.openxmlformats.org/officeDocument/2006/relationships/hyperlink" Target="mailto:cristina.canogomez.ext@telefonica.com" TargetMode="External"/><Relationship Id="rId433" Type="http://schemas.openxmlformats.org/officeDocument/2006/relationships/hyperlink" Target="mailto:cristina.canogomez.ext@telefonica.com" TargetMode="External"/><Relationship Id="rId268" Type="http://schemas.openxmlformats.org/officeDocument/2006/relationships/hyperlink" Target="mailto:cristina.canogomez.ext@telefonica.com" TargetMode="External"/><Relationship Id="rId32" Type="http://schemas.openxmlformats.org/officeDocument/2006/relationships/hyperlink" Target="mailto:mariacarmen.rodriguezlage.ext@telefonica.com" TargetMode="External"/><Relationship Id="rId74" Type="http://schemas.openxmlformats.org/officeDocument/2006/relationships/hyperlink" Target="mailto:cristina.canogomez.ext@telefonica.com" TargetMode="External"/><Relationship Id="rId128" Type="http://schemas.openxmlformats.org/officeDocument/2006/relationships/hyperlink" Target="mailto:cristina.canogomez.ext@telefonica.com" TargetMode="External"/><Relationship Id="rId335" Type="http://schemas.openxmlformats.org/officeDocument/2006/relationships/hyperlink" Target="mailto:cristina.canogomez.ext@telefonica.com" TargetMode="External"/><Relationship Id="rId377" Type="http://schemas.openxmlformats.org/officeDocument/2006/relationships/hyperlink" Target="mailto:cristina.canogomez.ext@telefonica.com" TargetMode="External"/><Relationship Id="rId5" Type="http://schemas.openxmlformats.org/officeDocument/2006/relationships/hyperlink" Target="mailto:cristina.canogomez.ext@telefonica.com" TargetMode="External"/><Relationship Id="rId181" Type="http://schemas.openxmlformats.org/officeDocument/2006/relationships/hyperlink" Target="mailto:cristina.canogomez.ext@telefonica.com" TargetMode="External"/><Relationship Id="rId237" Type="http://schemas.openxmlformats.org/officeDocument/2006/relationships/hyperlink" Target="mailto:cristina.canogomez.ext@telefonica.com" TargetMode="External"/><Relationship Id="rId402" Type="http://schemas.openxmlformats.org/officeDocument/2006/relationships/hyperlink" Target="mailto:cristina.canogomez.ext@telefonica.com" TargetMode="External"/><Relationship Id="rId279" Type="http://schemas.openxmlformats.org/officeDocument/2006/relationships/hyperlink" Target="mailto:cristina.canogomez.ext@telefonica.com" TargetMode="External"/><Relationship Id="rId444" Type="http://schemas.openxmlformats.org/officeDocument/2006/relationships/hyperlink" Target="mailto:cristina.canogomez.ext@telefonica.com" TargetMode="External"/><Relationship Id="rId43" Type="http://schemas.openxmlformats.org/officeDocument/2006/relationships/hyperlink" Target="mailto:cristina.canogomez.ext@telefonica.com%20&#160;" TargetMode="External"/><Relationship Id="rId139" Type="http://schemas.openxmlformats.org/officeDocument/2006/relationships/hyperlink" Target="mailto:cristina.canogomez.ext@telefonica.com" TargetMode="External"/><Relationship Id="rId290" Type="http://schemas.openxmlformats.org/officeDocument/2006/relationships/hyperlink" Target="mailto:cristina.canogomez.ext@telefonica.com" TargetMode="External"/><Relationship Id="rId304" Type="http://schemas.openxmlformats.org/officeDocument/2006/relationships/hyperlink" Target="mailto:cristina.canogomez.ext@telefonica.com" TargetMode="External"/><Relationship Id="rId346" Type="http://schemas.openxmlformats.org/officeDocument/2006/relationships/hyperlink" Target="mailto:cristina.canogomez.ext@telefonica.com" TargetMode="External"/><Relationship Id="rId388" Type="http://schemas.openxmlformats.org/officeDocument/2006/relationships/hyperlink" Target="mailto:cristina.canogomez.ext@telefonica.com" TargetMode="External"/><Relationship Id="rId85" Type="http://schemas.openxmlformats.org/officeDocument/2006/relationships/hyperlink" Target="mailto:cristina.canogomez.ext@telefonica.com" TargetMode="External"/><Relationship Id="rId150" Type="http://schemas.openxmlformats.org/officeDocument/2006/relationships/hyperlink" Target="mailto:cristina.canogomez.ext@telefonica.com" TargetMode="External"/><Relationship Id="rId192" Type="http://schemas.openxmlformats.org/officeDocument/2006/relationships/hyperlink" Target="mailto:cristina.canogomez.ext@telefonica.com" TargetMode="External"/><Relationship Id="rId206" Type="http://schemas.openxmlformats.org/officeDocument/2006/relationships/hyperlink" Target="mailto:cristina.canogomez.ext@telefonica.com" TargetMode="External"/><Relationship Id="rId413" Type="http://schemas.openxmlformats.org/officeDocument/2006/relationships/hyperlink" Target="mailto:cristina.canogomez.ext@telefonica.com" TargetMode="External"/><Relationship Id="rId248" Type="http://schemas.openxmlformats.org/officeDocument/2006/relationships/hyperlink" Target="mailto:cristina.canogomez.ext@telefonica.com" TargetMode="External"/><Relationship Id="rId455" Type="http://schemas.openxmlformats.org/officeDocument/2006/relationships/hyperlink" Target="mailto:cristina.canogomez.ext@telefonica.com" TargetMode="External"/><Relationship Id="rId12" Type="http://schemas.openxmlformats.org/officeDocument/2006/relationships/hyperlink" Target="mailto:cristina.canogomez.ext@telefonica.com%20&#160;" TargetMode="External"/><Relationship Id="rId108" Type="http://schemas.openxmlformats.org/officeDocument/2006/relationships/hyperlink" Target="mailto:cristina.canogomez.ext@telefonica.com" TargetMode="External"/><Relationship Id="rId315" Type="http://schemas.openxmlformats.org/officeDocument/2006/relationships/hyperlink" Target="mailto:cristina.canogomez.ext@telefonica.com" TargetMode="External"/><Relationship Id="rId357" Type="http://schemas.openxmlformats.org/officeDocument/2006/relationships/hyperlink" Target="mailto:cristina.canogomez.ext@telefonica.com" TargetMode="External"/><Relationship Id="rId54" Type="http://schemas.openxmlformats.org/officeDocument/2006/relationships/hyperlink" Target="mailto:cristina.canogomez.ext@telefonica.com" TargetMode="External"/><Relationship Id="rId96" Type="http://schemas.openxmlformats.org/officeDocument/2006/relationships/hyperlink" Target="mailto:cristina.canogomez.ext@telefonica.com" TargetMode="External"/><Relationship Id="rId161" Type="http://schemas.openxmlformats.org/officeDocument/2006/relationships/hyperlink" Target="mailto:cristina.canogomez.ext@telefonica.com" TargetMode="External"/><Relationship Id="rId217" Type="http://schemas.openxmlformats.org/officeDocument/2006/relationships/hyperlink" Target="mailto:cristina.canogomez.ext@telefonica.com" TargetMode="External"/><Relationship Id="rId399" Type="http://schemas.openxmlformats.org/officeDocument/2006/relationships/hyperlink" Target="mailto:cristina.canogomez.ext@telefonica.com" TargetMode="External"/><Relationship Id="rId259" Type="http://schemas.openxmlformats.org/officeDocument/2006/relationships/hyperlink" Target="mailto:cristina.canogomez.ext@telefonica.com" TargetMode="External"/><Relationship Id="rId424" Type="http://schemas.openxmlformats.org/officeDocument/2006/relationships/hyperlink" Target="mailto:cristina.canogomez.ext@telefonica.com" TargetMode="External"/><Relationship Id="rId466" Type="http://schemas.openxmlformats.org/officeDocument/2006/relationships/hyperlink" Target="mailto:cristina.canogomez.ext@telefonica.com" TargetMode="External"/><Relationship Id="rId23" Type="http://schemas.openxmlformats.org/officeDocument/2006/relationships/hyperlink" Target="mailto:cristina.canogomez.ext@telefonica.com" TargetMode="External"/><Relationship Id="rId119" Type="http://schemas.openxmlformats.org/officeDocument/2006/relationships/hyperlink" Target="mailto:cristina.canogomez.ext@telefonica.com" TargetMode="External"/><Relationship Id="rId270" Type="http://schemas.openxmlformats.org/officeDocument/2006/relationships/hyperlink" Target="mailto:cristina.canogomez.ext@telefonica.com" TargetMode="External"/><Relationship Id="rId326" Type="http://schemas.openxmlformats.org/officeDocument/2006/relationships/hyperlink" Target="mailto:cristina.canogomez.ext@telefonica.com" TargetMode="External"/><Relationship Id="rId65" Type="http://schemas.openxmlformats.org/officeDocument/2006/relationships/hyperlink" Target="mailto:cristina.canogomez.ext@telefonica.com" TargetMode="External"/><Relationship Id="rId130" Type="http://schemas.openxmlformats.org/officeDocument/2006/relationships/hyperlink" Target="mailto:cristina.canogomez.ext@telefonica.com" TargetMode="External"/><Relationship Id="rId368" Type="http://schemas.openxmlformats.org/officeDocument/2006/relationships/hyperlink" Target="mailto:cristina.canogomez.ext@telefonica.com" TargetMode="External"/><Relationship Id="rId172" Type="http://schemas.openxmlformats.org/officeDocument/2006/relationships/hyperlink" Target="mailto:cristina.canogomez.ext@telefonica.com" TargetMode="External"/><Relationship Id="rId228" Type="http://schemas.openxmlformats.org/officeDocument/2006/relationships/hyperlink" Target="mailto:cristina.canogomez.ext@telefonica.com" TargetMode="External"/><Relationship Id="rId435" Type="http://schemas.openxmlformats.org/officeDocument/2006/relationships/hyperlink" Target="mailto:cristina.canogomez.ext@telefonica.com" TargetMode="External"/><Relationship Id="rId281" Type="http://schemas.openxmlformats.org/officeDocument/2006/relationships/hyperlink" Target="mailto:cristina.canogomez.ext@telefonica.com" TargetMode="External"/><Relationship Id="rId337" Type="http://schemas.openxmlformats.org/officeDocument/2006/relationships/hyperlink" Target="mailto:cristina.canogomez.ext@telefonica.com" TargetMode="External"/><Relationship Id="rId34" Type="http://schemas.openxmlformats.org/officeDocument/2006/relationships/hyperlink" Target="mailto:mariacarmen.rodriguezlage.ext@telefonica.com" TargetMode="External"/><Relationship Id="rId76" Type="http://schemas.openxmlformats.org/officeDocument/2006/relationships/hyperlink" Target="mailto:cristina.canogomez.ext@telefonica.com" TargetMode="External"/><Relationship Id="rId141" Type="http://schemas.openxmlformats.org/officeDocument/2006/relationships/hyperlink" Target="mailto:cristina.canogomez.ext@telefonica.com" TargetMode="External"/><Relationship Id="rId379" Type="http://schemas.openxmlformats.org/officeDocument/2006/relationships/hyperlink" Target="mailto:cristina.canogomez.ext@telefonica.com" TargetMode="External"/><Relationship Id="rId7" Type="http://schemas.openxmlformats.org/officeDocument/2006/relationships/hyperlink" Target="mailto:cristina.canogomez.ext@telefonica.com" TargetMode="External"/><Relationship Id="rId183" Type="http://schemas.openxmlformats.org/officeDocument/2006/relationships/hyperlink" Target="mailto:cristina.canogomez.ext@telefonica.com" TargetMode="External"/><Relationship Id="rId239" Type="http://schemas.openxmlformats.org/officeDocument/2006/relationships/hyperlink" Target="mailto:cristina.canogomez.ext@telefonica.com" TargetMode="External"/><Relationship Id="rId390" Type="http://schemas.openxmlformats.org/officeDocument/2006/relationships/hyperlink" Target="mailto:cristina.canogomez.ext@telefonica.com" TargetMode="External"/><Relationship Id="rId404" Type="http://schemas.openxmlformats.org/officeDocument/2006/relationships/hyperlink" Target="mailto:cristina.canogomez.ext@telefonica.com" TargetMode="External"/><Relationship Id="rId446" Type="http://schemas.openxmlformats.org/officeDocument/2006/relationships/hyperlink" Target="mailto:cristina.canogomez.ext@telefonica.com" TargetMode="External"/><Relationship Id="rId250" Type="http://schemas.openxmlformats.org/officeDocument/2006/relationships/hyperlink" Target="mailto:cristina.canogomez.ext@telefonica.com" TargetMode="External"/><Relationship Id="rId292" Type="http://schemas.openxmlformats.org/officeDocument/2006/relationships/hyperlink" Target="mailto:cristina.canogomez.ext@telefonica.com" TargetMode="External"/><Relationship Id="rId306" Type="http://schemas.openxmlformats.org/officeDocument/2006/relationships/hyperlink" Target="mailto:cristina.canogomez.ext@telefonica.com" TargetMode="External"/><Relationship Id="rId45" Type="http://schemas.openxmlformats.org/officeDocument/2006/relationships/hyperlink" Target="mailto:mariacarmen.rodriguezlage.ext@telefonica.com" TargetMode="External"/><Relationship Id="rId87" Type="http://schemas.openxmlformats.org/officeDocument/2006/relationships/hyperlink" Target="mailto:cristina.canogomez.ext@telefonica.com" TargetMode="External"/><Relationship Id="rId110" Type="http://schemas.openxmlformats.org/officeDocument/2006/relationships/hyperlink" Target="mailto:cristina.canogomez.ext@telefonica.com" TargetMode="External"/><Relationship Id="rId348" Type="http://schemas.openxmlformats.org/officeDocument/2006/relationships/hyperlink" Target="mailto:cristina.canogomez.ext@telefonica.com" TargetMode="External"/><Relationship Id="rId152" Type="http://schemas.openxmlformats.org/officeDocument/2006/relationships/hyperlink" Target="mailto:cristina.canogomez.ext@telefonica.com" TargetMode="External"/><Relationship Id="rId194" Type="http://schemas.openxmlformats.org/officeDocument/2006/relationships/hyperlink" Target="mailto:cristina.canogomez.ext@telefonica.com" TargetMode="External"/><Relationship Id="rId208" Type="http://schemas.openxmlformats.org/officeDocument/2006/relationships/hyperlink" Target="mailto:cristina.canogomez.ext@telefonica.com" TargetMode="External"/><Relationship Id="rId415" Type="http://schemas.openxmlformats.org/officeDocument/2006/relationships/hyperlink" Target="mailto:cristina.canogomez.ext@telefonica.com" TargetMode="External"/><Relationship Id="rId457" Type="http://schemas.openxmlformats.org/officeDocument/2006/relationships/hyperlink" Target="mailto:cristina.canogomez.ext@telefonica.com" TargetMode="External"/><Relationship Id="rId261" Type="http://schemas.openxmlformats.org/officeDocument/2006/relationships/hyperlink" Target="mailto:cristina.canogomez.ext@telefonica.com" TargetMode="External"/><Relationship Id="rId14" Type="http://schemas.openxmlformats.org/officeDocument/2006/relationships/hyperlink" Target="mailto:cristina.canogomez.ext@telefonica.com" TargetMode="External"/><Relationship Id="rId56" Type="http://schemas.openxmlformats.org/officeDocument/2006/relationships/hyperlink" Target="mailto:cristina.canogomez.ext@telefonica.com" TargetMode="External"/><Relationship Id="rId317" Type="http://schemas.openxmlformats.org/officeDocument/2006/relationships/hyperlink" Target="mailto:cristina.canogomez.ext@telefonica.com" TargetMode="External"/><Relationship Id="rId359" Type="http://schemas.openxmlformats.org/officeDocument/2006/relationships/hyperlink" Target="mailto:cristina.canogomez.ext@telefonica.com" TargetMode="External"/><Relationship Id="rId98" Type="http://schemas.openxmlformats.org/officeDocument/2006/relationships/hyperlink" Target="mailto:cristina.canogomez.ext@telefonica.com" TargetMode="External"/><Relationship Id="rId121" Type="http://schemas.openxmlformats.org/officeDocument/2006/relationships/hyperlink" Target="mailto:cristina.canogomez.ext@telefonica.com" TargetMode="External"/><Relationship Id="rId163" Type="http://schemas.openxmlformats.org/officeDocument/2006/relationships/hyperlink" Target="mailto:cristina.canogomez.ext@telefonica.com" TargetMode="External"/><Relationship Id="rId219" Type="http://schemas.openxmlformats.org/officeDocument/2006/relationships/hyperlink" Target="mailto:cristina.canogomez.ext@telefonica.com" TargetMode="External"/><Relationship Id="rId370" Type="http://schemas.openxmlformats.org/officeDocument/2006/relationships/hyperlink" Target="mailto:cristina.canogomez.ext@telefonica.com" TargetMode="External"/><Relationship Id="rId426" Type="http://schemas.openxmlformats.org/officeDocument/2006/relationships/hyperlink" Target="mailto:cristina.canogomez.ext@telefonica.com" TargetMode="External"/><Relationship Id="rId230" Type="http://schemas.openxmlformats.org/officeDocument/2006/relationships/hyperlink" Target="mailto:cristina.canogomez.ext@telefonica.com" TargetMode="External"/><Relationship Id="rId468" Type="http://schemas.openxmlformats.org/officeDocument/2006/relationships/hyperlink" Target="mailto:cristina.canogomez.ext@telefonica.com" TargetMode="External"/><Relationship Id="rId25" Type="http://schemas.openxmlformats.org/officeDocument/2006/relationships/hyperlink" Target="mailto:cristina.canogomez.ext@telefonica.com" TargetMode="External"/><Relationship Id="rId67" Type="http://schemas.openxmlformats.org/officeDocument/2006/relationships/hyperlink" Target="mailto:cristina.canogomez.ext@telefonica.com" TargetMode="External"/><Relationship Id="rId272" Type="http://schemas.openxmlformats.org/officeDocument/2006/relationships/hyperlink" Target="mailto:cristina.canogomez.ext@telefonica.com" TargetMode="External"/><Relationship Id="rId328" Type="http://schemas.openxmlformats.org/officeDocument/2006/relationships/hyperlink" Target="mailto:cristina.canogomez.ext@telefonica.com" TargetMode="External"/><Relationship Id="rId132" Type="http://schemas.openxmlformats.org/officeDocument/2006/relationships/hyperlink" Target="mailto:cristina.canogomez.ext@telefonica.com" TargetMode="External"/><Relationship Id="rId174" Type="http://schemas.openxmlformats.org/officeDocument/2006/relationships/hyperlink" Target="mailto:cristina.canogomez.ext@telefonica.com" TargetMode="External"/><Relationship Id="rId381" Type="http://schemas.openxmlformats.org/officeDocument/2006/relationships/hyperlink" Target="mailto:cristina.canogomez.ext@telefonica.com" TargetMode="External"/><Relationship Id="rId241" Type="http://schemas.openxmlformats.org/officeDocument/2006/relationships/hyperlink" Target="mailto:cristina.canogomez.ext@telefonica.com" TargetMode="External"/><Relationship Id="rId437" Type="http://schemas.openxmlformats.org/officeDocument/2006/relationships/hyperlink" Target="mailto:cristina.canogomez.ext@telefonica.com" TargetMode="External"/><Relationship Id="rId36" Type="http://schemas.openxmlformats.org/officeDocument/2006/relationships/hyperlink" Target="mailto:mariacarmen.rodriguezlage.ext@telefonica.com" TargetMode="External"/><Relationship Id="rId283" Type="http://schemas.openxmlformats.org/officeDocument/2006/relationships/hyperlink" Target="mailto:cristina.canogomez.ext@telefonica.com" TargetMode="External"/><Relationship Id="rId339" Type="http://schemas.openxmlformats.org/officeDocument/2006/relationships/hyperlink" Target="mailto:cristina.canogomez.ext@telefonica.com" TargetMode="External"/><Relationship Id="rId78" Type="http://schemas.openxmlformats.org/officeDocument/2006/relationships/hyperlink" Target="mailto:cristina.canogomez.ext@telefonica.com" TargetMode="External"/><Relationship Id="rId101" Type="http://schemas.openxmlformats.org/officeDocument/2006/relationships/hyperlink" Target="mailto:cristina.canogomez.ext@telefonica.com" TargetMode="External"/><Relationship Id="rId143" Type="http://schemas.openxmlformats.org/officeDocument/2006/relationships/hyperlink" Target="mailto:cristina.canogomez.ext@telefonica.com" TargetMode="External"/><Relationship Id="rId185" Type="http://schemas.openxmlformats.org/officeDocument/2006/relationships/hyperlink" Target="mailto:cristina.canogomez.ext@telefonica.com" TargetMode="External"/><Relationship Id="rId350" Type="http://schemas.openxmlformats.org/officeDocument/2006/relationships/hyperlink" Target="mailto:cristina.canogomez.ext@telefonica.com" TargetMode="External"/><Relationship Id="rId406" Type="http://schemas.openxmlformats.org/officeDocument/2006/relationships/hyperlink" Target="mailto:cristina.canogomez.ext@telefonica.com" TargetMode="External"/><Relationship Id="rId9" Type="http://schemas.openxmlformats.org/officeDocument/2006/relationships/hyperlink" Target="mailto:cristina.canogomez.ext@telefonica.com%20&#160;" TargetMode="External"/><Relationship Id="rId210" Type="http://schemas.openxmlformats.org/officeDocument/2006/relationships/hyperlink" Target="mailto:cristina.canogomez.ext@telefonica.com" TargetMode="External"/><Relationship Id="rId392" Type="http://schemas.openxmlformats.org/officeDocument/2006/relationships/hyperlink" Target="mailto:cristina.canogomez.ext@telefonica.com" TargetMode="External"/><Relationship Id="rId448" Type="http://schemas.openxmlformats.org/officeDocument/2006/relationships/hyperlink" Target="mailto:cristina.canogomez.ext@telefonica.com" TargetMode="External"/><Relationship Id="rId252" Type="http://schemas.openxmlformats.org/officeDocument/2006/relationships/hyperlink" Target="mailto:cristina.canogomez.ext@telefonica.com" TargetMode="External"/><Relationship Id="rId294" Type="http://schemas.openxmlformats.org/officeDocument/2006/relationships/hyperlink" Target="mailto:cristina.canogomez.ext@telefonica.com" TargetMode="External"/><Relationship Id="rId308" Type="http://schemas.openxmlformats.org/officeDocument/2006/relationships/hyperlink" Target="mailto:cristina.canogomez.ext@telefonica.com" TargetMode="External"/><Relationship Id="rId47" Type="http://schemas.openxmlformats.org/officeDocument/2006/relationships/hyperlink" Target="mailto:cristina.canogomez.ext@telefonica.com" TargetMode="External"/><Relationship Id="rId89" Type="http://schemas.openxmlformats.org/officeDocument/2006/relationships/hyperlink" Target="mailto:cristina.canogomez.ext@telefonica.com" TargetMode="External"/><Relationship Id="rId112" Type="http://schemas.openxmlformats.org/officeDocument/2006/relationships/hyperlink" Target="mailto:cristina.canogomez.ext@telefonica.com" TargetMode="External"/><Relationship Id="rId154" Type="http://schemas.openxmlformats.org/officeDocument/2006/relationships/hyperlink" Target="mailto:cristina.canogomez.ext@telefonica.com" TargetMode="External"/><Relationship Id="rId361" Type="http://schemas.openxmlformats.org/officeDocument/2006/relationships/hyperlink" Target="mailto:cristina.canogomez.ext@telefonica.com" TargetMode="External"/><Relationship Id="rId196" Type="http://schemas.openxmlformats.org/officeDocument/2006/relationships/hyperlink" Target="mailto:cristina.canogomez.ext@telefonica.com" TargetMode="External"/><Relationship Id="rId417" Type="http://schemas.openxmlformats.org/officeDocument/2006/relationships/hyperlink" Target="mailto:cristina.canogomez.ext@telefonica.com" TargetMode="External"/><Relationship Id="rId459" Type="http://schemas.openxmlformats.org/officeDocument/2006/relationships/hyperlink" Target="mailto:cristina.canogomez.ext@telefonica.com" TargetMode="External"/><Relationship Id="rId16" Type="http://schemas.openxmlformats.org/officeDocument/2006/relationships/hyperlink" Target="mailto:cristina.canogomez.ext@telefonica.com" TargetMode="External"/><Relationship Id="rId221" Type="http://schemas.openxmlformats.org/officeDocument/2006/relationships/hyperlink" Target="mailto:cristina.canogomez.ext@telefonica.com" TargetMode="External"/><Relationship Id="rId263" Type="http://schemas.openxmlformats.org/officeDocument/2006/relationships/hyperlink" Target="mailto:cristina.canogomez.ext@telefonica.com" TargetMode="External"/><Relationship Id="rId319" Type="http://schemas.openxmlformats.org/officeDocument/2006/relationships/hyperlink" Target="mailto:cristina.canogomez.ext@telefonica.com" TargetMode="External"/><Relationship Id="rId58" Type="http://schemas.openxmlformats.org/officeDocument/2006/relationships/hyperlink" Target="mailto:cristina.canogomez.ext@telefonica.com" TargetMode="External"/><Relationship Id="rId123" Type="http://schemas.openxmlformats.org/officeDocument/2006/relationships/hyperlink" Target="mailto:cristina.canogomez.ext@telefonica.com" TargetMode="External"/><Relationship Id="rId330" Type="http://schemas.openxmlformats.org/officeDocument/2006/relationships/hyperlink" Target="mailto:cristina.canogomez.ext@telefonica.com" TargetMode="External"/><Relationship Id="rId165" Type="http://schemas.openxmlformats.org/officeDocument/2006/relationships/hyperlink" Target="mailto:cristina.canogomez.ext@telefonica.com" TargetMode="External"/><Relationship Id="rId372" Type="http://schemas.openxmlformats.org/officeDocument/2006/relationships/hyperlink" Target="mailto:cristina.canogomez.ext@telefonica.com" TargetMode="External"/><Relationship Id="rId428" Type="http://schemas.openxmlformats.org/officeDocument/2006/relationships/hyperlink" Target="mailto:cristina.canogomez.ext@telefonica.com" TargetMode="External"/><Relationship Id="rId232" Type="http://schemas.openxmlformats.org/officeDocument/2006/relationships/hyperlink" Target="mailto:cristina.canogomez.ext@telefonica.com" TargetMode="External"/><Relationship Id="rId274" Type="http://schemas.openxmlformats.org/officeDocument/2006/relationships/hyperlink" Target="mailto:cristina.canogomez.ext@telefonica.com" TargetMode="External"/><Relationship Id="rId27" Type="http://schemas.openxmlformats.org/officeDocument/2006/relationships/hyperlink" Target="mailto:mariacarmen.rodriguezlage.ext@telefonica.com" TargetMode="External"/><Relationship Id="rId69" Type="http://schemas.openxmlformats.org/officeDocument/2006/relationships/hyperlink" Target="mailto:cristina.canogomez.ext@telefonica.com%20&#160;" TargetMode="External"/><Relationship Id="rId134" Type="http://schemas.openxmlformats.org/officeDocument/2006/relationships/hyperlink" Target="mailto:cristina.canogomez.ext@telefonica.com" TargetMode="External"/><Relationship Id="rId80" Type="http://schemas.openxmlformats.org/officeDocument/2006/relationships/hyperlink" Target="mailto:cristina.canogomez.ext@telefonica.com" TargetMode="External"/><Relationship Id="rId176" Type="http://schemas.openxmlformats.org/officeDocument/2006/relationships/hyperlink" Target="mailto:cristina.canogomez.ext@telefonica.com" TargetMode="External"/><Relationship Id="rId341" Type="http://schemas.openxmlformats.org/officeDocument/2006/relationships/hyperlink" Target="mailto:cristina.canogomez.ext@telefonica.com" TargetMode="External"/><Relationship Id="rId383" Type="http://schemas.openxmlformats.org/officeDocument/2006/relationships/hyperlink" Target="mailto:cristina.canogomez.ext@telefonica.com" TargetMode="External"/><Relationship Id="rId439" Type="http://schemas.openxmlformats.org/officeDocument/2006/relationships/hyperlink" Target="mailto:cristina.canogomez.ext@telefonica.com" TargetMode="External"/><Relationship Id="rId201" Type="http://schemas.openxmlformats.org/officeDocument/2006/relationships/hyperlink" Target="mailto:cristina.canogomez.ext@telefonica.com" TargetMode="External"/><Relationship Id="rId243" Type="http://schemas.openxmlformats.org/officeDocument/2006/relationships/hyperlink" Target="mailto:cristina.canogomez.ext@telefonica.com" TargetMode="External"/><Relationship Id="rId285" Type="http://schemas.openxmlformats.org/officeDocument/2006/relationships/hyperlink" Target="mailto:cristina.canogomez.ext@telefonica.com" TargetMode="External"/><Relationship Id="rId450" Type="http://schemas.openxmlformats.org/officeDocument/2006/relationships/hyperlink" Target="mailto:cristina.canogomez.ext@telefonica.com" TargetMode="External"/><Relationship Id="rId38" Type="http://schemas.openxmlformats.org/officeDocument/2006/relationships/hyperlink" Target="https://7gk/" TargetMode="External"/><Relationship Id="rId103" Type="http://schemas.openxmlformats.org/officeDocument/2006/relationships/hyperlink" Target="mailto:cristina.canogomez.ext@telefonica.com" TargetMode="External"/><Relationship Id="rId310" Type="http://schemas.openxmlformats.org/officeDocument/2006/relationships/hyperlink" Target="mailto:cristina.canogomez.ext@telefonica.com" TargetMode="External"/><Relationship Id="rId91" Type="http://schemas.openxmlformats.org/officeDocument/2006/relationships/hyperlink" Target="mailto:cristina.canogomez.ext@telefonica.com" TargetMode="External"/><Relationship Id="rId145" Type="http://schemas.openxmlformats.org/officeDocument/2006/relationships/hyperlink" Target="mailto:cristina.canogomez.ext@telefonica.com" TargetMode="External"/><Relationship Id="rId187" Type="http://schemas.openxmlformats.org/officeDocument/2006/relationships/hyperlink" Target="mailto:cristina.canogomez.ext@telefonica.com" TargetMode="External"/><Relationship Id="rId352" Type="http://schemas.openxmlformats.org/officeDocument/2006/relationships/hyperlink" Target="mailto:cristina.canogomez.ext@telefonica.com" TargetMode="External"/><Relationship Id="rId394" Type="http://schemas.openxmlformats.org/officeDocument/2006/relationships/hyperlink" Target="mailto:cristina.canogomez.ext@telefonica.com" TargetMode="External"/><Relationship Id="rId408" Type="http://schemas.openxmlformats.org/officeDocument/2006/relationships/hyperlink" Target="mailto:cristina.canogomez.ext@telefonica.com" TargetMode="External"/><Relationship Id="rId212" Type="http://schemas.openxmlformats.org/officeDocument/2006/relationships/hyperlink" Target="mailto:cristina.canogomez.ext@telefonica.com" TargetMode="External"/><Relationship Id="rId254" Type="http://schemas.openxmlformats.org/officeDocument/2006/relationships/hyperlink" Target="mailto:cristina.canogomez.ext@telefonica.com" TargetMode="External"/><Relationship Id="rId49" Type="http://schemas.openxmlformats.org/officeDocument/2006/relationships/hyperlink" Target="mailto:cristina.canogomez.ext@telefonica.com%20&#160;" TargetMode="External"/><Relationship Id="rId114" Type="http://schemas.openxmlformats.org/officeDocument/2006/relationships/hyperlink" Target="mailto:cristina.canogomez.ext@telefonica.com" TargetMode="External"/><Relationship Id="rId296" Type="http://schemas.openxmlformats.org/officeDocument/2006/relationships/hyperlink" Target="mailto:cristina.canogomez.ext@telefonica.com" TargetMode="External"/><Relationship Id="rId461" Type="http://schemas.openxmlformats.org/officeDocument/2006/relationships/hyperlink" Target="mailto:cristina.canogomez.ext@telefonica.com" TargetMode="External"/><Relationship Id="rId60" Type="http://schemas.openxmlformats.org/officeDocument/2006/relationships/hyperlink" Target="mailto:cristina.canogomez.ext@telefonica.com" TargetMode="External"/><Relationship Id="rId156" Type="http://schemas.openxmlformats.org/officeDocument/2006/relationships/hyperlink" Target="mailto:cristina.canogomez.ext@telefonica.com" TargetMode="External"/><Relationship Id="rId198" Type="http://schemas.openxmlformats.org/officeDocument/2006/relationships/hyperlink" Target="mailto:cristina.canogomez.ext@telefonica.com" TargetMode="External"/><Relationship Id="rId321" Type="http://schemas.openxmlformats.org/officeDocument/2006/relationships/hyperlink" Target="mailto:cristina.canogomez.ext@telefonica.com" TargetMode="External"/><Relationship Id="rId363" Type="http://schemas.openxmlformats.org/officeDocument/2006/relationships/hyperlink" Target="mailto:cristina.canogomez.ext@telefonica.com" TargetMode="External"/><Relationship Id="rId419" Type="http://schemas.openxmlformats.org/officeDocument/2006/relationships/hyperlink" Target="mailto:cristina.canogomez.ext@telefonica.com" TargetMode="External"/><Relationship Id="rId223" Type="http://schemas.openxmlformats.org/officeDocument/2006/relationships/hyperlink" Target="mailto:cristina.canogomez.ext@telefonica.com" TargetMode="External"/><Relationship Id="rId430" Type="http://schemas.openxmlformats.org/officeDocument/2006/relationships/hyperlink" Target="mailto:cristina.canogomez.ext@telefonica.com" TargetMode="External"/><Relationship Id="rId18" Type="http://schemas.openxmlformats.org/officeDocument/2006/relationships/hyperlink" Target="mailto:mariacarmen.rodriguezlage.ext@telefonica.com" TargetMode="External"/><Relationship Id="rId265" Type="http://schemas.openxmlformats.org/officeDocument/2006/relationships/hyperlink" Target="mailto:cristina.canogomez.ext@telefonica.com" TargetMode="External"/><Relationship Id="rId125" Type="http://schemas.openxmlformats.org/officeDocument/2006/relationships/hyperlink" Target="mailto:cristina.canogomez.ext@telefonica.com" TargetMode="External"/><Relationship Id="rId167" Type="http://schemas.openxmlformats.org/officeDocument/2006/relationships/hyperlink" Target="mailto:cristina.canogomez.ext@telefonica.com" TargetMode="External"/><Relationship Id="rId332" Type="http://schemas.openxmlformats.org/officeDocument/2006/relationships/hyperlink" Target="mailto:cristina.canogomez.ext@telefonica.com" TargetMode="External"/><Relationship Id="rId374" Type="http://schemas.openxmlformats.org/officeDocument/2006/relationships/hyperlink" Target="mailto:cristina.canogomez.ext@telefonica.com" TargetMode="External"/><Relationship Id="rId71" Type="http://schemas.openxmlformats.org/officeDocument/2006/relationships/hyperlink" Target="mailto:cristina.canogomez.ext@telefonica.com" TargetMode="External"/><Relationship Id="rId234" Type="http://schemas.openxmlformats.org/officeDocument/2006/relationships/hyperlink" Target="mailto:cristina.canogomez.ext@telefonica.com" TargetMode="External"/><Relationship Id="rId2" Type="http://schemas.openxmlformats.org/officeDocument/2006/relationships/hyperlink" Target="mailto:cristina.canogomez.ext@telefonica.com%20&#160;" TargetMode="External"/><Relationship Id="rId29" Type="http://schemas.openxmlformats.org/officeDocument/2006/relationships/hyperlink" Target="mailto:mariacarmen.rodriguezlage.ext@telefonica.com" TargetMode="External"/><Relationship Id="rId276" Type="http://schemas.openxmlformats.org/officeDocument/2006/relationships/hyperlink" Target="mailto:cristina.canogomez.ext@telefonica.com" TargetMode="External"/><Relationship Id="rId441" Type="http://schemas.openxmlformats.org/officeDocument/2006/relationships/hyperlink" Target="mailto:cristina.canogomez.ext@telefonica.com" TargetMode="External"/><Relationship Id="rId40" Type="http://schemas.openxmlformats.org/officeDocument/2006/relationships/hyperlink" Target="mailto:cristina.canogomez.ext@telefonica.com%20&#160;" TargetMode="External"/><Relationship Id="rId136" Type="http://schemas.openxmlformats.org/officeDocument/2006/relationships/hyperlink" Target="mailto:cristina.canogomez.ext@telefonica.com" TargetMode="External"/><Relationship Id="rId178" Type="http://schemas.openxmlformats.org/officeDocument/2006/relationships/hyperlink" Target="mailto:cristina.canogomez.ext@telefonica.com" TargetMode="External"/><Relationship Id="rId301" Type="http://schemas.openxmlformats.org/officeDocument/2006/relationships/hyperlink" Target="mailto:cristina.canogomez.ext@telefonica.com" TargetMode="External"/><Relationship Id="rId343" Type="http://schemas.openxmlformats.org/officeDocument/2006/relationships/hyperlink" Target="mailto:cristina.canogomez.ext@telefonica.com" TargetMode="External"/><Relationship Id="rId82" Type="http://schemas.openxmlformats.org/officeDocument/2006/relationships/hyperlink" Target="mailto:cristina.canogomez.ext@telefonica.com" TargetMode="External"/><Relationship Id="rId203" Type="http://schemas.openxmlformats.org/officeDocument/2006/relationships/hyperlink" Target="mailto:cristina.canogomez.ext@telefonica.com" TargetMode="External"/><Relationship Id="rId385" Type="http://schemas.openxmlformats.org/officeDocument/2006/relationships/hyperlink" Target="mailto:cristina.canogomez.ext@telefonica.com" TargetMode="External"/><Relationship Id="rId19" Type="http://schemas.openxmlformats.org/officeDocument/2006/relationships/hyperlink" Target="mailto:mariacarmen.rodriguezlage.ext@telefonica.com" TargetMode="External"/><Relationship Id="rId224" Type="http://schemas.openxmlformats.org/officeDocument/2006/relationships/hyperlink" Target="mailto:cristina.canogomez.ext@telefonica.com" TargetMode="External"/><Relationship Id="rId245" Type="http://schemas.openxmlformats.org/officeDocument/2006/relationships/hyperlink" Target="mailto:cristina.canogomez.ext@telefonica.com" TargetMode="External"/><Relationship Id="rId266" Type="http://schemas.openxmlformats.org/officeDocument/2006/relationships/hyperlink" Target="mailto:cristina.canogomez.ext@telefonica.com" TargetMode="External"/><Relationship Id="rId287" Type="http://schemas.openxmlformats.org/officeDocument/2006/relationships/hyperlink" Target="mailto:cristina.canogomez.ext@telefonica.com" TargetMode="External"/><Relationship Id="rId410" Type="http://schemas.openxmlformats.org/officeDocument/2006/relationships/hyperlink" Target="mailto:cristina.canogomez.ext@telefonica.com" TargetMode="External"/><Relationship Id="rId431" Type="http://schemas.openxmlformats.org/officeDocument/2006/relationships/hyperlink" Target="mailto:cristina.canogomez.ext@telefonica.com" TargetMode="External"/><Relationship Id="rId452" Type="http://schemas.openxmlformats.org/officeDocument/2006/relationships/hyperlink" Target="mailto:cristina.canogomez.ext@telefonica.com" TargetMode="External"/><Relationship Id="rId30" Type="http://schemas.openxmlformats.org/officeDocument/2006/relationships/hyperlink" Target="mailto:mariacarmen.rodriguezlage.ext@telefonica.com" TargetMode="External"/><Relationship Id="rId105" Type="http://schemas.openxmlformats.org/officeDocument/2006/relationships/hyperlink" Target="mailto:cristina.canogomez.ext@telefonica.com" TargetMode="External"/><Relationship Id="rId126" Type="http://schemas.openxmlformats.org/officeDocument/2006/relationships/hyperlink" Target="mailto:cristina.canogomez.ext@telefonica.com" TargetMode="External"/><Relationship Id="rId147" Type="http://schemas.openxmlformats.org/officeDocument/2006/relationships/hyperlink" Target="mailto:cristina.canogomez.ext@telefonica.com" TargetMode="External"/><Relationship Id="rId168" Type="http://schemas.openxmlformats.org/officeDocument/2006/relationships/hyperlink" Target="mailto:cristina.canogomez.ext@telefonica.com" TargetMode="External"/><Relationship Id="rId312" Type="http://schemas.openxmlformats.org/officeDocument/2006/relationships/hyperlink" Target="mailto:cristina.canogomez.ext@telefonica.com" TargetMode="External"/><Relationship Id="rId333" Type="http://schemas.openxmlformats.org/officeDocument/2006/relationships/hyperlink" Target="mailto:cristina.canogomez.ext@telefonica.com" TargetMode="External"/><Relationship Id="rId354" Type="http://schemas.openxmlformats.org/officeDocument/2006/relationships/hyperlink" Target="mailto:cristina.canogomez.ext@telefonica.com" TargetMode="External"/><Relationship Id="rId51" Type="http://schemas.openxmlformats.org/officeDocument/2006/relationships/hyperlink" Target="mailto:cristina.canogomez.ext@telefonica.com%20&#160;" TargetMode="External"/><Relationship Id="rId72" Type="http://schemas.openxmlformats.org/officeDocument/2006/relationships/hyperlink" Target="mailto:cristina.canogomez.ext@telefonica.com" TargetMode="External"/><Relationship Id="rId93" Type="http://schemas.openxmlformats.org/officeDocument/2006/relationships/hyperlink" Target="mailto:cristina.canogomez.ext@telefonica.com" TargetMode="External"/><Relationship Id="rId189" Type="http://schemas.openxmlformats.org/officeDocument/2006/relationships/hyperlink" Target="mailto:cristina.canogomez.ext@telefonica.com" TargetMode="External"/><Relationship Id="rId375" Type="http://schemas.openxmlformats.org/officeDocument/2006/relationships/hyperlink" Target="mailto:cristina.canogomez.ext@telefonica.com" TargetMode="External"/><Relationship Id="rId396" Type="http://schemas.openxmlformats.org/officeDocument/2006/relationships/hyperlink" Target="mailto:cristina.canogomez.ext@telefonica.com" TargetMode="External"/><Relationship Id="rId3" Type="http://schemas.openxmlformats.org/officeDocument/2006/relationships/hyperlink" Target="mailto:cristina.canogomez.ext@telefonica.com" TargetMode="External"/><Relationship Id="rId214" Type="http://schemas.openxmlformats.org/officeDocument/2006/relationships/hyperlink" Target="mailto:cristina.canogomez.ext@telefonica.com" TargetMode="External"/><Relationship Id="rId235" Type="http://schemas.openxmlformats.org/officeDocument/2006/relationships/hyperlink" Target="mailto:cristina.canogomez.ext@telefonica.com" TargetMode="External"/><Relationship Id="rId256" Type="http://schemas.openxmlformats.org/officeDocument/2006/relationships/hyperlink" Target="mailto:cristina.canogomez.ext@telefonica.com" TargetMode="External"/><Relationship Id="rId277" Type="http://schemas.openxmlformats.org/officeDocument/2006/relationships/hyperlink" Target="mailto:cristina.canogomez.ext@telefonica.com" TargetMode="External"/><Relationship Id="rId298" Type="http://schemas.openxmlformats.org/officeDocument/2006/relationships/hyperlink" Target="mailto:cristina.canogomez.ext@telefonica.com" TargetMode="External"/><Relationship Id="rId400" Type="http://schemas.openxmlformats.org/officeDocument/2006/relationships/hyperlink" Target="mailto:cristina.canogomez.ext@telefonica.com" TargetMode="External"/><Relationship Id="rId421" Type="http://schemas.openxmlformats.org/officeDocument/2006/relationships/hyperlink" Target="mailto:cristina.canogomez.ext@telefonica.com" TargetMode="External"/><Relationship Id="rId442" Type="http://schemas.openxmlformats.org/officeDocument/2006/relationships/hyperlink" Target="mailto:cristina.canogomez.ext@telefonica.com" TargetMode="External"/><Relationship Id="rId463" Type="http://schemas.openxmlformats.org/officeDocument/2006/relationships/hyperlink" Target="mailto:cristina.canogomez.ext@telefonica.com" TargetMode="External"/><Relationship Id="rId116" Type="http://schemas.openxmlformats.org/officeDocument/2006/relationships/hyperlink" Target="mailto:cristina.canogomez.ext@telefonica.com" TargetMode="External"/><Relationship Id="rId137" Type="http://schemas.openxmlformats.org/officeDocument/2006/relationships/hyperlink" Target="mailto:cristina.canogomez.ext@telefonica.com" TargetMode="External"/><Relationship Id="rId158" Type="http://schemas.openxmlformats.org/officeDocument/2006/relationships/hyperlink" Target="mailto:cristina.canogomez.ext@telefonica.com" TargetMode="External"/><Relationship Id="rId302" Type="http://schemas.openxmlformats.org/officeDocument/2006/relationships/hyperlink" Target="mailto:cristina.canogomez.ext@telefonica.com" TargetMode="External"/><Relationship Id="rId323" Type="http://schemas.openxmlformats.org/officeDocument/2006/relationships/hyperlink" Target="mailto:cristina.canogomez.ext@telefonica.com" TargetMode="External"/><Relationship Id="rId344" Type="http://schemas.openxmlformats.org/officeDocument/2006/relationships/hyperlink" Target="mailto:cristina.canogomez.ext@telefonica.com" TargetMode="External"/><Relationship Id="rId20" Type="http://schemas.openxmlformats.org/officeDocument/2006/relationships/hyperlink" Target="mailto:mariacarmen.rodriguezlage.ext@telefonica.com" TargetMode="External"/><Relationship Id="rId41" Type="http://schemas.openxmlformats.org/officeDocument/2006/relationships/hyperlink" Target="mailto:cristina.canogomez.ext@telefonica.com%20&#160;" TargetMode="External"/><Relationship Id="rId62" Type="http://schemas.openxmlformats.org/officeDocument/2006/relationships/hyperlink" Target="mailto:cristina.canogomez.ext@telefonica.com" TargetMode="External"/><Relationship Id="rId83" Type="http://schemas.openxmlformats.org/officeDocument/2006/relationships/hyperlink" Target="mailto:cristina.canogomez.ext@telefonica.com" TargetMode="External"/><Relationship Id="rId179" Type="http://schemas.openxmlformats.org/officeDocument/2006/relationships/hyperlink" Target="mailto:cristina.canogomez.ext@telefonica.com" TargetMode="External"/><Relationship Id="rId365" Type="http://schemas.openxmlformats.org/officeDocument/2006/relationships/hyperlink" Target="mailto:cristina.canogomez.ext@telefonica.com" TargetMode="External"/><Relationship Id="rId386" Type="http://schemas.openxmlformats.org/officeDocument/2006/relationships/hyperlink" Target="mailto:cristina.canogomez.ext@telefonica.com" TargetMode="External"/><Relationship Id="rId190" Type="http://schemas.openxmlformats.org/officeDocument/2006/relationships/hyperlink" Target="mailto:cristina.canogomez.ext@telefonica.com" TargetMode="External"/><Relationship Id="rId204" Type="http://schemas.openxmlformats.org/officeDocument/2006/relationships/hyperlink" Target="mailto:cristina.canogomez.ext@telefonica.com" TargetMode="External"/><Relationship Id="rId225" Type="http://schemas.openxmlformats.org/officeDocument/2006/relationships/hyperlink" Target="mailto:cristina.canogomez.ext@telefonica.com" TargetMode="External"/><Relationship Id="rId246" Type="http://schemas.openxmlformats.org/officeDocument/2006/relationships/hyperlink" Target="mailto:cristina.canogomez.ext@telefonica.com" TargetMode="External"/><Relationship Id="rId267" Type="http://schemas.openxmlformats.org/officeDocument/2006/relationships/hyperlink" Target="mailto:cristina.canogomez.ext@telefonica.com" TargetMode="External"/><Relationship Id="rId288" Type="http://schemas.openxmlformats.org/officeDocument/2006/relationships/hyperlink" Target="mailto:cristina.canogomez.ext@telefonica.com" TargetMode="External"/><Relationship Id="rId411" Type="http://schemas.openxmlformats.org/officeDocument/2006/relationships/hyperlink" Target="mailto:cristina.canogomez.ext@telefonica.com" TargetMode="External"/><Relationship Id="rId432" Type="http://schemas.openxmlformats.org/officeDocument/2006/relationships/hyperlink" Target="mailto:cristina.canogomez.ext@telefonica.com" TargetMode="External"/><Relationship Id="rId453" Type="http://schemas.openxmlformats.org/officeDocument/2006/relationships/hyperlink" Target="mailto:cristina.canogomez.ext@telefonica.com" TargetMode="External"/><Relationship Id="rId106" Type="http://schemas.openxmlformats.org/officeDocument/2006/relationships/hyperlink" Target="mailto:cristina.canogomez.ext@telefonica.com" TargetMode="External"/><Relationship Id="rId127" Type="http://schemas.openxmlformats.org/officeDocument/2006/relationships/hyperlink" Target="mailto:cristina.canogomez.ext@telefonica.com" TargetMode="External"/><Relationship Id="rId313" Type="http://schemas.openxmlformats.org/officeDocument/2006/relationships/hyperlink" Target="mailto:cristina.canogomez.ext@telefonica.com" TargetMode="External"/><Relationship Id="rId10" Type="http://schemas.openxmlformats.org/officeDocument/2006/relationships/hyperlink" Target="mailto:cristina.canogomez.ext@telefonica.com" TargetMode="External"/><Relationship Id="rId31" Type="http://schemas.openxmlformats.org/officeDocument/2006/relationships/hyperlink" Target="mailto:mariacarmen.rodriguezlage.ext@telefonica.com" TargetMode="External"/><Relationship Id="rId52" Type="http://schemas.openxmlformats.org/officeDocument/2006/relationships/hyperlink" Target="mailto:cristina.canogomez.ext@telefonica.com%20&#160;" TargetMode="External"/><Relationship Id="rId73" Type="http://schemas.openxmlformats.org/officeDocument/2006/relationships/hyperlink" Target="mailto:cristina.canogomez.ext@telefonica.com" TargetMode="External"/><Relationship Id="rId94" Type="http://schemas.openxmlformats.org/officeDocument/2006/relationships/hyperlink" Target="mailto:cristina.canogomez.ext@telefonica.com" TargetMode="External"/><Relationship Id="rId148" Type="http://schemas.openxmlformats.org/officeDocument/2006/relationships/hyperlink" Target="mailto:cristina.canogomez.ext@telefonica.com" TargetMode="External"/><Relationship Id="rId169" Type="http://schemas.openxmlformats.org/officeDocument/2006/relationships/hyperlink" Target="mailto:cristina.canogomez.ext@telefonica.com" TargetMode="External"/><Relationship Id="rId334" Type="http://schemas.openxmlformats.org/officeDocument/2006/relationships/hyperlink" Target="mailto:cristina.canogomez.ext@telefonica.com" TargetMode="External"/><Relationship Id="rId355" Type="http://schemas.openxmlformats.org/officeDocument/2006/relationships/hyperlink" Target="mailto:cristina.canogomez.ext@telefonica.com" TargetMode="External"/><Relationship Id="rId376" Type="http://schemas.openxmlformats.org/officeDocument/2006/relationships/hyperlink" Target="mailto:cristina.canogomez.ext@telefonica.com" TargetMode="External"/><Relationship Id="rId397" Type="http://schemas.openxmlformats.org/officeDocument/2006/relationships/hyperlink" Target="mailto:cristina.canogomez.ext@telefonica.com" TargetMode="External"/><Relationship Id="rId4" Type="http://schemas.openxmlformats.org/officeDocument/2006/relationships/hyperlink" Target="mailto:cristina.canogomez.ext@telefonica.com" TargetMode="External"/><Relationship Id="rId180" Type="http://schemas.openxmlformats.org/officeDocument/2006/relationships/hyperlink" Target="mailto:cristina.canogomez.ext@telefonica.com" TargetMode="External"/><Relationship Id="rId215" Type="http://schemas.openxmlformats.org/officeDocument/2006/relationships/hyperlink" Target="mailto:cristina.canogomez.ext@telefonica.com" TargetMode="External"/><Relationship Id="rId236" Type="http://schemas.openxmlformats.org/officeDocument/2006/relationships/hyperlink" Target="mailto:cristina.canogomez.ext@telefonica.com" TargetMode="External"/><Relationship Id="rId257" Type="http://schemas.openxmlformats.org/officeDocument/2006/relationships/hyperlink" Target="mailto:cristina.canogomez.ext@telefonica.com" TargetMode="External"/><Relationship Id="rId278" Type="http://schemas.openxmlformats.org/officeDocument/2006/relationships/hyperlink" Target="mailto:cristina.canogomez.ext@telefonica.com" TargetMode="External"/><Relationship Id="rId401" Type="http://schemas.openxmlformats.org/officeDocument/2006/relationships/hyperlink" Target="mailto:cristina.canogomez.ext@telefonica.com" TargetMode="External"/><Relationship Id="rId422" Type="http://schemas.openxmlformats.org/officeDocument/2006/relationships/hyperlink" Target="mailto:cristina.canogomez.ext@telefonica.com" TargetMode="External"/><Relationship Id="rId443" Type="http://schemas.openxmlformats.org/officeDocument/2006/relationships/hyperlink" Target="mailto:cristina.canogomez.ext@telefonica.com" TargetMode="External"/><Relationship Id="rId464" Type="http://schemas.openxmlformats.org/officeDocument/2006/relationships/hyperlink" Target="mailto:cristina.canogomez.ext@telefonica.com" TargetMode="External"/><Relationship Id="rId303" Type="http://schemas.openxmlformats.org/officeDocument/2006/relationships/hyperlink" Target="mailto:cristina.canogomez.ext@telefonica.com" TargetMode="External"/><Relationship Id="rId42" Type="http://schemas.openxmlformats.org/officeDocument/2006/relationships/hyperlink" Target="mailto:cristina.canogomez.ext@telefonica.com%20&#160;" TargetMode="External"/><Relationship Id="rId84" Type="http://schemas.openxmlformats.org/officeDocument/2006/relationships/hyperlink" Target="mailto:cristina.canogomez.ext@telefonica.com" TargetMode="External"/><Relationship Id="rId138" Type="http://schemas.openxmlformats.org/officeDocument/2006/relationships/hyperlink" Target="mailto:cristina.canogomez.ext@telefonica.com" TargetMode="External"/><Relationship Id="rId345" Type="http://schemas.openxmlformats.org/officeDocument/2006/relationships/hyperlink" Target="mailto:cristina.canogomez.ext@telefonica.com" TargetMode="External"/><Relationship Id="rId387" Type="http://schemas.openxmlformats.org/officeDocument/2006/relationships/hyperlink" Target="mailto:cristina.canogomez.ext@telefonica.com" TargetMode="External"/><Relationship Id="rId191" Type="http://schemas.openxmlformats.org/officeDocument/2006/relationships/hyperlink" Target="mailto:cristina.canogomez.ext@telefonica.com" TargetMode="External"/><Relationship Id="rId205" Type="http://schemas.openxmlformats.org/officeDocument/2006/relationships/hyperlink" Target="mailto:cristina.canogomez.ext@telefonica.com" TargetMode="External"/><Relationship Id="rId247" Type="http://schemas.openxmlformats.org/officeDocument/2006/relationships/hyperlink" Target="mailto:cristina.canogomez.ext@telefonica.com" TargetMode="External"/><Relationship Id="rId412" Type="http://schemas.openxmlformats.org/officeDocument/2006/relationships/hyperlink" Target="mailto:cristina.canogomez.ext@telefonica.com" TargetMode="External"/><Relationship Id="rId107" Type="http://schemas.openxmlformats.org/officeDocument/2006/relationships/hyperlink" Target="mailto:cristina.canogomez.ext@telefonica.com" TargetMode="External"/><Relationship Id="rId289" Type="http://schemas.openxmlformats.org/officeDocument/2006/relationships/hyperlink" Target="mailto:cristina.canogomez.ext@telefonica.com" TargetMode="External"/><Relationship Id="rId454" Type="http://schemas.openxmlformats.org/officeDocument/2006/relationships/hyperlink" Target="mailto:cristina.canogomez.ext@telefonica.com" TargetMode="External"/><Relationship Id="rId11" Type="http://schemas.openxmlformats.org/officeDocument/2006/relationships/hyperlink" Target="mailto:cristina.canogomez.ext@telefonica.com" TargetMode="External"/><Relationship Id="rId53" Type="http://schemas.openxmlformats.org/officeDocument/2006/relationships/hyperlink" Target="mailto:mariacarmen.rodriguezlage.ext@telefonica.com" TargetMode="External"/><Relationship Id="rId149" Type="http://schemas.openxmlformats.org/officeDocument/2006/relationships/hyperlink" Target="mailto:cristina.canogomez.ext@telefonica.com" TargetMode="External"/><Relationship Id="rId314" Type="http://schemas.openxmlformats.org/officeDocument/2006/relationships/hyperlink" Target="mailto:cristina.canogomez.ext@telefonica.com" TargetMode="External"/><Relationship Id="rId356" Type="http://schemas.openxmlformats.org/officeDocument/2006/relationships/hyperlink" Target="mailto:cristina.canogomez.ext@telefonica.com" TargetMode="External"/><Relationship Id="rId398" Type="http://schemas.openxmlformats.org/officeDocument/2006/relationships/hyperlink" Target="mailto:cristina.canogomez.ext@telefonica.com" TargetMode="External"/><Relationship Id="rId95" Type="http://schemas.openxmlformats.org/officeDocument/2006/relationships/hyperlink" Target="mailto:cristina.canogomez.ext@telefonica.com" TargetMode="External"/><Relationship Id="rId160" Type="http://schemas.openxmlformats.org/officeDocument/2006/relationships/hyperlink" Target="mailto:cristina.canogomez.ext@telefonica.com" TargetMode="External"/><Relationship Id="rId216" Type="http://schemas.openxmlformats.org/officeDocument/2006/relationships/hyperlink" Target="mailto:cristina.canogomez.ext@telefonica.com" TargetMode="External"/><Relationship Id="rId423" Type="http://schemas.openxmlformats.org/officeDocument/2006/relationships/hyperlink" Target="mailto:cristina.canogomez.ext@telefonica.com" TargetMode="External"/><Relationship Id="rId258" Type="http://schemas.openxmlformats.org/officeDocument/2006/relationships/hyperlink" Target="mailto:cristina.canogomez.ext@telefonica.com" TargetMode="External"/><Relationship Id="rId465" Type="http://schemas.openxmlformats.org/officeDocument/2006/relationships/hyperlink" Target="mailto:cristina.canogomez.ext@telefonica.com" TargetMode="External"/><Relationship Id="rId22" Type="http://schemas.openxmlformats.org/officeDocument/2006/relationships/hyperlink" Target="mailto:cristina.canogomez.ext@telefonica.com" TargetMode="External"/><Relationship Id="rId64" Type="http://schemas.openxmlformats.org/officeDocument/2006/relationships/hyperlink" Target="mailto:cristina.canogomez.ext@telefonica.com%20&#160;" TargetMode="External"/><Relationship Id="rId118" Type="http://schemas.openxmlformats.org/officeDocument/2006/relationships/hyperlink" Target="mailto:cristina.canogomez.ext@telefonica.com" TargetMode="External"/><Relationship Id="rId325" Type="http://schemas.openxmlformats.org/officeDocument/2006/relationships/hyperlink" Target="mailto:cristina.canogomez.ext@telefonica.com" TargetMode="External"/><Relationship Id="rId367" Type="http://schemas.openxmlformats.org/officeDocument/2006/relationships/hyperlink" Target="mailto:cristina.canogomez.ext@telefonica.com" TargetMode="External"/><Relationship Id="rId171" Type="http://schemas.openxmlformats.org/officeDocument/2006/relationships/hyperlink" Target="mailto:cristina.canogomez.ext@telefonica.com" TargetMode="External"/><Relationship Id="rId227" Type="http://schemas.openxmlformats.org/officeDocument/2006/relationships/hyperlink" Target="mailto:cristina.canogomez.ext@telefonica.com" TargetMode="External"/><Relationship Id="rId269" Type="http://schemas.openxmlformats.org/officeDocument/2006/relationships/hyperlink" Target="mailto:cristina.canogomez.ext@telefonica.com" TargetMode="External"/><Relationship Id="rId434" Type="http://schemas.openxmlformats.org/officeDocument/2006/relationships/hyperlink" Target="mailto:cristina.canogomez.ext@telefonica.com" TargetMode="External"/><Relationship Id="rId33" Type="http://schemas.openxmlformats.org/officeDocument/2006/relationships/hyperlink" Target="mailto:mariacarmen.rodriguezlage.ext@telefonica.com" TargetMode="External"/><Relationship Id="rId129" Type="http://schemas.openxmlformats.org/officeDocument/2006/relationships/hyperlink" Target="mailto:cristina.canogomez.ext@telefonica.com" TargetMode="External"/><Relationship Id="rId280" Type="http://schemas.openxmlformats.org/officeDocument/2006/relationships/hyperlink" Target="mailto:cristina.canogomez.ext@telefonica.com" TargetMode="External"/><Relationship Id="rId336" Type="http://schemas.openxmlformats.org/officeDocument/2006/relationships/hyperlink" Target="mailto:cristina.canogomez.ext@telefonica.com" TargetMode="External"/><Relationship Id="rId75" Type="http://schemas.openxmlformats.org/officeDocument/2006/relationships/hyperlink" Target="mailto:cristina.canogomez.ext@telefonica.com" TargetMode="External"/><Relationship Id="rId140" Type="http://schemas.openxmlformats.org/officeDocument/2006/relationships/hyperlink" Target="mailto:cristina.canogomez.ext@telefonica.com" TargetMode="External"/><Relationship Id="rId182" Type="http://schemas.openxmlformats.org/officeDocument/2006/relationships/hyperlink" Target="mailto:cristina.canogomez.ext@telefonica.com" TargetMode="External"/><Relationship Id="rId378" Type="http://schemas.openxmlformats.org/officeDocument/2006/relationships/hyperlink" Target="mailto:cristina.canogomez.ext@telefonica.com" TargetMode="External"/><Relationship Id="rId403" Type="http://schemas.openxmlformats.org/officeDocument/2006/relationships/hyperlink" Target="mailto:cristina.canogomez.ext@telefonica.com" TargetMode="External"/><Relationship Id="rId6" Type="http://schemas.openxmlformats.org/officeDocument/2006/relationships/hyperlink" Target="mailto:cristina.canogomez.ext@telefonica.com" TargetMode="External"/><Relationship Id="rId238" Type="http://schemas.openxmlformats.org/officeDocument/2006/relationships/hyperlink" Target="mailto:cristina.canogomez.ext@telefonica.com%20&#160;" TargetMode="External"/><Relationship Id="rId445" Type="http://schemas.openxmlformats.org/officeDocument/2006/relationships/hyperlink" Target="mailto:cristina.canogomez.ext@telefonica.com" TargetMode="External"/><Relationship Id="rId291" Type="http://schemas.openxmlformats.org/officeDocument/2006/relationships/hyperlink" Target="mailto:cristina.canogomez.ext@telefonica.com" TargetMode="External"/><Relationship Id="rId305" Type="http://schemas.openxmlformats.org/officeDocument/2006/relationships/hyperlink" Target="mailto:cristina.canogomez.ext@telefonica.com" TargetMode="External"/><Relationship Id="rId347" Type="http://schemas.openxmlformats.org/officeDocument/2006/relationships/hyperlink" Target="mailto:cristina.canogomez.ext@telefonica.com" TargetMode="External"/><Relationship Id="rId44" Type="http://schemas.openxmlformats.org/officeDocument/2006/relationships/hyperlink" Target="mailto:mariacarmen.rodriguezlage.ext@telefonica.com" TargetMode="External"/><Relationship Id="rId86" Type="http://schemas.openxmlformats.org/officeDocument/2006/relationships/hyperlink" Target="mailto:cristina.canogomez.ext@telefonica.com" TargetMode="External"/><Relationship Id="rId151" Type="http://schemas.openxmlformats.org/officeDocument/2006/relationships/hyperlink" Target="mailto:cristina.canogomez.ext@telefonica.com" TargetMode="External"/><Relationship Id="rId389" Type="http://schemas.openxmlformats.org/officeDocument/2006/relationships/hyperlink" Target="mailto:cristina.canogomez.ext@telefonica.com" TargetMode="External"/><Relationship Id="rId193" Type="http://schemas.openxmlformats.org/officeDocument/2006/relationships/hyperlink" Target="mailto:cristina.canogomez.ext@telefonica.com" TargetMode="External"/><Relationship Id="rId207" Type="http://schemas.openxmlformats.org/officeDocument/2006/relationships/hyperlink" Target="mailto:cristina.canogomez.ext@telefonica.com" TargetMode="External"/><Relationship Id="rId249" Type="http://schemas.openxmlformats.org/officeDocument/2006/relationships/hyperlink" Target="mailto:cristina.canogomez.ext@telefonica.com" TargetMode="External"/><Relationship Id="rId414" Type="http://schemas.openxmlformats.org/officeDocument/2006/relationships/hyperlink" Target="mailto:cristina.canogomez.ext@telefonica.com" TargetMode="External"/><Relationship Id="rId456" Type="http://schemas.openxmlformats.org/officeDocument/2006/relationships/hyperlink" Target="mailto:cristina.canogomez.ext@telefonica.com" TargetMode="External"/><Relationship Id="rId13" Type="http://schemas.openxmlformats.org/officeDocument/2006/relationships/hyperlink" Target="mailto:cristina.canogomez.ext@telefonica.com" TargetMode="External"/><Relationship Id="rId109" Type="http://schemas.openxmlformats.org/officeDocument/2006/relationships/hyperlink" Target="mailto:cristina.canogomez.ext@telefonica.com" TargetMode="External"/><Relationship Id="rId260" Type="http://schemas.openxmlformats.org/officeDocument/2006/relationships/hyperlink" Target="mailto:cristina.canogomez.ext@telefonica.com" TargetMode="External"/><Relationship Id="rId316" Type="http://schemas.openxmlformats.org/officeDocument/2006/relationships/hyperlink" Target="mailto:cristina.canogomez.ext@telefonica.com" TargetMode="External"/><Relationship Id="rId55" Type="http://schemas.openxmlformats.org/officeDocument/2006/relationships/hyperlink" Target="mailto:cristina.canogomez.ext@telefonica.com" TargetMode="External"/><Relationship Id="rId97" Type="http://schemas.openxmlformats.org/officeDocument/2006/relationships/hyperlink" Target="mailto:cristina.canogomez.ext@telefonica.com" TargetMode="External"/><Relationship Id="rId120" Type="http://schemas.openxmlformats.org/officeDocument/2006/relationships/hyperlink" Target="mailto:cristina.canogomez.ext@telefonica.com" TargetMode="External"/><Relationship Id="rId358" Type="http://schemas.openxmlformats.org/officeDocument/2006/relationships/hyperlink" Target="mailto:cristina.canogomez.ext@telefonica.com" TargetMode="External"/><Relationship Id="rId162" Type="http://schemas.openxmlformats.org/officeDocument/2006/relationships/hyperlink" Target="mailto:cristina.canogomez.ext@telefonica.com" TargetMode="External"/><Relationship Id="rId218" Type="http://schemas.openxmlformats.org/officeDocument/2006/relationships/hyperlink" Target="mailto:cristina.canogomez.ext@telefonica.com" TargetMode="External"/><Relationship Id="rId425" Type="http://schemas.openxmlformats.org/officeDocument/2006/relationships/hyperlink" Target="mailto:cristina.canogomez.ext@telefonica.com" TargetMode="External"/><Relationship Id="rId467" Type="http://schemas.openxmlformats.org/officeDocument/2006/relationships/hyperlink" Target="mailto:cristina.canogomez.ext@telefonica.com" TargetMode="External"/><Relationship Id="rId271" Type="http://schemas.openxmlformats.org/officeDocument/2006/relationships/hyperlink" Target="mailto:cristina.canogomez.ext@telefonica.com" TargetMode="External"/><Relationship Id="rId24" Type="http://schemas.openxmlformats.org/officeDocument/2006/relationships/hyperlink" Target="mailto:cristina.canogomez.ext@telefonica.com" TargetMode="External"/><Relationship Id="rId66" Type="http://schemas.openxmlformats.org/officeDocument/2006/relationships/hyperlink" Target="mailto:cristina.canogomez.ext@telefonica.com" TargetMode="External"/><Relationship Id="rId131" Type="http://schemas.openxmlformats.org/officeDocument/2006/relationships/hyperlink" Target="mailto:cristina.canogomez.ext@telefonica.com" TargetMode="External"/><Relationship Id="rId327" Type="http://schemas.openxmlformats.org/officeDocument/2006/relationships/hyperlink" Target="mailto:cristina.canogomez.ext@telefonica.com" TargetMode="External"/><Relationship Id="rId369" Type="http://schemas.openxmlformats.org/officeDocument/2006/relationships/hyperlink" Target="mailto:cristina.canogomez.ext@telefonica.com" TargetMode="External"/><Relationship Id="rId173" Type="http://schemas.openxmlformats.org/officeDocument/2006/relationships/hyperlink" Target="mailto:cristina.canogomez.ext@telefonica.com" TargetMode="External"/><Relationship Id="rId229" Type="http://schemas.openxmlformats.org/officeDocument/2006/relationships/hyperlink" Target="mailto:cristina.canogomez.ext@telefonica.com" TargetMode="External"/><Relationship Id="rId380" Type="http://schemas.openxmlformats.org/officeDocument/2006/relationships/hyperlink" Target="mailto:cristina.canogomez.ext@telefonica.com" TargetMode="External"/><Relationship Id="rId436" Type="http://schemas.openxmlformats.org/officeDocument/2006/relationships/hyperlink" Target="mailto:cristina.canogomez.ext@telefonica.com" TargetMode="External"/><Relationship Id="rId240" Type="http://schemas.openxmlformats.org/officeDocument/2006/relationships/hyperlink" Target="mailto:cristina.canogomez.ext@telefonica.com" TargetMode="External"/><Relationship Id="rId35" Type="http://schemas.openxmlformats.org/officeDocument/2006/relationships/hyperlink" Target="mailto:mariacarmen.rodriguezlage.ext@telefonica.com" TargetMode="External"/><Relationship Id="rId77" Type="http://schemas.openxmlformats.org/officeDocument/2006/relationships/hyperlink" Target="mailto:cristina.canogomez.ext@telefonica.com" TargetMode="External"/><Relationship Id="rId100" Type="http://schemas.openxmlformats.org/officeDocument/2006/relationships/hyperlink" Target="mailto:cristina.canogomez.ext@telefonica.com" TargetMode="External"/><Relationship Id="rId282" Type="http://schemas.openxmlformats.org/officeDocument/2006/relationships/hyperlink" Target="mailto:cristina.canogomez.ext@telefonica.com" TargetMode="External"/><Relationship Id="rId338" Type="http://schemas.openxmlformats.org/officeDocument/2006/relationships/hyperlink" Target="mailto:cristina.canogomez.ext@telefonica.com" TargetMode="External"/><Relationship Id="rId8" Type="http://schemas.openxmlformats.org/officeDocument/2006/relationships/hyperlink" Target="mailto:cristina.canogomez.ext@telefonica.com" TargetMode="External"/><Relationship Id="rId142" Type="http://schemas.openxmlformats.org/officeDocument/2006/relationships/hyperlink" Target="mailto:cristina.canogomez.ext@telefonica.com" TargetMode="External"/><Relationship Id="rId184" Type="http://schemas.openxmlformats.org/officeDocument/2006/relationships/hyperlink" Target="mailto:cristina.canogomez.ext@telefonica.com" TargetMode="External"/><Relationship Id="rId391" Type="http://schemas.openxmlformats.org/officeDocument/2006/relationships/hyperlink" Target="mailto:cristina.canogomez.ext@telefonica.com" TargetMode="External"/><Relationship Id="rId405" Type="http://schemas.openxmlformats.org/officeDocument/2006/relationships/hyperlink" Target="mailto:cristina.canogomez.ext@telefonica.com" TargetMode="External"/><Relationship Id="rId447" Type="http://schemas.openxmlformats.org/officeDocument/2006/relationships/hyperlink" Target="mailto:cristina.canogomez.ext@telefonica.com" TargetMode="External"/><Relationship Id="rId251" Type="http://schemas.openxmlformats.org/officeDocument/2006/relationships/hyperlink" Target="mailto:cristina.canogomez.ext@telefonica.com" TargetMode="External"/><Relationship Id="rId46" Type="http://schemas.openxmlformats.org/officeDocument/2006/relationships/hyperlink" Target="mailto:mariacarmen.rodriguezlage.ext@telefonica.com" TargetMode="External"/><Relationship Id="rId293" Type="http://schemas.openxmlformats.org/officeDocument/2006/relationships/hyperlink" Target="mailto:cristina.canogomez.ext@telefonica.com" TargetMode="External"/><Relationship Id="rId307" Type="http://schemas.openxmlformats.org/officeDocument/2006/relationships/hyperlink" Target="mailto:cristina.canogomez.ext@telefonica.com" TargetMode="External"/><Relationship Id="rId349" Type="http://schemas.openxmlformats.org/officeDocument/2006/relationships/hyperlink" Target="mailto:cristina.canogomez.ext@telefonica.com" TargetMode="External"/><Relationship Id="rId88" Type="http://schemas.openxmlformats.org/officeDocument/2006/relationships/hyperlink" Target="mailto:cristina.canogomez.ext@telefonica.com" TargetMode="External"/><Relationship Id="rId111" Type="http://schemas.openxmlformats.org/officeDocument/2006/relationships/hyperlink" Target="mailto:cristina.canogomez.ext@telefonica.com" TargetMode="External"/><Relationship Id="rId153" Type="http://schemas.openxmlformats.org/officeDocument/2006/relationships/hyperlink" Target="mailto:cristina.canogomez.ext@telefonica.com" TargetMode="External"/><Relationship Id="rId195" Type="http://schemas.openxmlformats.org/officeDocument/2006/relationships/hyperlink" Target="mailto:cristina.canogomez.ext@telefonica.com" TargetMode="External"/><Relationship Id="rId209" Type="http://schemas.openxmlformats.org/officeDocument/2006/relationships/hyperlink" Target="mailto:cristina.canogomez.ext@telefonica.com" TargetMode="External"/><Relationship Id="rId360" Type="http://schemas.openxmlformats.org/officeDocument/2006/relationships/hyperlink" Target="mailto:cristina.canogomez.ext@telefonica.com" TargetMode="External"/><Relationship Id="rId416" Type="http://schemas.openxmlformats.org/officeDocument/2006/relationships/hyperlink" Target="mailto:cristina.canogomez.ext@telefonica.com" TargetMode="External"/><Relationship Id="rId220" Type="http://schemas.openxmlformats.org/officeDocument/2006/relationships/hyperlink" Target="mailto:cristina.canogomez.ext@telefonica.com" TargetMode="External"/><Relationship Id="rId458" Type="http://schemas.openxmlformats.org/officeDocument/2006/relationships/hyperlink" Target="mailto:cristina.canogomez.ext@telefonica.com" TargetMode="External"/><Relationship Id="rId15" Type="http://schemas.openxmlformats.org/officeDocument/2006/relationships/hyperlink" Target="mailto:cristina.canogomez.ext@telefonica.com" TargetMode="External"/><Relationship Id="rId57" Type="http://schemas.openxmlformats.org/officeDocument/2006/relationships/hyperlink" Target="mailto:cristina.canogomez.ext@telefonica.com" TargetMode="External"/><Relationship Id="rId262" Type="http://schemas.openxmlformats.org/officeDocument/2006/relationships/hyperlink" Target="mailto:cristina.canogomez.ext@telefonica.com" TargetMode="External"/><Relationship Id="rId318" Type="http://schemas.openxmlformats.org/officeDocument/2006/relationships/hyperlink" Target="mailto:cristina.canogomez.ext@telefonica.com" TargetMode="External"/><Relationship Id="rId99" Type="http://schemas.openxmlformats.org/officeDocument/2006/relationships/hyperlink" Target="mailto:cristina.canogomez.ext@telefonica.com" TargetMode="External"/><Relationship Id="rId122" Type="http://schemas.openxmlformats.org/officeDocument/2006/relationships/hyperlink" Target="mailto:cristina.canogomez.ext@telefonica.com" TargetMode="External"/><Relationship Id="rId164" Type="http://schemas.openxmlformats.org/officeDocument/2006/relationships/hyperlink" Target="mailto:cristina.canogomez.ext@telefonica.com" TargetMode="External"/><Relationship Id="rId371" Type="http://schemas.openxmlformats.org/officeDocument/2006/relationships/hyperlink" Target="mailto:cristina.canogomez.ext@telefonica.com" TargetMode="External"/><Relationship Id="rId427" Type="http://schemas.openxmlformats.org/officeDocument/2006/relationships/hyperlink" Target="mailto:cristina.canogomez.ext@telefonica.com" TargetMode="External"/><Relationship Id="rId469" Type="http://schemas.openxmlformats.org/officeDocument/2006/relationships/printerSettings" Target="../printerSettings/printerSettings2.bin"/><Relationship Id="rId26" Type="http://schemas.openxmlformats.org/officeDocument/2006/relationships/hyperlink" Target="mailto:mariacarmen.rodriguezlage.ext@telefonica.com" TargetMode="External"/><Relationship Id="rId231" Type="http://schemas.openxmlformats.org/officeDocument/2006/relationships/hyperlink" Target="mailto:cristina.canogomez.ext@telefonica.com" TargetMode="External"/><Relationship Id="rId273" Type="http://schemas.openxmlformats.org/officeDocument/2006/relationships/hyperlink" Target="mailto:cristina.canogomez.ext@telefonica.com" TargetMode="External"/><Relationship Id="rId329" Type="http://schemas.openxmlformats.org/officeDocument/2006/relationships/hyperlink" Target="mailto:cristina.canogomez.ext@telefonica.com" TargetMode="External"/><Relationship Id="rId68" Type="http://schemas.openxmlformats.org/officeDocument/2006/relationships/hyperlink" Target="mailto:mariacarmen.rodriguezlage.ext@telefonica.com" TargetMode="External"/><Relationship Id="rId133" Type="http://schemas.openxmlformats.org/officeDocument/2006/relationships/hyperlink" Target="mailto:cristina.canogomez.ext@telefonica.com" TargetMode="External"/><Relationship Id="rId175" Type="http://schemas.openxmlformats.org/officeDocument/2006/relationships/hyperlink" Target="mailto:cristina.canogomez.ext@telefonica.com" TargetMode="External"/><Relationship Id="rId340" Type="http://schemas.openxmlformats.org/officeDocument/2006/relationships/hyperlink" Target="mailto:cristina.canogomez.ext@telefonica.com" TargetMode="External"/><Relationship Id="rId200" Type="http://schemas.openxmlformats.org/officeDocument/2006/relationships/hyperlink" Target="mailto:cristina.canogomez.ext@telefonica.com" TargetMode="External"/><Relationship Id="rId382" Type="http://schemas.openxmlformats.org/officeDocument/2006/relationships/hyperlink" Target="mailto:cristina.canogomez.ext@telefonica.com" TargetMode="External"/><Relationship Id="rId438" Type="http://schemas.openxmlformats.org/officeDocument/2006/relationships/hyperlink" Target="mailto:cristina.canogomez.ext@telefonica.com" TargetMode="External"/><Relationship Id="rId242" Type="http://schemas.openxmlformats.org/officeDocument/2006/relationships/hyperlink" Target="mailto:cristina.canogomez.ext@telefonica.com" TargetMode="External"/><Relationship Id="rId284" Type="http://schemas.openxmlformats.org/officeDocument/2006/relationships/hyperlink" Target="mailto:cristina.canogomez.ext@telefonica.com" TargetMode="External"/><Relationship Id="rId37" Type="http://schemas.openxmlformats.org/officeDocument/2006/relationships/hyperlink" Target="mailto:cristina.canogomez.ext@telefonica.com%20&#160;" TargetMode="External"/><Relationship Id="rId79" Type="http://schemas.openxmlformats.org/officeDocument/2006/relationships/hyperlink" Target="mailto:cristina.canogomez.ext@telefonica.com" TargetMode="External"/><Relationship Id="rId102" Type="http://schemas.openxmlformats.org/officeDocument/2006/relationships/hyperlink" Target="mailto:cristina.canogomez.ext@telefonica.com" TargetMode="External"/><Relationship Id="rId144" Type="http://schemas.openxmlformats.org/officeDocument/2006/relationships/hyperlink" Target="mailto:cristina.canogomez.ext@telefonica.com" TargetMode="External"/><Relationship Id="rId90" Type="http://schemas.openxmlformats.org/officeDocument/2006/relationships/hyperlink" Target="mailto:cristina.canogomez.ext@telefonica.com" TargetMode="External"/><Relationship Id="rId186" Type="http://schemas.openxmlformats.org/officeDocument/2006/relationships/hyperlink" Target="mailto:cristina.canogomez.ext@telefonica.com" TargetMode="External"/><Relationship Id="rId351" Type="http://schemas.openxmlformats.org/officeDocument/2006/relationships/hyperlink" Target="mailto:cristina.canogomez.ext@telefonica.com" TargetMode="External"/><Relationship Id="rId393" Type="http://schemas.openxmlformats.org/officeDocument/2006/relationships/hyperlink" Target="mailto:cristina.canogomez.ext@telefonica.com" TargetMode="External"/><Relationship Id="rId407" Type="http://schemas.openxmlformats.org/officeDocument/2006/relationships/hyperlink" Target="mailto:cristina.canogomez.ext@telefonica.com" TargetMode="External"/><Relationship Id="rId449" Type="http://schemas.openxmlformats.org/officeDocument/2006/relationships/hyperlink" Target="mailto:cristina.canogomez.ext@telefonica.com" TargetMode="External"/><Relationship Id="rId211" Type="http://schemas.openxmlformats.org/officeDocument/2006/relationships/hyperlink" Target="mailto:cristina.canogomez.ext@telefonica.com" TargetMode="External"/><Relationship Id="rId253" Type="http://schemas.openxmlformats.org/officeDocument/2006/relationships/hyperlink" Target="mailto:cristina.canogomez.ext@telefonica.com" TargetMode="External"/><Relationship Id="rId295" Type="http://schemas.openxmlformats.org/officeDocument/2006/relationships/hyperlink" Target="mailto:cristina.canogomez.ext@telefonica.com" TargetMode="External"/><Relationship Id="rId309" Type="http://schemas.openxmlformats.org/officeDocument/2006/relationships/hyperlink" Target="mailto:cristina.canogomez.ext@telefonica.com" TargetMode="External"/><Relationship Id="rId460" Type="http://schemas.openxmlformats.org/officeDocument/2006/relationships/hyperlink" Target="mailto:cristina.canogomez.ext@telefonica.com" TargetMode="External"/><Relationship Id="rId48" Type="http://schemas.openxmlformats.org/officeDocument/2006/relationships/hyperlink" Target="mailto:cristina.canogomez.ext@telefonica.com%20&#160;" TargetMode="External"/><Relationship Id="rId113" Type="http://schemas.openxmlformats.org/officeDocument/2006/relationships/hyperlink" Target="mailto:cristina.canogomez.ext@telefonica.com" TargetMode="External"/><Relationship Id="rId320" Type="http://schemas.openxmlformats.org/officeDocument/2006/relationships/hyperlink" Target="mailto:cristina.canogomez.ext@telefonica.com" TargetMode="External"/><Relationship Id="rId155" Type="http://schemas.openxmlformats.org/officeDocument/2006/relationships/hyperlink" Target="mailto:cristina.canogomez.ext@telefonica.com" TargetMode="External"/><Relationship Id="rId197" Type="http://schemas.openxmlformats.org/officeDocument/2006/relationships/hyperlink" Target="mailto:cristina.canogomez.ext@telefonica.com" TargetMode="External"/><Relationship Id="rId362" Type="http://schemas.openxmlformats.org/officeDocument/2006/relationships/hyperlink" Target="mailto:cristina.canogomez.ext@telefonica.com" TargetMode="External"/><Relationship Id="rId418" Type="http://schemas.openxmlformats.org/officeDocument/2006/relationships/hyperlink" Target="mailto:cristina.canogomez.ext@telefonica.com" TargetMode="External"/><Relationship Id="rId222" Type="http://schemas.openxmlformats.org/officeDocument/2006/relationships/hyperlink" Target="mailto:cristina.canogomez.ext@telefonica.com" TargetMode="External"/><Relationship Id="rId264" Type="http://schemas.openxmlformats.org/officeDocument/2006/relationships/hyperlink" Target="mailto:cristina.canogomez.ext@telefonica.com" TargetMode="External"/><Relationship Id="rId17" Type="http://schemas.openxmlformats.org/officeDocument/2006/relationships/hyperlink" Target="mailto:mariacarmen.rodriguezlage.ext@telefonica.com" TargetMode="External"/><Relationship Id="rId59" Type="http://schemas.openxmlformats.org/officeDocument/2006/relationships/hyperlink" Target="mailto:cristina.canogomez.ext@telefonica.com" TargetMode="External"/><Relationship Id="rId124" Type="http://schemas.openxmlformats.org/officeDocument/2006/relationships/hyperlink" Target="mailto:cristina.canogomez.ext@telefonica.com" TargetMode="External"/><Relationship Id="rId70" Type="http://schemas.openxmlformats.org/officeDocument/2006/relationships/hyperlink" Target="mailto:cristina.canogomez.ext@telefonica.com" TargetMode="External"/><Relationship Id="rId166" Type="http://schemas.openxmlformats.org/officeDocument/2006/relationships/hyperlink" Target="mailto:cristina.canogomez.ext@telefonica.com" TargetMode="External"/><Relationship Id="rId331" Type="http://schemas.openxmlformats.org/officeDocument/2006/relationships/hyperlink" Target="mailto:cristina.canogomez.ext@telefonica.com" TargetMode="External"/><Relationship Id="rId373" Type="http://schemas.openxmlformats.org/officeDocument/2006/relationships/hyperlink" Target="mailto:cristina.canogomez.ext@telefonica.com" TargetMode="External"/><Relationship Id="rId429" Type="http://schemas.openxmlformats.org/officeDocument/2006/relationships/hyperlink" Target="mailto:cristina.canogomez.ext@telefonica.com" TargetMode="External"/><Relationship Id="rId1" Type="http://schemas.openxmlformats.org/officeDocument/2006/relationships/hyperlink" Target="mailto:cristina.canogomez.ext@telefonica.com" TargetMode="External"/><Relationship Id="rId233" Type="http://schemas.openxmlformats.org/officeDocument/2006/relationships/hyperlink" Target="mailto:cristina.canogomez.ext@telefonica.com" TargetMode="External"/><Relationship Id="rId440" Type="http://schemas.openxmlformats.org/officeDocument/2006/relationships/hyperlink" Target="mailto:cristina.canogomez.ext@telefonica.com" TargetMode="External"/><Relationship Id="rId28" Type="http://schemas.openxmlformats.org/officeDocument/2006/relationships/hyperlink" Target="mailto:mariacarmen.rodriguezlage.ext@telefonica.com" TargetMode="External"/><Relationship Id="rId275" Type="http://schemas.openxmlformats.org/officeDocument/2006/relationships/hyperlink" Target="mailto:cristina.canogomez.ext@telefonica.com" TargetMode="External"/><Relationship Id="rId300" Type="http://schemas.openxmlformats.org/officeDocument/2006/relationships/hyperlink" Target="mailto:cristina.canogomez.ext@telefonica.com" TargetMode="External"/><Relationship Id="rId81" Type="http://schemas.openxmlformats.org/officeDocument/2006/relationships/hyperlink" Target="mailto:cristina.canogomez.ext@telefonica.com" TargetMode="External"/><Relationship Id="rId135" Type="http://schemas.openxmlformats.org/officeDocument/2006/relationships/hyperlink" Target="mailto:cristina.canogomez.ext@telefonica.com" TargetMode="External"/><Relationship Id="rId177" Type="http://schemas.openxmlformats.org/officeDocument/2006/relationships/hyperlink" Target="mailto:cristina.canogomez.ext@telefonica.com" TargetMode="External"/><Relationship Id="rId342" Type="http://schemas.openxmlformats.org/officeDocument/2006/relationships/hyperlink" Target="mailto:cristina.canogomez.ext@telefonica.com" TargetMode="External"/><Relationship Id="rId384" Type="http://schemas.openxmlformats.org/officeDocument/2006/relationships/hyperlink" Target="mailto:cristina.canogomez.ext@telefonica.com" TargetMode="External"/><Relationship Id="rId202" Type="http://schemas.openxmlformats.org/officeDocument/2006/relationships/hyperlink" Target="mailto:cristina.canogomez.ext@telefonica.com" TargetMode="External"/><Relationship Id="rId244" Type="http://schemas.openxmlformats.org/officeDocument/2006/relationships/hyperlink" Target="mailto:cristina.canogomez.ext@telefonica.com" TargetMode="External"/><Relationship Id="rId39" Type="http://schemas.openxmlformats.org/officeDocument/2006/relationships/hyperlink" Target="mailto:cristina.canogomez.ext@telefonica.com%20&#160;" TargetMode="External"/><Relationship Id="rId286" Type="http://schemas.openxmlformats.org/officeDocument/2006/relationships/hyperlink" Target="mailto:cristina.canogomez.ext@telefonica.com" TargetMode="External"/><Relationship Id="rId451" Type="http://schemas.openxmlformats.org/officeDocument/2006/relationships/hyperlink" Target="mailto:cristina.canogomez.ext@telefonica.com" TargetMode="External"/><Relationship Id="rId50" Type="http://schemas.openxmlformats.org/officeDocument/2006/relationships/hyperlink" Target="mailto:cristina.canogomez.ext@telefonica.com%20&#160;" TargetMode="External"/><Relationship Id="rId104" Type="http://schemas.openxmlformats.org/officeDocument/2006/relationships/hyperlink" Target="mailto:cristina.canogomez.ext@telefonica.com" TargetMode="External"/><Relationship Id="rId146" Type="http://schemas.openxmlformats.org/officeDocument/2006/relationships/hyperlink" Target="mailto:cristina.canogomez.ext@telefonica.com" TargetMode="External"/><Relationship Id="rId188" Type="http://schemas.openxmlformats.org/officeDocument/2006/relationships/hyperlink" Target="mailto:cristina.canogomez.ext@telefonica.com" TargetMode="External"/><Relationship Id="rId311" Type="http://schemas.openxmlformats.org/officeDocument/2006/relationships/hyperlink" Target="mailto:cristina.canogomez.ext@telefonica.com" TargetMode="External"/><Relationship Id="rId353" Type="http://schemas.openxmlformats.org/officeDocument/2006/relationships/hyperlink" Target="mailto:cristina.canogomez.ext@telefonica.com" TargetMode="External"/><Relationship Id="rId395" Type="http://schemas.openxmlformats.org/officeDocument/2006/relationships/hyperlink" Target="mailto:cristina.canogomez.ext@telefonica.com" TargetMode="External"/><Relationship Id="rId409" Type="http://schemas.openxmlformats.org/officeDocument/2006/relationships/hyperlink" Target="mailto:cristina.canogomez.ext@telefonica.com" TargetMode="External"/><Relationship Id="rId92" Type="http://schemas.openxmlformats.org/officeDocument/2006/relationships/hyperlink" Target="mailto:cristina.canogomez.ext@telefonica.com" TargetMode="External"/><Relationship Id="rId213" Type="http://schemas.openxmlformats.org/officeDocument/2006/relationships/hyperlink" Target="mailto:cristina.canogomez.ext@telefonica.com" TargetMode="External"/><Relationship Id="rId420" Type="http://schemas.openxmlformats.org/officeDocument/2006/relationships/hyperlink" Target="mailto:cristina.canogomez.ext@telefonica.com" TargetMode="External"/><Relationship Id="rId255" Type="http://schemas.openxmlformats.org/officeDocument/2006/relationships/hyperlink" Target="mailto:cristina.canogomez.ext@telefonica.com" TargetMode="External"/><Relationship Id="rId297" Type="http://schemas.openxmlformats.org/officeDocument/2006/relationships/hyperlink" Target="mailto:cristina.canogomez.ext@telefonica.com" TargetMode="External"/><Relationship Id="rId462" Type="http://schemas.openxmlformats.org/officeDocument/2006/relationships/hyperlink" Target="mailto:cristina.canogomez.ext@telefonica.com" TargetMode="External"/><Relationship Id="rId115" Type="http://schemas.openxmlformats.org/officeDocument/2006/relationships/hyperlink" Target="mailto:cristina.canogomez.ext@telefonica.com" TargetMode="External"/><Relationship Id="rId157" Type="http://schemas.openxmlformats.org/officeDocument/2006/relationships/hyperlink" Target="mailto:cristina.canogomez.ext@telefonica.com" TargetMode="External"/><Relationship Id="rId322" Type="http://schemas.openxmlformats.org/officeDocument/2006/relationships/hyperlink" Target="mailto:cristina.canogomez.ext@telefonica.com" TargetMode="External"/><Relationship Id="rId364" Type="http://schemas.openxmlformats.org/officeDocument/2006/relationships/hyperlink" Target="mailto:cristina.canogomez.ext@telefonica.com" TargetMode="External"/><Relationship Id="rId61" Type="http://schemas.openxmlformats.org/officeDocument/2006/relationships/hyperlink" Target="mailto:cristina.canogomez.ext@telefonica.com" TargetMode="External"/><Relationship Id="rId199" Type="http://schemas.openxmlformats.org/officeDocument/2006/relationships/hyperlink" Target="mailto:cristina.canogomez.ext@telefonica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cxeon.com/es/pantallas-14-141-145/41089-pantalla-led-14-hp-elitebook-840-g7-series-m07092-001-l76245-l91-1920x1080-mate-30-pines-5704174286400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25580-7F8E-4779-80EB-2E9221949081}">
  <sheetPr filterMode="1"/>
  <dimension ref="A1:X191"/>
  <sheetViews>
    <sheetView topLeftCell="L1" zoomScaleNormal="100" workbookViewId="0">
      <pane ySplit="1" topLeftCell="A2" activePane="bottomLeft" state="frozen"/>
      <selection pane="bottomLeft" activeCell="N19" sqref="N19:N66"/>
    </sheetView>
  </sheetViews>
  <sheetFormatPr baseColWidth="10" defaultColWidth="11.453125" defaultRowHeight="14.5"/>
  <cols>
    <col min="1" max="1" width="11.453125" customWidth="1"/>
    <col min="2" max="3" width="26.7265625" customWidth="1"/>
    <col min="4" max="4" width="47.453125" customWidth="1"/>
    <col min="5" max="5" width="61.453125" customWidth="1"/>
    <col min="6" max="6" width="17.26953125" customWidth="1"/>
    <col min="7" max="7" width="13.7265625" style="3" customWidth="1"/>
    <col min="9" max="9" width="16.7265625" customWidth="1"/>
    <col min="10" max="10" width="24.26953125" customWidth="1"/>
    <col min="12" max="12" width="61.453125" customWidth="1"/>
    <col min="13" max="13" width="65" customWidth="1"/>
    <col min="14" max="16" width="43.26953125" customWidth="1"/>
    <col min="17" max="17" width="52.26953125" customWidth="1"/>
    <col min="18" max="18" width="29.453125" customWidth="1"/>
    <col min="19" max="19" width="32.7265625" style="62" customWidth="1"/>
    <col min="20" max="20" width="25" style="40" customWidth="1"/>
    <col min="21" max="21" width="20.7265625" customWidth="1"/>
    <col min="22" max="22" width="37.54296875" customWidth="1"/>
    <col min="23" max="23" width="29.1796875" customWidth="1"/>
  </cols>
  <sheetData>
    <row r="1" spans="1:23">
      <c r="A1" s="150" t="s">
        <v>0</v>
      </c>
      <c r="B1" s="25" t="s">
        <v>1</v>
      </c>
      <c r="C1" s="25" t="s">
        <v>2</v>
      </c>
      <c r="D1" s="25" t="s">
        <v>3</v>
      </c>
      <c r="E1" s="150" t="s">
        <v>4</v>
      </c>
      <c r="F1" s="150" t="s">
        <v>5</v>
      </c>
      <c r="G1" s="154" t="s">
        <v>6</v>
      </c>
      <c r="H1" s="150" t="s">
        <v>7</v>
      </c>
      <c r="I1" s="150" t="s">
        <v>8</v>
      </c>
      <c r="J1" s="150" t="s">
        <v>9</v>
      </c>
      <c r="K1" s="1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25" t="s">
        <v>15</v>
      </c>
      <c r="Q1" s="150" t="s">
        <v>16</v>
      </c>
      <c r="R1" s="150" t="s">
        <v>17</v>
      </c>
      <c r="S1" s="152" t="s">
        <v>18</v>
      </c>
      <c r="T1" s="152" t="s">
        <v>19</v>
      </c>
      <c r="U1" s="150" t="s">
        <v>20</v>
      </c>
      <c r="V1" s="150" t="s">
        <v>21</v>
      </c>
      <c r="W1" s="150" t="s">
        <v>22</v>
      </c>
    </row>
    <row r="2" spans="1:23" ht="15" thickBot="1">
      <c r="A2" s="151"/>
      <c r="B2" s="26"/>
      <c r="C2" s="26"/>
      <c r="D2" s="26"/>
      <c r="E2" s="151"/>
      <c r="F2" s="151"/>
      <c r="G2" s="155"/>
      <c r="H2" s="151"/>
      <c r="I2" s="151"/>
      <c r="J2" s="151"/>
      <c r="K2" s="2" t="s">
        <v>23</v>
      </c>
      <c r="L2" s="151"/>
      <c r="M2" s="151"/>
      <c r="N2" s="151"/>
      <c r="O2" s="151"/>
      <c r="P2" s="26"/>
      <c r="Q2" s="151"/>
      <c r="R2" s="151"/>
      <c r="S2" s="153" t="s">
        <v>24</v>
      </c>
      <c r="T2" s="153" t="s">
        <v>24</v>
      </c>
      <c r="U2" s="151"/>
      <c r="V2" s="151"/>
      <c r="W2" s="151"/>
    </row>
    <row r="3" spans="1:23" ht="15" hidden="1" thickBot="1">
      <c r="A3" s="4" t="s">
        <v>25</v>
      </c>
      <c r="B3" s="4" t="s">
        <v>26</v>
      </c>
      <c r="C3" s="4" t="s">
        <v>27</v>
      </c>
      <c r="D3" s="4" t="s">
        <v>28</v>
      </c>
      <c r="E3" s="30" t="s">
        <v>29</v>
      </c>
      <c r="F3" s="31">
        <v>45674</v>
      </c>
      <c r="G3" s="32">
        <v>4982</v>
      </c>
      <c r="H3" s="4" t="s">
        <v>30</v>
      </c>
      <c r="I3" s="4" t="s">
        <v>31</v>
      </c>
      <c r="J3" s="33" t="s">
        <v>32</v>
      </c>
      <c r="K3" s="4" t="s">
        <v>33</v>
      </c>
      <c r="L3" s="41" t="s">
        <v>34</v>
      </c>
      <c r="M3" s="4" t="s">
        <v>35</v>
      </c>
      <c r="N3" s="4" t="s">
        <v>36</v>
      </c>
      <c r="O3" s="4">
        <v>1</v>
      </c>
      <c r="P3" s="4" t="s">
        <v>37</v>
      </c>
      <c r="Q3" s="4" t="s">
        <v>38</v>
      </c>
      <c r="R3" s="34">
        <v>75</v>
      </c>
      <c r="S3" s="34">
        <v>335</v>
      </c>
      <c r="T3" s="58">
        <f t="shared" ref="T3:T8" si="0">SUM(R3:S3)</f>
        <v>410</v>
      </c>
      <c r="U3" s="30">
        <v>45720</v>
      </c>
      <c r="V3" s="39"/>
      <c r="W3" s="39" t="s">
        <v>39</v>
      </c>
    </row>
    <row r="4" spans="1:23" ht="20.25" hidden="1" customHeight="1" thickBo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31">
        <v>45674</v>
      </c>
      <c r="G4" s="32" t="s">
        <v>40</v>
      </c>
      <c r="H4" s="4" t="s">
        <v>41</v>
      </c>
      <c r="I4" s="4" t="s">
        <v>42</v>
      </c>
      <c r="J4" s="33" t="s">
        <v>32</v>
      </c>
      <c r="K4" s="4" t="s">
        <v>33</v>
      </c>
      <c r="L4" s="4" t="s">
        <v>43</v>
      </c>
      <c r="M4" s="4" t="s">
        <v>44</v>
      </c>
      <c r="N4" s="4" t="s">
        <v>36</v>
      </c>
      <c r="O4" s="4">
        <v>1</v>
      </c>
      <c r="P4" s="4"/>
      <c r="Q4" s="4" t="s">
        <v>44</v>
      </c>
      <c r="R4" s="34">
        <v>75</v>
      </c>
      <c r="S4" s="34">
        <v>77</v>
      </c>
      <c r="T4" s="58">
        <f t="shared" si="0"/>
        <v>152</v>
      </c>
      <c r="U4" s="30">
        <v>45720</v>
      </c>
      <c r="V4" s="39"/>
      <c r="W4" s="39"/>
    </row>
    <row r="5" spans="1:23" ht="15" hidden="1" thickBo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1">
        <v>45674</v>
      </c>
      <c r="G5" s="32" t="s">
        <v>45</v>
      </c>
      <c r="H5" s="4" t="s">
        <v>46</v>
      </c>
      <c r="I5" s="4" t="s">
        <v>47</v>
      </c>
      <c r="J5" s="33" t="s">
        <v>32</v>
      </c>
      <c r="K5" s="4" t="s">
        <v>48</v>
      </c>
      <c r="L5" s="4" t="s">
        <v>49</v>
      </c>
      <c r="M5" s="4" t="s">
        <v>50</v>
      </c>
      <c r="N5" s="4" t="s">
        <v>36</v>
      </c>
      <c r="O5" s="4">
        <v>1</v>
      </c>
      <c r="P5" s="4"/>
      <c r="Q5" s="4" t="s">
        <v>50</v>
      </c>
      <c r="R5" s="34">
        <v>75</v>
      </c>
      <c r="S5" s="34"/>
      <c r="T5" s="58">
        <f t="shared" si="0"/>
        <v>75</v>
      </c>
      <c r="U5" s="30">
        <v>45712</v>
      </c>
      <c r="V5" s="39"/>
      <c r="W5" s="39"/>
    </row>
    <row r="6" spans="1:23" ht="15" hidden="1" thickBo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1">
        <v>45674</v>
      </c>
      <c r="G6" s="32" t="s">
        <v>51</v>
      </c>
      <c r="H6" s="4" t="s">
        <v>52</v>
      </c>
      <c r="I6" s="4" t="s">
        <v>53</v>
      </c>
      <c r="J6" s="33" t="s">
        <v>32</v>
      </c>
      <c r="K6" s="4" t="s">
        <v>33</v>
      </c>
      <c r="L6" s="4" t="s">
        <v>54</v>
      </c>
      <c r="M6" s="4" t="s">
        <v>55</v>
      </c>
      <c r="N6" s="4" t="s">
        <v>36</v>
      </c>
      <c r="O6" s="4">
        <v>1</v>
      </c>
      <c r="P6" s="4"/>
      <c r="Q6" s="4" t="s">
        <v>55</v>
      </c>
      <c r="R6" s="34">
        <v>75</v>
      </c>
      <c r="S6" s="34">
        <v>163.75</v>
      </c>
      <c r="T6" s="58">
        <f t="shared" si="0"/>
        <v>238.75</v>
      </c>
      <c r="U6" s="30">
        <v>45720</v>
      </c>
      <c r="V6" s="39"/>
      <c r="W6" s="39"/>
    </row>
    <row r="7" spans="1:23" ht="15" hidden="1" thickBot="1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31">
        <v>45674</v>
      </c>
      <c r="G7" s="32" t="s">
        <v>56</v>
      </c>
      <c r="H7" s="4" t="s">
        <v>57</v>
      </c>
      <c r="I7" s="4" t="s">
        <v>58</v>
      </c>
      <c r="J7" s="33" t="s">
        <v>59</v>
      </c>
      <c r="K7" s="4" t="s">
        <v>48</v>
      </c>
      <c r="L7" s="4" t="s">
        <v>60</v>
      </c>
      <c r="M7" s="4" t="s">
        <v>61</v>
      </c>
      <c r="N7" s="4" t="s">
        <v>36</v>
      </c>
      <c r="O7" s="4">
        <v>1</v>
      </c>
      <c r="P7" s="4"/>
      <c r="Q7" s="4" t="s">
        <v>61</v>
      </c>
      <c r="R7" s="34">
        <v>75</v>
      </c>
      <c r="S7" s="34"/>
      <c r="T7" s="58">
        <f t="shared" si="0"/>
        <v>75</v>
      </c>
      <c r="U7" s="30">
        <v>45700</v>
      </c>
      <c r="V7" s="39"/>
      <c r="W7" s="39"/>
    </row>
    <row r="8" spans="1:23" ht="15" hidden="1" thickBot="1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31">
        <v>45674</v>
      </c>
      <c r="G8" s="32" t="s">
        <v>62</v>
      </c>
      <c r="H8" s="4" t="s">
        <v>63</v>
      </c>
      <c r="I8" s="4" t="s">
        <v>64</v>
      </c>
      <c r="J8" s="33" t="s">
        <v>59</v>
      </c>
      <c r="K8" s="4" t="s">
        <v>48</v>
      </c>
      <c r="L8" s="4" t="s">
        <v>65</v>
      </c>
      <c r="M8" s="4" t="s">
        <v>66</v>
      </c>
      <c r="N8" s="4" t="s">
        <v>36</v>
      </c>
      <c r="O8" s="4">
        <v>1</v>
      </c>
      <c r="P8" s="4"/>
      <c r="Q8" s="4" t="s">
        <v>66</v>
      </c>
      <c r="R8" s="34">
        <v>75</v>
      </c>
      <c r="S8" s="34"/>
      <c r="T8" s="58">
        <f t="shared" si="0"/>
        <v>75</v>
      </c>
      <c r="U8" s="30">
        <v>45700</v>
      </c>
      <c r="V8" s="39"/>
      <c r="W8" s="39"/>
    </row>
    <row r="9" spans="1:23" ht="15" hidden="1" thickBot="1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31">
        <v>45674</v>
      </c>
      <c r="G9" s="32" t="s">
        <v>67</v>
      </c>
      <c r="H9" s="4" t="s">
        <v>68</v>
      </c>
      <c r="I9" s="4" t="s">
        <v>69</v>
      </c>
      <c r="J9" s="33" t="s">
        <v>59</v>
      </c>
      <c r="K9" s="4" t="s">
        <v>48</v>
      </c>
      <c r="L9" s="4" t="s">
        <v>70</v>
      </c>
      <c r="M9" s="4" t="s">
        <v>71</v>
      </c>
      <c r="N9" s="4" t="s">
        <v>36</v>
      </c>
      <c r="O9" s="4">
        <v>1</v>
      </c>
      <c r="P9" s="4"/>
      <c r="Q9" s="4" t="s">
        <v>71</v>
      </c>
      <c r="R9" s="34">
        <v>75</v>
      </c>
      <c r="S9" s="37"/>
      <c r="T9" s="58">
        <v>75</v>
      </c>
      <c r="U9" s="30">
        <v>45700</v>
      </c>
      <c r="V9" s="39"/>
      <c r="W9" s="39"/>
    </row>
    <row r="10" spans="1:23" ht="15" hidden="1" thickBot="1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31">
        <v>45674</v>
      </c>
      <c r="G10" s="32" t="s">
        <v>72</v>
      </c>
      <c r="H10" s="4" t="s">
        <v>73</v>
      </c>
      <c r="I10" s="4" t="s">
        <v>74</v>
      </c>
      <c r="J10" s="33" t="s">
        <v>59</v>
      </c>
      <c r="K10" s="4" t="s">
        <v>48</v>
      </c>
      <c r="L10" s="4" t="s">
        <v>70</v>
      </c>
      <c r="M10" s="4" t="s">
        <v>61</v>
      </c>
      <c r="N10" s="4" t="s">
        <v>36</v>
      </c>
      <c r="O10" s="4">
        <v>1</v>
      </c>
      <c r="P10" s="4"/>
      <c r="Q10" s="4" t="s">
        <v>61</v>
      </c>
      <c r="R10" s="34">
        <v>75</v>
      </c>
      <c r="S10" s="34"/>
      <c r="T10" s="58">
        <f t="shared" ref="T10:T35" si="1">SUM(R10:S10)</f>
        <v>75</v>
      </c>
      <c r="U10" s="30">
        <v>45714</v>
      </c>
      <c r="V10" s="39"/>
      <c r="W10" s="39"/>
    </row>
    <row r="11" spans="1:23" ht="15" hidden="1" thickBot="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31">
        <v>45674</v>
      </c>
      <c r="G11" s="32" t="s">
        <v>75</v>
      </c>
      <c r="H11" s="4" t="s">
        <v>76</v>
      </c>
      <c r="I11" s="4" t="s">
        <v>77</v>
      </c>
      <c r="J11" s="33" t="s">
        <v>59</v>
      </c>
      <c r="K11" s="4" t="s">
        <v>48</v>
      </c>
      <c r="L11" s="4" t="s">
        <v>60</v>
      </c>
      <c r="M11" s="4" t="s">
        <v>71</v>
      </c>
      <c r="N11" s="4" t="s">
        <v>36</v>
      </c>
      <c r="O11" s="4">
        <v>1</v>
      </c>
      <c r="P11" s="4"/>
      <c r="Q11" s="4" t="s">
        <v>71</v>
      </c>
      <c r="R11" s="34">
        <v>75</v>
      </c>
      <c r="S11" s="34"/>
      <c r="T11" s="58">
        <f t="shared" si="1"/>
        <v>75</v>
      </c>
      <c r="U11" s="30">
        <v>45700</v>
      </c>
      <c r="V11" s="39"/>
      <c r="W11" s="39"/>
    </row>
    <row r="12" spans="1:23" ht="19.149999999999999" hidden="1" customHeight="1" thickBot="1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31">
        <v>45674</v>
      </c>
      <c r="G12" s="32" t="s">
        <v>78</v>
      </c>
      <c r="H12" s="4" t="s">
        <v>79</v>
      </c>
      <c r="I12" s="4" t="s">
        <v>80</v>
      </c>
      <c r="J12" s="33" t="s">
        <v>59</v>
      </c>
      <c r="K12" s="4" t="s">
        <v>33</v>
      </c>
      <c r="L12" s="4" t="s">
        <v>81</v>
      </c>
      <c r="M12" s="4" t="s">
        <v>82</v>
      </c>
      <c r="N12" s="4" t="s">
        <v>36</v>
      </c>
      <c r="O12" s="4">
        <v>1</v>
      </c>
      <c r="P12" s="4" t="s">
        <v>83</v>
      </c>
      <c r="Q12" s="4" t="s">
        <v>84</v>
      </c>
      <c r="R12" s="34">
        <v>75</v>
      </c>
      <c r="S12" s="34">
        <v>115</v>
      </c>
      <c r="T12" s="58">
        <f t="shared" si="1"/>
        <v>190</v>
      </c>
      <c r="U12" s="30">
        <v>45700</v>
      </c>
      <c r="V12" s="39"/>
      <c r="W12" s="39"/>
    </row>
    <row r="13" spans="1:23" ht="24.75" hidden="1" customHeight="1" thickBot="1">
      <c r="A13" s="4" t="s">
        <v>25</v>
      </c>
      <c r="B13" s="4" t="s">
        <v>26</v>
      </c>
      <c r="C13" s="4" t="s">
        <v>27</v>
      </c>
      <c r="D13" s="4" t="s">
        <v>28</v>
      </c>
      <c r="E13" s="4" t="s">
        <v>29</v>
      </c>
      <c r="F13" s="31">
        <v>45674</v>
      </c>
      <c r="G13" s="32" t="s">
        <v>85</v>
      </c>
      <c r="H13" s="4" t="s">
        <v>86</v>
      </c>
      <c r="I13" s="4" t="s">
        <v>87</v>
      </c>
      <c r="J13" s="33" t="s">
        <v>59</v>
      </c>
      <c r="K13" s="4" t="s">
        <v>48</v>
      </c>
      <c r="L13" s="4" t="s">
        <v>88</v>
      </c>
      <c r="M13" s="4" t="s">
        <v>71</v>
      </c>
      <c r="N13" s="4" t="s">
        <v>36</v>
      </c>
      <c r="O13" s="4">
        <v>1</v>
      </c>
      <c r="P13" s="4"/>
      <c r="Q13" s="4" t="s">
        <v>71</v>
      </c>
      <c r="R13" s="34">
        <v>75</v>
      </c>
      <c r="S13" s="34"/>
      <c r="T13" s="58">
        <f t="shared" si="1"/>
        <v>75</v>
      </c>
      <c r="U13" s="30">
        <v>45700</v>
      </c>
      <c r="V13" s="39"/>
      <c r="W13" s="39"/>
    </row>
    <row r="14" spans="1:23" ht="24.75" hidden="1" customHeight="1" thickBot="1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31">
        <v>45674</v>
      </c>
      <c r="G14" s="32" t="s">
        <v>89</v>
      </c>
      <c r="H14" s="4" t="s">
        <v>90</v>
      </c>
      <c r="I14" s="4" t="s">
        <v>91</v>
      </c>
      <c r="J14" s="33" t="s">
        <v>59</v>
      </c>
      <c r="K14" s="4" t="s">
        <v>48</v>
      </c>
      <c r="L14" s="4" t="s">
        <v>70</v>
      </c>
      <c r="M14" s="4" t="s">
        <v>61</v>
      </c>
      <c r="N14" s="4" t="s">
        <v>36</v>
      </c>
      <c r="O14" s="4">
        <v>1</v>
      </c>
      <c r="P14" s="4"/>
      <c r="Q14" s="4" t="s">
        <v>61</v>
      </c>
      <c r="R14" s="34">
        <v>75</v>
      </c>
      <c r="S14" s="34"/>
      <c r="T14" s="58">
        <f t="shared" si="1"/>
        <v>75</v>
      </c>
      <c r="U14" s="30">
        <v>45700</v>
      </c>
      <c r="V14" s="39"/>
      <c r="W14" s="39"/>
    </row>
    <row r="15" spans="1:23" ht="35.25" hidden="1" customHeight="1" thickBot="1">
      <c r="A15" s="4" t="s">
        <v>25</v>
      </c>
      <c r="B15" s="4" t="s">
        <v>26</v>
      </c>
      <c r="C15" s="4" t="s">
        <v>27</v>
      </c>
      <c r="D15" s="4" t="s">
        <v>28</v>
      </c>
      <c r="E15" s="4" t="s">
        <v>29</v>
      </c>
      <c r="F15" s="31">
        <v>45674</v>
      </c>
      <c r="G15" s="32" t="s">
        <v>92</v>
      </c>
      <c r="H15" s="4" t="s">
        <v>93</v>
      </c>
      <c r="I15" s="4" t="s">
        <v>94</v>
      </c>
      <c r="J15" s="33" t="s">
        <v>95</v>
      </c>
      <c r="K15" s="4" t="s">
        <v>33</v>
      </c>
      <c r="L15" s="4" t="s">
        <v>60</v>
      </c>
      <c r="M15" s="4" t="s">
        <v>82</v>
      </c>
      <c r="N15" s="4" t="s">
        <v>36</v>
      </c>
      <c r="O15" s="4">
        <v>1</v>
      </c>
      <c r="P15" s="4" t="s">
        <v>96</v>
      </c>
      <c r="Q15" s="4" t="s">
        <v>96</v>
      </c>
      <c r="R15" s="34">
        <v>75</v>
      </c>
      <c r="S15" s="34">
        <v>115</v>
      </c>
      <c r="T15" s="58">
        <f t="shared" si="1"/>
        <v>190</v>
      </c>
      <c r="U15" s="30">
        <v>45700</v>
      </c>
      <c r="V15" s="39"/>
      <c r="W15" s="39"/>
    </row>
    <row r="16" spans="1:23" ht="19.5" hidden="1" customHeight="1" thickBot="1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29</v>
      </c>
      <c r="F16" s="31">
        <v>45674</v>
      </c>
      <c r="G16" s="32"/>
      <c r="H16" s="4" t="s">
        <v>97</v>
      </c>
      <c r="I16" s="4" t="s">
        <v>98</v>
      </c>
      <c r="J16" s="33" t="s">
        <v>99</v>
      </c>
      <c r="K16" s="4" t="s">
        <v>48</v>
      </c>
      <c r="L16" s="4" t="s">
        <v>100</v>
      </c>
      <c r="M16" s="4" t="s">
        <v>101</v>
      </c>
      <c r="N16" s="4" t="s">
        <v>36</v>
      </c>
      <c r="O16" s="4">
        <v>1</v>
      </c>
      <c r="P16" s="4"/>
      <c r="Q16" s="4" t="s">
        <v>101</v>
      </c>
      <c r="R16" s="34">
        <v>75</v>
      </c>
      <c r="S16" s="34"/>
      <c r="T16" s="58">
        <f t="shared" si="1"/>
        <v>75</v>
      </c>
      <c r="U16" s="30">
        <v>45712</v>
      </c>
      <c r="V16" s="39"/>
      <c r="W16" s="39"/>
    </row>
    <row r="17" spans="1:23" ht="34.5" hidden="1" customHeight="1" thickBot="1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29</v>
      </c>
      <c r="F17" s="31">
        <v>45674</v>
      </c>
      <c r="G17" s="32" t="s">
        <v>102</v>
      </c>
      <c r="H17" s="4" t="s">
        <v>103</v>
      </c>
      <c r="I17" s="4" t="s">
        <v>104</v>
      </c>
      <c r="J17" s="33" t="s">
        <v>105</v>
      </c>
      <c r="K17" s="4" t="s">
        <v>33</v>
      </c>
      <c r="L17" s="4" t="s">
        <v>106</v>
      </c>
      <c r="M17" s="4" t="s">
        <v>82</v>
      </c>
      <c r="N17" s="4" t="s">
        <v>36</v>
      </c>
      <c r="O17" s="4">
        <v>1</v>
      </c>
      <c r="P17" s="4"/>
      <c r="Q17" s="4" t="s">
        <v>107</v>
      </c>
      <c r="R17" s="34">
        <v>75</v>
      </c>
      <c r="S17" s="34">
        <v>115</v>
      </c>
      <c r="T17" s="58">
        <f t="shared" si="1"/>
        <v>190</v>
      </c>
      <c r="U17" s="30">
        <v>45700</v>
      </c>
      <c r="V17" s="39"/>
      <c r="W17" s="39"/>
    </row>
    <row r="18" spans="1:23" ht="15" hidden="1" thickBot="1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29</v>
      </c>
      <c r="F18" s="31">
        <v>45716</v>
      </c>
      <c r="G18" s="32">
        <v>4016</v>
      </c>
      <c r="H18" s="4" t="s">
        <v>108</v>
      </c>
      <c r="I18" s="4" t="s">
        <v>109</v>
      </c>
      <c r="J18" s="4" t="s">
        <v>110</v>
      </c>
      <c r="K18" s="4" t="s">
        <v>48</v>
      </c>
      <c r="L18" s="4" t="s">
        <v>111</v>
      </c>
      <c r="M18" s="4" t="s">
        <v>112</v>
      </c>
      <c r="N18" s="4" t="s">
        <v>36</v>
      </c>
      <c r="O18" s="4">
        <v>1</v>
      </c>
      <c r="P18" s="4"/>
      <c r="Q18" s="4" t="s">
        <v>112</v>
      </c>
      <c r="R18" s="34">
        <v>75</v>
      </c>
      <c r="S18" s="34"/>
      <c r="T18" s="58">
        <f t="shared" si="1"/>
        <v>75</v>
      </c>
      <c r="U18" s="30">
        <v>45742</v>
      </c>
      <c r="V18" s="39"/>
      <c r="W18" s="39"/>
    </row>
    <row r="19" spans="1:23" ht="14.25" customHeight="1" thickBot="1">
      <c r="A19" s="66" t="s">
        <v>25</v>
      </c>
      <c r="B19" s="66" t="s">
        <v>26</v>
      </c>
      <c r="C19" s="66" t="s">
        <v>27</v>
      </c>
      <c r="D19" s="66" t="s">
        <v>28</v>
      </c>
      <c r="E19" s="66" t="s">
        <v>29</v>
      </c>
      <c r="F19" s="66">
        <v>45716</v>
      </c>
      <c r="G19" s="66">
        <v>4029</v>
      </c>
      <c r="H19" s="66" t="s">
        <v>113</v>
      </c>
      <c r="I19" s="66" t="s">
        <v>114</v>
      </c>
      <c r="J19" s="66" t="s">
        <v>115</v>
      </c>
      <c r="K19" s="66" t="s">
        <v>33</v>
      </c>
      <c r="L19" s="66" t="s">
        <v>116</v>
      </c>
      <c r="M19" s="66" t="s">
        <v>117</v>
      </c>
      <c r="N19" s="60" t="s">
        <v>118</v>
      </c>
      <c r="O19" s="60">
        <v>1</v>
      </c>
      <c r="P19" s="66" t="s">
        <v>119</v>
      </c>
      <c r="Q19" s="66"/>
      <c r="R19" s="60"/>
      <c r="S19" s="60"/>
      <c r="T19" s="66"/>
      <c r="U19" s="60"/>
      <c r="V19" s="60" t="s">
        <v>120</v>
      </c>
      <c r="W19" s="39"/>
    </row>
    <row r="20" spans="1:23" ht="15" hidden="1" thickBot="1">
      <c r="A20" s="4" t="s">
        <v>25</v>
      </c>
      <c r="B20" s="4" t="s">
        <v>26</v>
      </c>
      <c r="C20" s="4" t="s">
        <v>27</v>
      </c>
      <c r="D20" s="4" t="s">
        <v>28</v>
      </c>
      <c r="E20" s="4" t="s">
        <v>29</v>
      </c>
      <c r="F20" s="31">
        <v>45716</v>
      </c>
      <c r="G20" s="32">
        <v>4020</v>
      </c>
      <c r="H20" s="4" t="s">
        <v>121</v>
      </c>
      <c r="I20" s="4" t="s">
        <v>122</v>
      </c>
      <c r="J20" s="4" t="s">
        <v>110</v>
      </c>
      <c r="K20" s="4" t="s">
        <v>48</v>
      </c>
      <c r="L20" s="4" t="s">
        <v>123</v>
      </c>
      <c r="M20" s="4" t="s">
        <v>112</v>
      </c>
      <c r="N20" s="4" t="s">
        <v>36</v>
      </c>
      <c r="O20" s="4">
        <v>1</v>
      </c>
      <c r="P20" s="4"/>
      <c r="Q20" s="4" t="s">
        <v>112</v>
      </c>
      <c r="R20" s="34">
        <v>75</v>
      </c>
      <c r="S20" s="34"/>
      <c r="T20" s="58">
        <f t="shared" si="1"/>
        <v>75</v>
      </c>
      <c r="U20" s="30">
        <v>45793</v>
      </c>
      <c r="V20" s="39"/>
      <c r="W20" s="39"/>
    </row>
    <row r="21" spans="1:23" ht="15" hidden="1" thickBot="1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31">
        <v>45716</v>
      </c>
      <c r="G21" s="32">
        <v>4027</v>
      </c>
      <c r="H21" s="4" t="s">
        <v>124</v>
      </c>
      <c r="I21" s="4" t="s">
        <v>125</v>
      </c>
      <c r="J21" s="4" t="s">
        <v>126</v>
      </c>
      <c r="K21" s="4" t="s">
        <v>33</v>
      </c>
      <c r="L21" s="4" t="s">
        <v>127</v>
      </c>
      <c r="M21" s="4" t="s">
        <v>55</v>
      </c>
      <c r="N21" s="4" t="s">
        <v>36</v>
      </c>
      <c r="O21" s="4">
        <v>1</v>
      </c>
      <c r="P21" s="4"/>
      <c r="Q21" s="4" t="s">
        <v>55</v>
      </c>
      <c r="R21" s="34">
        <v>75</v>
      </c>
      <c r="S21" s="34">
        <v>163.75</v>
      </c>
      <c r="T21" s="58">
        <f t="shared" si="1"/>
        <v>238.75</v>
      </c>
      <c r="U21" s="30">
        <v>45793</v>
      </c>
      <c r="V21" s="39"/>
      <c r="W21" s="39"/>
    </row>
    <row r="22" spans="1:23" ht="15" hidden="1" thickBot="1">
      <c r="A22" s="4" t="s">
        <v>25</v>
      </c>
      <c r="B22" s="4" t="s">
        <v>26</v>
      </c>
      <c r="C22" s="4" t="s">
        <v>27</v>
      </c>
      <c r="D22" s="4" t="s">
        <v>28</v>
      </c>
      <c r="E22" s="4" t="s">
        <v>29</v>
      </c>
      <c r="F22" s="31">
        <v>45716</v>
      </c>
      <c r="G22" s="32">
        <v>4019</v>
      </c>
      <c r="H22" s="4" t="s">
        <v>128</v>
      </c>
      <c r="I22" s="4" t="s">
        <v>129</v>
      </c>
      <c r="J22" s="4" t="s">
        <v>110</v>
      </c>
      <c r="K22" s="4" t="s">
        <v>48</v>
      </c>
      <c r="L22" s="4" t="s">
        <v>123</v>
      </c>
      <c r="M22" s="4" t="s">
        <v>112</v>
      </c>
      <c r="N22" s="4" t="s">
        <v>36</v>
      </c>
      <c r="O22" s="4">
        <v>1</v>
      </c>
      <c r="P22" s="4"/>
      <c r="Q22" s="4" t="s">
        <v>112</v>
      </c>
      <c r="R22" s="34">
        <v>75</v>
      </c>
      <c r="S22" s="34"/>
      <c r="T22" s="58">
        <f t="shared" si="1"/>
        <v>75</v>
      </c>
      <c r="U22" s="30">
        <v>45742</v>
      </c>
      <c r="V22" s="39"/>
      <c r="W22" s="39"/>
    </row>
    <row r="23" spans="1:23" ht="15" hidden="1" thickBot="1">
      <c r="A23" s="4" t="s">
        <v>25</v>
      </c>
      <c r="B23" s="4" t="s">
        <v>26</v>
      </c>
      <c r="C23" s="4" t="s">
        <v>27</v>
      </c>
      <c r="D23" s="4" t="s">
        <v>28</v>
      </c>
      <c r="E23" s="4" t="s">
        <v>29</v>
      </c>
      <c r="F23" s="31">
        <v>45716</v>
      </c>
      <c r="G23" s="32">
        <v>4026</v>
      </c>
      <c r="H23" s="4" t="s">
        <v>130</v>
      </c>
      <c r="I23" s="4" t="s">
        <v>131</v>
      </c>
      <c r="J23" s="4" t="s">
        <v>132</v>
      </c>
      <c r="K23" s="4" t="s">
        <v>33</v>
      </c>
      <c r="L23" s="4" t="s">
        <v>133</v>
      </c>
      <c r="M23" s="4" t="s">
        <v>134</v>
      </c>
      <c r="N23" s="4" t="s">
        <v>36</v>
      </c>
      <c r="O23" s="4">
        <v>1</v>
      </c>
      <c r="P23" s="4"/>
      <c r="Q23" s="4" t="s">
        <v>134</v>
      </c>
      <c r="R23" s="34">
        <v>75</v>
      </c>
      <c r="S23" s="34">
        <v>77</v>
      </c>
      <c r="T23" s="58">
        <f t="shared" si="1"/>
        <v>152</v>
      </c>
      <c r="U23" s="30">
        <v>45742</v>
      </c>
      <c r="V23" s="39"/>
      <c r="W23" s="39"/>
    </row>
    <row r="24" spans="1:23" ht="15" hidden="1" thickBot="1">
      <c r="A24" s="4" t="s">
        <v>25</v>
      </c>
      <c r="B24" s="4" t="s">
        <v>26</v>
      </c>
      <c r="C24" s="4" t="s">
        <v>27</v>
      </c>
      <c r="D24" s="4" t="s">
        <v>28</v>
      </c>
      <c r="E24" s="4" t="s">
        <v>29</v>
      </c>
      <c r="F24" s="31">
        <v>45716</v>
      </c>
      <c r="G24" s="32">
        <v>4028</v>
      </c>
      <c r="H24" s="4" t="s">
        <v>135</v>
      </c>
      <c r="I24" s="4" t="s">
        <v>136</v>
      </c>
      <c r="J24" s="4" t="s">
        <v>137</v>
      </c>
      <c r="K24" s="4" t="s">
        <v>33</v>
      </c>
      <c r="L24" s="4" t="s">
        <v>111</v>
      </c>
      <c r="M24" s="4" t="s">
        <v>138</v>
      </c>
      <c r="N24" s="4" t="s">
        <v>36</v>
      </c>
      <c r="O24" s="4">
        <v>1</v>
      </c>
      <c r="P24" s="4"/>
      <c r="Q24" s="4" t="s">
        <v>139</v>
      </c>
      <c r="R24" s="34">
        <v>75</v>
      </c>
      <c r="S24" s="34">
        <v>215</v>
      </c>
      <c r="T24" s="58">
        <f t="shared" si="1"/>
        <v>290</v>
      </c>
      <c r="U24" s="30">
        <v>45793</v>
      </c>
      <c r="V24" s="39"/>
      <c r="W24" s="39"/>
    </row>
    <row r="25" spans="1:23" ht="15" hidden="1" thickBot="1">
      <c r="A25" s="4" t="s">
        <v>25</v>
      </c>
      <c r="B25" s="4" t="s">
        <v>26</v>
      </c>
      <c r="C25" s="4" t="s">
        <v>27</v>
      </c>
      <c r="D25" s="4" t="s">
        <v>28</v>
      </c>
      <c r="E25" s="4" t="s">
        <v>29</v>
      </c>
      <c r="F25" s="31">
        <v>45716</v>
      </c>
      <c r="G25" s="32">
        <v>4022</v>
      </c>
      <c r="H25" s="4" t="s">
        <v>140</v>
      </c>
      <c r="I25" s="4" t="s">
        <v>141</v>
      </c>
      <c r="J25" s="4" t="s">
        <v>126</v>
      </c>
      <c r="K25" s="4" t="s">
        <v>33</v>
      </c>
      <c r="L25" s="4" t="s">
        <v>142</v>
      </c>
      <c r="M25" s="4" t="s">
        <v>55</v>
      </c>
      <c r="N25" s="4" t="s">
        <v>36</v>
      </c>
      <c r="O25" s="4">
        <v>1</v>
      </c>
      <c r="P25" s="4"/>
      <c r="Q25" s="4" t="s">
        <v>55</v>
      </c>
      <c r="R25" s="34">
        <v>75</v>
      </c>
      <c r="S25" s="34">
        <v>163.75</v>
      </c>
      <c r="T25" s="58">
        <f t="shared" si="1"/>
        <v>238.75</v>
      </c>
      <c r="U25" s="30">
        <v>45793</v>
      </c>
      <c r="V25" s="39"/>
      <c r="W25" s="39"/>
    </row>
    <row r="26" spans="1:23" ht="30.75" hidden="1" customHeight="1" thickBot="1">
      <c r="A26" s="4" t="s">
        <v>25</v>
      </c>
      <c r="B26" s="4" t="s">
        <v>26</v>
      </c>
      <c r="C26" s="4" t="s">
        <v>27</v>
      </c>
      <c r="D26" s="4" t="s">
        <v>28</v>
      </c>
      <c r="E26" s="4" t="s">
        <v>29</v>
      </c>
      <c r="F26" s="31">
        <v>45716</v>
      </c>
      <c r="G26" s="32">
        <v>4021</v>
      </c>
      <c r="H26" s="4" t="s">
        <v>143</v>
      </c>
      <c r="I26" s="4" t="s">
        <v>144</v>
      </c>
      <c r="J26" s="4" t="s">
        <v>126</v>
      </c>
      <c r="K26" s="4" t="s">
        <v>33</v>
      </c>
      <c r="L26" s="4" t="s">
        <v>145</v>
      </c>
      <c r="M26" s="4" t="s">
        <v>82</v>
      </c>
      <c r="N26" s="4" t="s">
        <v>36</v>
      </c>
      <c r="O26" s="4">
        <v>1</v>
      </c>
      <c r="P26" s="4"/>
      <c r="Q26" s="4" t="s">
        <v>146</v>
      </c>
      <c r="R26" s="34">
        <v>75</v>
      </c>
      <c r="S26" s="34">
        <v>115</v>
      </c>
      <c r="T26" s="58">
        <f t="shared" si="1"/>
        <v>190</v>
      </c>
      <c r="U26" s="30">
        <v>45742</v>
      </c>
      <c r="V26" s="39"/>
      <c r="W26" s="39"/>
    </row>
    <row r="27" spans="1:23" ht="15" hidden="1" thickBot="1">
      <c r="A27" s="4" t="s">
        <v>25</v>
      </c>
      <c r="B27" s="4" t="s">
        <v>26</v>
      </c>
      <c r="C27" s="4" t="s">
        <v>27</v>
      </c>
      <c r="D27" s="4" t="s">
        <v>28</v>
      </c>
      <c r="E27" s="4" t="s">
        <v>29</v>
      </c>
      <c r="F27" s="31">
        <v>45716</v>
      </c>
      <c r="G27" s="32">
        <v>4018</v>
      </c>
      <c r="H27" s="4" t="s">
        <v>93</v>
      </c>
      <c r="I27" s="4" t="s">
        <v>94</v>
      </c>
      <c r="J27" s="4" t="s">
        <v>126</v>
      </c>
      <c r="K27" s="4" t="s">
        <v>48</v>
      </c>
      <c r="L27" s="4" t="s">
        <v>60</v>
      </c>
      <c r="M27" s="4" t="s">
        <v>117</v>
      </c>
      <c r="N27" s="4" t="s">
        <v>36</v>
      </c>
      <c r="O27" s="4">
        <v>1</v>
      </c>
      <c r="P27" s="4"/>
      <c r="Q27" s="4" t="s">
        <v>117</v>
      </c>
      <c r="R27" s="34">
        <v>75</v>
      </c>
      <c r="S27" s="34"/>
      <c r="T27" s="58">
        <f t="shared" si="1"/>
        <v>75</v>
      </c>
      <c r="U27" s="30">
        <v>45742</v>
      </c>
      <c r="V27" s="39"/>
      <c r="W27" s="39"/>
    </row>
    <row r="28" spans="1:23" ht="29.5" hidden="1" thickBot="1">
      <c r="A28" s="4" t="s">
        <v>25</v>
      </c>
      <c r="B28" s="4" t="s">
        <v>26</v>
      </c>
      <c r="C28" s="4" t="s">
        <v>27</v>
      </c>
      <c r="D28" s="4" t="s">
        <v>28</v>
      </c>
      <c r="E28" s="4" t="s">
        <v>29</v>
      </c>
      <c r="F28" s="31">
        <v>45716</v>
      </c>
      <c r="G28" s="32">
        <v>4017</v>
      </c>
      <c r="H28" s="4" t="s">
        <v>147</v>
      </c>
      <c r="I28" s="4" t="s">
        <v>91</v>
      </c>
      <c r="J28" s="4" t="s">
        <v>110</v>
      </c>
      <c r="K28" s="4" t="s">
        <v>48</v>
      </c>
      <c r="L28" s="4" t="s">
        <v>148</v>
      </c>
      <c r="M28" s="4" t="s">
        <v>117</v>
      </c>
      <c r="N28" s="4" t="s">
        <v>36</v>
      </c>
      <c r="O28" s="4">
        <v>1</v>
      </c>
      <c r="P28" s="4"/>
      <c r="Q28" s="4" t="s">
        <v>117</v>
      </c>
      <c r="R28" s="34">
        <v>75</v>
      </c>
      <c r="S28" s="34"/>
      <c r="T28" s="58">
        <f t="shared" si="1"/>
        <v>75</v>
      </c>
      <c r="U28" s="30">
        <v>45742</v>
      </c>
      <c r="V28" s="39"/>
      <c r="W28" s="39"/>
    </row>
    <row r="29" spans="1:23" ht="29.5" thickBot="1">
      <c r="A29" s="4" t="s">
        <v>25</v>
      </c>
      <c r="B29" s="4" t="s">
        <v>26</v>
      </c>
      <c r="C29" s="4" t="s">
        <v>27</v>
      </c>
      <c r="D29" s="4" t="s">
        <v>28</v>
      </c>
      <c r="E29" s="4" t="s">
        <v>29</v>
      </c>
      <c r="F29" s="31">
        <v>45716</v>
      </c>
      <c r="G29" s="32">
        <v>4024</v>
      </c>
      <c r="H29" s="4" t="s">
        <v>149</v>
      </c>
      <c r="I29" s="4" t="s">
        <v>150</v>
      </c>
      <c r="J29" s="4" t="s">
        <v>126</v>
      </c>
      <c r="K29" s="4" t="s">
        <v>33</v>
      </c>
      <c r="L29" s="4" t="s">
        <v>145</v>
      </c>
      <c r="M29" s="4" t="s">
        <v>66</v>
      </c>
      <c r="N29" s="4" t="s">
        <v>151</v>
      </c>
      <c r="O29" s="4">
        <v>1</v>
      </c>
      <c r="P29" s="4" t="s">
        <v>152</v>
      </c>
      <c r="Q29" s="4" t="s">
        <v>153</v>
      </c>
      <c r="R29" s="34">
        <v>75</v>
      </c>
      <c r="S29" s="34">
        <v>335</v>
      </c>
      <c r="T29" s="58">
        <f t="shared" si="1"/>
        <v>410</v>
      </c>
      <c r="U29" s="30">
        <v>45742</v>
      </c>
      <c r="V29" s="39"/>
      <c r="W29" s="39"/>
    </row>
    <row r="30" spans="1:23" ht="26.25" hidden="1" customHeight="1" thickBot="1">
      <c r="A30" s="4" t="s">
        <v>154</v>
      </c>
      <c r="B30" s="4" t="s">
        <v>155</v>
      </c>
      <c r="C30" s="4">
        <v>616866669</v>
      </c>
      <c r="D30" s="4" t="s">
        <v>156</v>
      </c>
      <c r="E30" s="4" t="s">
        <v>157</v>
      </c>
      <c r="F30" s="31">
        <v>45728</v>
      </c>
      <c r="G30" s="32">
        <v>4041</v>
      </c>
      <c r="H30" s="4" t="s">
        <v>158</v>
      </c>
      <c r="I30" s="4" t="s">
        <v>159</v>
      </c>
      <c r="J30" s="4" t="s">
        <v>160</v>
      </c>
      <c r="K30" s="4" t="s">
        <v>33</v>
      </c>
      <c r="L30" s="4" t="s">
        <v>161</v>
      </c>
      <c r="M30" s="4" t="s">
        <v>82</v>
      </c>
      <c r="N30" s="4" t="s">
        <v>36</v>
      </c>
      <c r="O30" s="4">
        <v>1</v>
      </c>
      <c r="P30" s="4"/>
      <c r="Q30" s="4" t="s">
        <v>162</v>
      </c>
      <c r="R30" s="34">
        <v>75</v>
      </c>
      <c r="S30" s="34"/>
      <c r="T30" s="58">
        <f t="shared" si="1"/>
        <v>75</v>
      </c>
      <c r="U30" s="30">
        <v>45742</v>
      </c>
      <c r="V30" s="39"/>
      <c r="W30" s="39"/>
    </row>
    <row r="31" spans="1:23" ht="15.75" hidden="1" customHeight="1" thickBot="1">
      <c r="A31" s="4" t="s">
        <v>154</v>
      </c>
      <c r="B31" s="4" t="s">
        <v>155</v>
      </c>
      <c r="C31" s="4">
        <v>616866669</v>
      </c>
      <c r="D31" s="4" t="s">
        <v>156</v>
      </c>
      <c r="E31" s="4" t="s">
        <v>157</v>
      </c>
      <c r="F31" s="31">
        <v>45728</v>
      </c>
      <c r="G31" s="32">
        <v>4035</v>
      </c>
      <c r="H31" s="4" t="s">
        <v>163</v>
      </c>
      <c r="I31" s="50" t="s">
        <v>164</v>
      </c>
      <c r="J31" s="4" t="s">
        <v>165</v>
      </c>
      <c r="K31" s="4" t="s">
        <v>33</v>
      </c>
      <c r="L31" s="4" t="s">
        <v>166</v>
      </c>
      <c r="M31" s="4" t="s">
        <v>55</v>
      </c>
      <c r="N31" s="4" t="s">
        <v>36</v>
      </c>
      <c r="O31" s="4">
        <v>1</v>
      </c>
      <c r="P31" s="4" t="s">
        <v>167</v>
      </c>
      <c r="Q31" s="4" t="s">
        <v>168</v>
      </c>
      <c r="R31" s="34">
        <v>75</v>
      </c>
      <c r="S31" s="34">
        <v>163.75</v>
      </c>
      <c r="T31" s="58">
        <f>SUM(R31:S31)</f>
        <v>238.75</v>
      </c>
      <c r="U31" s="30">
        <v>45805</v>
      </c>
      <c r="V31" s="39"/>
      <c r="W31" s="39" t="s">
        <v>169</v>
      </c>
    </row>
    <row r="32" spans="1:23" ht="18.75" hidden="1" customHeight="1" thickBot="1">
      <c r="A32" s="4" t="s">
        <v>154</v>
      </c>
      <c r="B32" s="4" t="s">
        <v>155</v>
      </c>
      <c r="C32" s="4">
        <v>616866669</v>
      </c>
      <c r="D32" s="4" t="s">
        <v>156</v>
      </c>
      <c r="E32" s="4" t="s">
        <v>157</v>
      </c>
      <c r="F32" s="31">
        <v>45728</v>
      </c>
      <c r="G32" s="32">
        <v>4036</v>
      </c>
      <c r="H32" s="4" t="s">
        <v>170</v>
      </c>
      <c r="I32" s="50" t="s">
        <v>171</v>
      </c>
      <c r="J32" s="4" t="s">
        <v>172</v>
      </c>
      <c r="K32" s="4" t="s">
        <v>48</v>
      </c>
      <c r="L32" s="4" t="s">
        <v>173</v>
      </c>
      <c r="M32" s="4" t="s">
        <v>117</v>
      </c>
      <c r="N32" s="4" t="s">
        <v>36</v>
      </c>
      <c r="O32" s="4">
        <v>1</v>
      </c>
      <c r="P32" s="4" t="s">
        <v>174</v>
      </c>
      <c r="Q32" s="4" t="s">
        <v>61</v>
      </c>
      <c r="R32" s="34">
        <v>75</v>
      </c>
      <c r="S32" s="34"/>
      <c r="T32" s="58">
        <f t="shared" si="1"/>
        <v>75</v>
      </c>
      <c r="U32" s="30">
        <v>45793</v>
      </c>
      <c r="V32" s="39"/>
      <c r="W32" s="39"/>
    </row>
    <row r="33" spans="1:23" ht="21" hidden="1" customHeight="1" thickBot="1">
      <c r="A33" s="4" t="s">
        <v>154</v>
      </c>
      <c r="B33" s="4" t="s">
        <v>155</v>
      </c>
      <c r="C33" s="4">
        <v>616866669</v>
      </c>
      <c r="D33" s="4" t="s">
        <v>156</v>
      </c>
      <c r="E33" s="4" t="s">
        <v>157</v>
      </c>
      <c r="F33" s="31">
        <v>45728</v>
      </c>
      <c r="G33" s="32">
        <v>4040</v>
      </c>
      <c r="H33" s="4" t="s">
        <v>175</v>
      </c>
      <c r="I33" s="4" t="s">
        <v>176</v>
      </c>
      <c r="J33" s="4" t="s">
        <v>165</v>
      </c>
      <c r="K33" s="4" t="s">
        <v>33</v>
      </c>
      <c r="L33" s="4" t="s">
        <v>177</v>
      </c>
      <c r="M33" s="4" t="s">
        <v>55</v>
      </c>
      <c r="N33" s="4" t="s">
        <v>36</v>
      </c>
      <c r="O33" s="4">
        <v>1</v>
      </c>
      <c r="P33" s="4"/>
      <c r="Q33" s="4" t="s">
        <v>55</v>
      </c>
      <c r="R33" s="34">
        <v>75</v>
      </c>
      <c r="S33" s="34">
        <v>163.75</v>
      </c>
      <c r="T33" s="58">
        <f t="shared" si="1"/>
        <v>238.75</v>
      </c>
      <c r="U33" s="30">
        <v>45742</v>
      </c>
      <c r="V33" s="39"/>
      <c r="W33" s="39"/>
    </row>
    <row r="34" spans="1:23" ht="18" hidden="1" customHeight="1" thickBot="1">
      <c r="A34" s="4" t="s">
        <v>154</v>
      </c>
      <c r="B34" s="4" t="s">
        <v>155</v>
      </c>
      <c r="C34" s="4">
        <v>616866669</v>
      </c>
      <c r="D34" s="4" t="s">
        <v>156</v>
      </c>
      <c r="E34" s="4" t="s">
        <v>157</v>
      </c>
      <c r="F34" s="31">
        <v>45728</v>
      </c>
      <c r="G34" s="32">
        <v>4030</v>
      </c>
      <c r="H34" s="4" t="s">
        <v>178</v>
      </c>
      <c r="I34" s="4" t="s">
        <v>179</v>
      </c>
      <c r="J34" s="4" t="s">
        <v>180</v>
      </c>
      <c r="K34" s="4" t="s">
        <v>48</v>
      </c>
      <c r="L34" s="4" t="s">
        <v>181</v>
      </c>
      <c r="M34" s="4" t="s">
        <v>134</v>
      </c>
      <c r="N34" s="4" t="s">
        <v>36</v>
      </c>
      <c r="O34" s="4">
        <v>1</v>
      </c>
      <c r="P34" s="4"/>
      <c r="Q34" s="4" t="s">
        <v>134</v>
      </c>
      <c r="R34" s="34">
        <v>75</v>
      </c>
      <c r="S34" s="34"/>
      <c r="T34" s="58">
        <f t="shared" si="1"/>
        <v>75</v>
      </c>
      <c r="U34" s="30">
        <v>45742</v>
      </c>
      <c r="V34" s="39"/>
      <c r="W34" s="39"/>
    </row>
    <row r="35" spans="1:23" ht="19.5" hidden="1" customHeight="1" thickBot="1">
      <c r="A35" s="4" t="s">
        <v>154</v>
      </c>
      <c r="B35" s="4" t="s">
        <v>155</v>
      </c>
      <c r="C35" s="4">
        <v>616866669</v>
      </c>
      <c r="D35" s="4" t="s">
        <v>156</v>
      </c>
      <c r="E35" s="4" t="s">
        <v>157</v>
      </c>
      <c r="F35" s="31">
        <v>45728</v>
      </c>
      <c r="G35" s="32">
        <v>4039</v>
      </c>
      <c r="H35" s="4" t="s">
        <v>182</v>
      </c>
      <c r="I35" s="4" t="s">
        <v>183</v>
      </c>
      <c r="J35" s="4" t="s">
        <v>184</v>
      </c>
      <c r="K35" s="4" t="s">
        <v>33</v>
      </c>
      <c r="L35" s="4" t="s">
        <v>173</v>
      </c>
      <c r="M35" s="4" t="s">
        <v>117</v>
      </c>
      <c r="N35" s="4" t="s">
        <v>36</v>
      </c>
      <c r="O35" s="4">
        <v>1</v>
      </c>
      <c r="P35" s="4"/>
      <c r="Q35" s="4" t="s">
        <v>185</v>
      </c>
      <c r="R35" s="34">
        <v>75</v>
      </c>
      <c r="S35" s="34">
        <v>215</v>
      </c>
      <c r="T35" s="58">
        <f t="shared" si="1"/>
        <v>290</v>
      </c>
      <c r="U35" s="30">
        <v>45742</v>
      </c>
      <c r="V35" s="39"/>
      <c r="W35" s="39"/>
    </row>
    <row r="36" spans="1:23" ht="15.75" hidden="1" customHeight="1" thickBot="1">
      <c r="A36" s="4" t="s">
        <v>154</v>
      </c>
      <c r="B36" s="4" t="s">
        <v>155</v>
      </c>
      <c r="C36" s="4">
        <v>616866669</v>
      </c>
      <c r="D36" s="4" t="s">
        <v>156</v>
      </c>
      <c r="E36" s="4" t="s">
        <v>157</v>
      </c>
      <c r="F36" s="31">
        <v>45728</v>
      </c>
      <c r="G36" s="32">
        <v>4034</v>
      </c>
      <c r="H36" s="4" t="s">
        <v>186</v>
      </c>
      <c r="I36" s="50" t="s">
        <v>187</v>
      </c>
      <c r="J36" s="4" t="s">
        <v>165</v>
      </c>
      <c r="K36" s="4" t="s">
        <v>33</v>
      </c>
      <c r="L36" s="4" t="s">
        <v>188</v>
      </c>
      <c r="M36" s="4" t="s">
        <v>71</v>
      </c>
      <c r="N36" s="4" t="s">
        <v>36</v>
      </c>
      <c r="O36" s="4">
        <v>1</v>
      </c>
      <c r="P36" s="4" t="s">
        <v>189</v>
      </c>
      <c r="Q36" s="4" t="s">
        <v>71</v>
      </c>
      <c r="R36" s="34">
        <v>75</v>
      </c>
      <c r="S36" s="34">
        <v>120</v>
      </c>
      <c r="T36" s="58">
        <v>195</v>
      </c>
      <c r="U36" s="30">
        <v>45793</v>
      </c>
      <c r="V36" s="39"/>
      <c r="W36" s="39" t="s">
        <v>169</v>
      </c>
    </row>
    <row r="37" spans="1:23" ht="18" hidden="1" customHeight="1" thickBot="1">
      <c r="A37" s="4" t="s">
        <v>154</v>
      </c>
      <c r="B37" s="4" t="s">
        <v>155</v>
      </c>
      <c r="C37" s="4">
        <v>616866669</v>
      </c>
      <c r="D37" s="4" t="s">
        <v>156</v>
      </c>
      <c r="E37" s="4" t="s">
        <v>157</v>
      </c>
      <c r="F37" s="31">
        <v>45728</v>
      </c>
      <c r="G37" s="32">
        <v>4032</v>
      </c>
      <c r="H37" s="4" t="s">
        <v>190</v>
      </c>
      <c r="I37" s="4" t="s">
        <v>191</v>
      </c>
      <c r="J37" s="4" t="s">
        <v>192</v>
      </c>
      <c r="K37" s="4" t="s">
        <v>33</v>
      </c>
      <c r="L37" s="4" t="s">
        <v>193</v>
      </c>
      <c r="M37" s="4" t="s">
        <v>194</v>
      </c>
      <c r="N37" s="4" t="s">
        <v>36</v>
      </c>
      <c r="O37" s="4">
        <v>1</v>
      </c>
      <c r="P37" s="4"/>
      <c r="Q37" s="4" t="s">
        <v>194</v>
      </c>
      <c r="R37" s="34">
        <v>75</v>
      </c>
      <c r="S37" s="34">
        <v>100</v>
      </c>
      <c r="T37" s="58">
        <f>SUM(R37:S37)</f>
        <v>175</v>
      </c>
      <c r="U37" s="30">
        <v>45742</v>
      </c>
      <c r="V37" s="39"/>
      <c r="W37" s="39"/>
    </row>
    <row r="38" spans="1:23" ht="17.25" hidden="1" customHeight="1" thickBot="1">
      <c r="A38" s="4" t="s">
        <v>25</v>
      </c>
      <c r="B38" s="4" t="s">
        <v>26</v>
      </c>
      <c r="C38" s="4" t="s">
        <v>27</v>
      </c>
      <c r="D38" s="4" t="s">
        <v>28</v>
      </c>
      <c r="E38" s="4" t="s">
        <v>195</v>
      </c>
      <c r="F38" s="31">
        <v>45733</v>
      </c>
      <c r="G38" s="32">
        <v>4068</v>
      </c>
      <c r="H38" s="4" t="s">
        <v>196</v>
      </c>
      <c r="I38" s="4" t="s">
        <v>197</v>
      </c>
      <c r="J38" s="4" t="s">
        <v>160</v>
      </c>
      <c r="K38" s="4" t="s">
        <v>33</v>
      </c>
      <c r="L38" s="4" t="s">
        <v>198</v>
      </c>
      <c r="M38" s="4" t="s">
        <v>55</v>
      </c>
      <c r="N38" s="4" t="s">
        <v>36</v>
      </c>
      <c r="O38" s="4">
        <v>1</v>
      </c>
      <c r="P38" s="4"/>
      <c r="Q38" s="4" t="s">
        <v>55</v>
      </c>
      <c r="R38" s="34">
        <v>75</v>
      </c>
      <c r="S38" s="34">
        <v>163.75</v>
      </c>
      <c r="T38" s="58">
        <f>SUM(R38:S38)</f>
        <v>238.75</v>
      </c>
      <c r="U38" s="30">
        <v>45793</v>
      </c>
      <c r="V38" s="39"/>
      <c r="W38" s="39"/>
    </row>
    <row r="39" spans="1:23" ht="15.75" hidden="1" customHeight="1" thickBot="1">
      <c r="A39" s="4" t="s">
        <v>25</v>
      </c>
      <c r="B39" s="4" t="s">
        <v>26</v>
      </c>
      <c r="C39" s="4" t="s">
        <v>27</v>
      </c>
      <c r="D39" s="4" t="s">
        <v>28</v>
      </c>
      <c r="E39" s="4" t="s">
        <v>195</v>
      </c>
      <c r="F39" s="31">
        <v>45733</v>
      </c>
      <c r="G39" s="32">
        <v>4067</v>
      </c>
      <c r="H39" s="4" t="s">
        <v>199</v>
      </c>
      <c r="I39" s="4" t="s">
        <v>200</v>
      </c>
      <c r="J39" s="4" t="s">
        <v>201</v>
      </c>
      <c r="K39" s="4" t="s">
        <v>48</v>
      </c>
      <c r="L39" s="4" t="s">
        <v>202</v>
      </c>
      <c r="M39" s="4" t="s">
        <v>203</v>
      </c>
      <c r="N39" s="4" t="s">
        <v>36</v>
      </c>
      <c r="O39" s="4">
        <v>1</v>
      </c>
      <c r="P39" s="4"/>
      <c r="Q39" s="4" t="s">
        <v>203</v>
      </c>
      <c r="R39" s="34">
        <v>75</v>
      </c>
      <c r="S39" s="34"/>
      <c r="T39" s="58">
        <f>SUM(R39:S39)</f>
        <v>75</v>
      </c>
      <c r="U39" s="30">
        <v>45793</v>
      </c>
      <c r="V39" s="39"/>
      <c r="W39" s="39"/>
    </row>
    <row r="40" spans="1:23" ht="24.65" customHeight="1" thickBot="1">
      <c r="A40" s="39" t="s">
        <v>25</v>
      </c>
      <c r="B40" s="65" t="s">
        <v>26</v>
      </c>
      <c r="C40" s="65" t="s">
        <v>27</v>
      </c>
      <c r="D40" s="65" t="s">
        <v>28</v>
      </c>
      <c r="E40" s="39" t="s">
        <v>195</v>
      </c>
      <c r="F40" s="39">
        <v>45733</v>
      </c>
      <c r="G40" s="39"/>
      <c r="H40" s="65" t="s">
        <v>204</v>
      </c>
      <c r="I40" s="65" t="s">
        <v>205</v>
      </c>
      <c r="J40" s="65" t="s">
        <v>160</v>
      </c>
      <c r="K40" s="65" t="s">
        <v>33</v>
      </c>
      <c r="L40" s="65" t="s">
        <v>206</v>
      </c>
      <c r="M40" s="65" t="s">
        <v>117</v>
      </c>
      <c r="N40" s="39"/>
      <c r="O40" s="39">
        <v>1</v>
      </c>
      <c r="P40" s="65" t="s">
        <v>207</v>
      </c>
      <c r="Q40" s="65"/>
      <c r="R40" s="39"/>
      <c r="S40" s="39"/>
      <c r="T40" s="39"/>
      <c r="U40" s="39"/>
      <c r="V40" s="61" t="s">
        <v>120</v>
      </c>
      <c r="W40" s="39"/>
    </row>
    <row r="41" spans="1:23" ht="15" hidden="1" thickBot="1">
      <c r="A41" s="4" t="s">
        <v>25</v>
      </c>
      <c r="B41" s="4" t="s">
        <v>26</v>
      </c>
      <c r="C41" s="4" t="s">
        <v>27</v>
      </c>
      <c r="D41" s="4" t="s">
        <v>28</v>
      </c>
      <c r="E41" s="4" t="s">
        <v>195</v>
      </c>
      <c r="F41" s="31">
        <v>45733</v>
      </c>
      <c r="G41" s="32">
        <v>4125</v>
      </c>
      <c r="H41" s="4" t="s">
        <v>208</v>
      </c>
      <c r="I41" s="4" t="s">
        <v>209</v>
      </c>
      <c r="J41" s="4" t="s">
        <v>160</v>
      </c>
      <c r="K41" s="4" t="s">
        <v>33</v>
      </c>
      <c r="L41" s="4" t="s">
        <v>210</v>
      </c>
      <c r="M41" s="4" t="s">
        <v>194</v>
      </c>
      <c r="N41" s="4" t="s">
        <v>36</v>
      </c>
      <c r="O41" s="4">
        <v>1</v>
      </c>
      <c r="P41" s="4"/>
      <c r="Q41" s="4" t="s">
        <v>194</v>
      </c>
      <c r="R41" s="34">
        <v>75</v>
      </c>
      <c r="S41" s="34">
        <v>100</v>
      </c>
      <c r="T41" s="58">
        <f t="shared" ref="T41:T46" si="2">SUM(R41:S41)</f>
        <v>175</v>
      </c>
      <c r="U41" s="30">
        <v>45742</v>
      </c>
      <c r="V41" s="39"/>
      <c r="W41" s="39"/>
    </row>
    <row r="42" spans="1:23" ht="15" hidden="1" thickBot="1">
      <c r="A42" s="4" t="s">
        <v>25</v>
      </c>
      <c r="B42" s="4" t="s">
        <v>26</v>
      </c>
      <c r="C42" s="4" t="s">
        <v>27</v>
      </c>
      <c r="D42" s="4" t="s">
        <v>28</v>
      </c>
      <c r="E42" s="4" t="s">
        <v>195</v>
      </c>
      <c r="F42" s="31">
        <v>45733</v>
      </c>
      <c r="G42" s="32">
        <v>4069</v>
      </c>
      <c r="H42" s="4" t="s">
        <v>211</v>
      </c>
      <c r="I42" s="4" t="s">
        <v>212</v>
      </c>
      <c r="J42" s="4" t="s">
        <v>160</v>
      </c>
      <c r="K42" s="4" t="s">
        <v>33</v>
      </c>
      <c r="L42" s="4" t="s">
        <v>213</v>
      </c>
      <c r="M42" s="4" t="s">
        <v>55</v>
      </c>
      <c r="N42" s="4" t="s">
        <v>36</v>
      </c>
      <c r="O42" s="4">
        <v>1</v>
      </c>
      <c r="P42" s="4"/>
      <c r="Q42" s="4" t="s">
        <v>55</v>
      </c>
      <c r="R42" s="34">
        <v>75</v>
      </c>
      <c r="S42" s="34">
        <v>163.75</v>
      </c>
      <c r="T42" s="58">
        <f t="shared" si="2"/>
        <v>238.75</v>
      </c>
      <c r="U42" s="30">
        <v>45793</v>
      </c>
      <c r="V42" s="39"/>
      <c r="W42" s="39"/>
    </row>
    <row r="43" spans="1:23" ht="24.75" hidden="1" customHeight="1" thickBot="1">
      <c r="A43" s="4" t="s">
        <v>25</v>
      </c>
      <c r="B43" s="4" t="s">
        <v>26</v>
      </c>
      <c r="C43" s="4" t="s">
        <v>27</v>
      </c>
      <c r="D43" s="4" t="s">
        <v>28</v>
      </c>
      <c r="E43" s="4" t="s">
        <v>195</v>
      </c>
      <c r="F43" s="31">
        <v>45733</v>
      </c>
      <c r="G43" s="32">
        <v>4084</v>
      </c>
      <c r="H43" s="4" t="s">
        <v>214</v>
      </c>
      <c r="I43" s="4" t="s">
        <v>215</v>
      </c>
      <c r="J43" s="4" t="s">
        <v>216</v>
      </c>
      <c r="K43" s="4" t="s">
        <v>33</v>
      </c>
      <c r="L43" s="4" t="s">
        <v>217</v>
      </c>
      <c r="M43" s="4" t="s">
        <v>218</v>
      </c>
      <c r="N43" s="4" t="s">
        <v>36</v>
      </c>
      <c r="O43" s="4">
        <v>1</v>
      </c>
      <c r="P43" s="4"/>
      <c r="Q43" s="4" t="s">
        <v>219</v>
      </c>
      <c r="R43" s="34">
        <v>75</v>
      </c>
      <c r="S43" s="35">
        <v>235</v>
      </c>
      <c r="T43" s="58">
        <f t="shared" si="2"/>
        <v>310</v>
      </c>
      <c r="U43" s="30">
        <v>45793</v>
      </c>
      <c r="V43" s="39"/>
      <c r="W43" s="39"/>
    </row>
    <row r="44" spans="1:23" ht="15" hidden="1" thickBot="1">
      <c r="A44" s="4" t="s">
        <v>25</v>
      </c>
      <c r="B44" s="4" t="s">
        <v>26</v>
      </c>
      <c r="C44" s="4" t="s">
        <v>27</v>
      </c>
      <c r="D44" s="4" t="s">
        <v>28</v>
      </c>
      <c r="E44" s="4" t="s">
        <v>29</v>
      </c>
      <c r="F44" s="31">
        <v>45744</v>
      </c>
      <c r="G44" s="32">
        <v>4100</v>
      </c>
      <c r="H44" s="4" t="s">
        <v>220</v>
      </c>
      <c r="I44" s="4" t="s">
        <v>221</v>
      </c>
      <c r="J44" s="4" t="s">
        <v>222</v>
      </c>
      <c r="K44" s="4" t="s">
        <v>33</v>
      </c>
      <c r="L44" s="4" t="s">
        <v>223</v>
      </c>
      <c r="M44" s="4" t="s">
        <v>55</v>
      </c>
      <c r="N44" s="4" t="s">
        <v>36</v>
      </c>
      <c r="O44" s="4">
        <v>1</v>
      </c>
      <c r="P44" s="4"/>
      <c r="Q44" s="4" t="s">
        <v>55</v>
      </c>
      <c r="R44" s="34">
        <v>75</v>
      </c>
      <c r="S44" s="34">
        <v>163.75</v>
      </c>
      <c r="T44" s="58">
        <f t="shared" si="2"/>
        <v>238.75</v>
      </c>
      <c r="U44" s="36">
        <v>45793</v>
      </c>
      <c r="V44" s="39"/>
      <c r="W44" s="39"/>
    </row>
    <row r="45" spans="1:23" ht="15" hidden="1" thickBot="1">
      <c r="A45" s="4" t="s">
        <v>25</v>
      </c>
      <c r="B45" s="4" t="s">
        <v>26</v>
      </c>
      <c r="C45" s="4" t="s">
        <v>27</v>
      </c>
      <c r="D45" s="4" t="s">
        <v>28</v>
      </c>
      <c r="E45" s="4" t="s">
        <v>29</v>
      </c>
      <c r="F45" s="31">
        <v>45744</v>
      </c>
      <c r="G45" s="32">
        <v>4120</v>
      </c>
      <c r="H45" s="4" t="s">
        <v>224</v>
      </c>
      <c r="I45" s="4" t="s">
        <v>225</v>
      </c>
      <c r="J45" s="4" t="s">
        <v>226</v>
      </c>
      <c r="K45" s="4" t="s">
        <v>33</v>
      </c>
      <c r="L45" s="4" t="s">
        <v>227</v>
      </c>
      <c r="M45" s="4" t="s">
        <v>138</v>
      </c>
      <c r="N45" s="4" t="s">
        <v>36</v>
      </c>
      <c r="O45" s="4">
        <v>1</v>
      </c>
      <c r="P45" s="4"/>
      <c r="Q45" s="4" t="s">
        <v>138</v>
      </c>
      <c r="R45" s="34">
        <v>75</v>
      </c>
      <c r="S45" s="34">
        <v>215</v>
      </c>
      <c r="T45" s="58">
        <f t="shared" si="2"/>
        <v>290</v>
      </c>
      <c r="U45" s="36">
        <v>45793</v>
      </c>
      <c r="V45" s="39"/>
      <c r="W45" s="39"/>
    </row>
    <row r="46" spans="1:23" ht="15" hidden="1" thickBot="1">
      <c r="A46" s="4" t="s">
        <v>25</v>
      </c>
      <c r="B46" s="4" t="s">
        <v>26</v>
      </c>
      <c r="C46" s="4" t="s">
        <v>27</v>
      </c>
      <c r="D46" s="4" t="s">
        <v>28</v>
      </c>
      <c r="E46" s="4" t="s">
        <v>29</v>
      </c>
      <c r="F46" s="31">
        <v>45744</v>
      </c>
      <c r="G46" s="32">
        <v>4119</v>
      </c>
      <c r="H46" s="4" t="s">
        <v>228</v>
      </c>
      <c r="I46" s="4" t="s">
        <v>229</v>
      </c>
      <c r="J46" s="4" t="s">
        <v>222</v>
      </c>
      <c r="K46" s="4" t="s">
        <v>33</v>
      </c>
      <c r="L46" s="4" t="s">
        <v>223</v>
      </c>
      <c r="M46" s="4" t="s">
        <v>55</v>
      </c>
      <c r="N46" s="4" t="s">
        <v>36</v>
      </c>
      <c r="O46" s="4">
        <v>1</v>
      </c>
      <c r="P46" s="4"/>
      <c r="Q46" s="4" t="s">
        <v>55</v>
      </c>
      <c r="R46" s="34">
        <v>75</v>
      </c>
      <c r="S46" s="34">
        <v>163.75</v>
      </c>
      <c r="T46" s="58">
        <f t="shared" si="2"/>
        <v>238.75</v>
      </c>
      <c r="U46" s="36">
        <v>45793</v>
      </c>
      <c r="V46" s="39"/>
      <c r="W46" s="39"/>
    </row>
    <row r="47" spans="1:23" ht="21.65" hidden="1" customHeight="1" thickBot="1">
      <c r="A47" s="4" t="s">
        <v>25</v>
      </c>
      <c r="B47" s="4" t="s">
        <v>26</v>
      </c>
      <c r="C47" s="4" t="s">
        <v>27</v>
      </c>
      <c r="D47" s="4" t="s">
        <v>28</v>
      </c>
      <c r="E47" s="4" t="s">
        <v>29</v>
      </c>
      <c r="F47" s="31">
        <v>45744</v>
      </c>
      <c r="G47" s="32">
        <v>4118</v>
      </c>
      <c r="H47" s="4" t="s">
        <v>230</v>
      </c>
      <c r="I47" s="4" t="s">
        <v>231</v>
      </c>
      <c r="J47" s="4" t="s">
        <v>232</v>
      </c>
      <c r="K47" s="4" t="s">
        <v>48</v>
      </c>
      <c r="L47" s="4" t="s">
        <v>233</v>
      </c>
      <c r="M47" s="4" t="s">
        <v>71</v>
      </c>
      <c r="N47" s="4" t="s">
        <v>36</v>
      </c>
      <c r="O47" s="4">
        <v>1</v>
      </c>
      <c r="P47" s="4"/>
      <c r="Q47" s="4" t="s">
        <v>234</v>
      </c>
      <c r="R47" s="34">
        <v>75</v>
      </c>
      <c r="S47" s="4"/>
      <c r="T47" s="59">
        <v>75</v>
      </c>
      <c r="U47" s="36">
        <v>45793</v>
      </c>
      <c r="V47" s="39"/>
      <c r="W47" s="39" t="s">
        <v>235</v>
      </c>
    </row>
    <row r="48" spans="1:23" ht="15" hidden="1" thickBot="1">
      <c r="A48" s="4" t="s">
        <v>25</v>
      </c>
      <c r="B48" s="4" t="s">
        <v>26</v>
      </c>
      <c r="C48" s="4" t="s">
        <v>27</v>
      </c>
      <c r="D48" s="4" t="s">
        <v>28</v>
      </c>
      <c r="E48" s="4" t="s">
        <v>29</v>
      </c>
      <c r="F48" s="31">
        <v>45744</v>
      </c>
      <c r="G48" s="32">
        <v>4116</v>
      </c>
      <c r="H48" s="4" t="s">
        <v>236</v>
      </c>
      <c r="I48" s="4" t="s">
        <v>237</v>
      </c>
      <c r="J48" s="4" t="s">
        <v>222</v>
      </c>
      <c r="K48" s="4" t="s">
        <v>33</v>
      </c>
      <c r="L48" s="4" t="s">
        <v>238</v>
      </c>
      <c r="M48" s="4" t="s">
        <v>66</v>
      </c>
      <c r="N48" s="4" t="s">
        <v>36</v>
      </c>
      <c r="O48" s="4">
        <v>1</v>
      </c>
      <c r="P48" s="4"/>
      <c r="Q48" s="4" t="s">
        <v>66</v>
      </c>
      <c r="R48" s="34">
        <v>75</v>
      </c>
      <c r="S48" s="34">
        <v>120</v>
      </c>
      <c r="T48" s="58">
        <f>SUM(R48:S48)</f>
        <v>195</v>
      </c>
      <c r="U48" s="36">
        <v>45793</v>
      </c>
      <c r="V48" s="39"/>
      <c r="W48" s="39"/>
    </row>
    <row r="49" spans="1:23" ht="15" hidden="1" thickBot="1">
      <c r="A49" s="4" t="s">
        <v>25</v>
      </c>
      <c r="B49" s="4" t="s">
        <v>26</v>
      </c>
      <c r="C49" s="4" t="s">
        <v>27</v>
      </c>
      <c r="D49" s="4" t="s">
        <v>28</v>
      </c>
      <c r="E49" s="4" t="s">
        <v>29</v>
      </c>
      <c r="F49" s="31">
        <v>45744</v>
      </c>
      <c r="G49" s="32">
        <v>4115</v>
      </c>
      <c r="H49" s="4" t="s">
        <v>239</v>
      </c>
      <c r="I49" s="4" t="s">
        <v>240</v>
      </c>
      <c r="J49" s="4" t="s">
        <v>222</v>
      </c>
      <c r="K49" s="4" t="s">
        <v>33</v>
      </c>
      <c r="L49" s="4" t="s">
        <v>241</v>
      </c>
      <c r="M49" s="4" t="s">
        <v>55</v>
      </c>
      <c r="N49" s="4" t="s">
        <v>36</v>
      </c>
      <c r="O49" s="4">
        <v>1</v>
      </c>
      <c r="P49" s="4"/>
      <c r="Q49" s="4" t="s">
        <v>55</v>
      </c>
      <c r="R49" s="34">
        <v>75</v>
      </c>
      <c r="S49" s="34">
        <v>163.75</v>
      </c>
      <c r="T49" s="58">
        <f>SUM(R49:S49)</f>
        <v>238.75</v>
      </c>
      <c r="U49" s="36">
        <v>45793</v>
      </c>
      <c r="V49" s="39"/>
      <c r="W49" s="39"/>
    </row>
    <row r="50" spans="1:23" ht="15" hidden="1" thickBot="1">
      <c r="A50" s="4" t="s">
        <v>25</v>
      </c>
      <c r="B50" s="4" t="s">
        <v>26</v>
      </c>
      <c r="C50" s="4" t="s">
        <v>27</v>
      </c>
      <c r="D50" s="4" t="s">
        <v>28</v>
      </c>
      <c r="E50" s="4" t="s">
        <v>29</v>
      </c>
      <c r="F50" s="31">
        <v>45744</v>
      </c>
      <c r="G50" s="32">
        <v>4114</v>
      </c>
      <c r="H50" s="4" t="s">
        <v>79</v>
      </c>
      <c r="I50" s="4" t="s">
        <v>80</v>
      </c>
      <c r="J50" s="4" t="s">
        <v>232</v>
      </c>
      <c r="K50" s="4" t="s">
        <v>48</v>
      </c>
      <c r="L50" s="4" t="s">
        <v>227</v>
      </c>
      <c r="M50" s="4" t="s">
        <v>117</v>
      </c>
      <c r="N50" s="4" t="s">
        <v>36</v>
      </c>
      <c r="O50" s="4">
        <v>1</v>
      </c>
      <c r="P50" s="4"/>
      <c r="Q50" s="4" t="s">
        <v>117</v>
      </c>
      <c r="R50" s="34">
        <v>75</v>
      </c>
      <c r="S50" s="4"/>
      <c r="T50" s="58">
        <f>SUM(R50:S50)</f>
        <v>75</v>
      </c>
      <c r="U50" s="36">
        <v>45793</v>
      </c>
      <c r="V50" s="39"/>
      <c r="W50" s="39"/>
    </row>
    <row r="51" spans="1:23" ht="15" hidden="1" thickBot="1">
      <c r="A51" s="4" t="s">
        <v>25</v>
      </c>
      <c r="B51" s="4" t="s">
        <v>26</v>
      </c>
      <c r="C51" s="4" t="s">
        <v>27</v>
      </c>
      <c r="D51" s="4" t="s">
        <v>28</v>
      </c>
      <c r="E51" s="4" t="s">
        <v>29</v>
      </c>
      <c r="F51" s="31">
        <v>45744</v>
      </c>
      <c r="G51" s="32">
        <v>4113</v>
      </c>
      <c r="H51" s="4" t="s">
        <v>242</v>
      </c>
      <c r="I51" s="4" t="s">
        <v>243</v>
      </c>
      <c r="J51" s="4" t="s">
        <v>232</v>
      </c>
      <c r="K51" s="4" t="s">
        <v>48</v>
      </c>
      <c r="L51" s="4" t="s">
        <v>227</v>
      </c>
      <c r="M51" s="4" t="s">
        <v>117</v>
      </c>
      <c r="N51" s="4" t="s">
        <v>36</v>
      </c>
      <c r="O51" s="4">
        <v>1</v>
      </c>
      <c r="P51" s="4"/>
      <c r="Q51" s="4" t="s">
        <v>117</v>
      </c>
      <c r="R51" s="34">
        <v>75</v>
      </c>
      <c r="S51" s="4"/>
      <c r="T51" s="59">
        <v>75</v>
      </c>
      <c r="U51" s="36">
        <v>45793</v>
      </c>
      <c r="V51" s="39"/>
      <c r="W51" s="39"/>
    </row>
    <row r="52" spans="1:23" ht="15" hidden="1" thickBot="1">
      <c r="A52" s="4" t="s">
        <v>25</v>
      </c>
      <c r="B52" s="4" t="s">
        <v>26</v>
      </c>
      <c r="C52" s="4" t="s">
        <v>27</v>
      </c>
      <c r="D52" s="4" t="s">
        <v>28</v>
      </c>
      <c r="E52" s="4" t="s">
        <v>29</v>
      </c>
      <c r="F52" s="31">
        <v>45744</v>
      </c>
      <c r="G52" s="32">
        <v>4112</v>
      </c>
      <c r="H52" s="4" t="s">
        <v>244</v>
      </c>
      <c r="I52" s="4" t="s">
        <v>245</v>
      </c>
      <c r="J52" s="4" t="s">
        <v>246</v>
      </c>
      <c r="K52" s="4" t="s">
        <v>48</v>
      </c>
      <c r="L52" s="4" t="s">
        <v>247</v>
      </c>
      <c r="M52" s="4" t="s">
        <v>71</v>
      </c>
      <c r="N52" s="4" t="s">
        <v>36</v>
      </c>
      <c r="O52" s="4">
        <v>1</v>
      </c>
      <c r="P52" s="4"/>
      <c r="Q52" s="4" t="s">
        <v>71</v>
      </c>
      <c r="R52" s="34">
        <v>75</v>
      </c>
      <c r="S52" s="35"/>
      <c r="T52" s="58">
        <f>SUM(R52:S52)</f>
        <v>75</v>
      </c>
      <c r="U52" s="36">
        <v>45793</v>
      </c>
      <c r="V52" s="39"/>
      <c r="W52" s="39"/>
    </row>
    <row r="53" spans="1:23" ht="15" hidden="1" thickBot="1">
      <c r="A53" s="4" t="s">
        <v>25</v>
      </c>
      <c r="B53" s="4" t="s">
        <v>26</v>
      </c>
      <c r="C53" s="4" t="s">
        <v>27</v>
      </c>
      <c r="D53" s="4" t="s">
        <v>28</v>
      </c>
      <c r="E53" s="4" t="s">
        <v>29</v>
      </c>
      <c r="F53" s="31">
        <v>45744</v>
      </c>
      <c r="G53" s="32">
        <v>4111</v>
      </c>
      <c r="H53" s="4" t="s">
        <v>248</v>
      </c>
      <c r="I53" s="4" t="s">
        <v>249</v>
      </c>
      <c r="J53" s="4" t="s">
        <v>222</v>
      </c>
      <c r="K53" s="4" t="s">
        <v>33</v>
      </c>
      <c r="L53" s="4" t="s">
        <v>250</v>
      </c>
      <c r="M53" s="4" t="s">
        <v>251</v>
      </c>
      <c r="N53" s="4" t="s">
        <v>36</v>
      </c>
      <c r="O53" s="4">
        <v>1</v>
      </c>
      <c r="P53" s="4"/>
      <c r="Q53" s="4" t="s">
        <v>252</v>
      </c>
      <c r="R53" s="34">
        <v>75</v>
      </c>
      <c r="S53" s="59">
        <v>215</v>
      </c>
      <c r="T53" s="59">
        <v>290</v>
      </c>
      <c r="U53" s="36">
        <v>45814</v>
      </c>
      <c r="V53" s="39"/>
      <c r="W53" s="39"/>
    </row>
    <row r="54" spans="1:23" ht="15" hidden="1" thickBot="1">
      <c r="A54" s="4" t="s">
        <v>25</v>
      </c>
      <c r="B54" s="4" t="s">
        <v>26</v>
      </c>
      <c r="C54" s="4" t="s">
        <v>27</v>
      </c>
      <c r="D54" s="4" t="s">
        <v>28</v>
      </c>
      <c r="E54" s="4" t="s">
        <v>29</v>
      </c>
      <c r="F54" s="31">
        <v>45744</v>
      </c>
      <c r="G54" s="32">
        <v>4110</v>
      </c>
      <c r="H54" s="4" t="s">
        <v>253</v>
      </c>
      <c r="I54" s="4" t="s">
        <v>254</v>
      </c>
      <c r="J54" s="4" t="s">
        <v>222</v>
      </c>
      <c r="K54" s="4" t="s">
        <v>33</v>
      </c>
      <c r="L54" s="4" t="s">
        <v>227</v>
      </c>
      <c r="M54" s="4" t="s">
        <v>71</v>
      </c>
      <c r="N54" s="4" t="s">
        <v>36</v>
      </c>
      <c r="O54" s="4">
        <v>1</v>
      </c>
      <c r="P54" s="4"/>
      <c r="Q54" s="4" t="s">
        <v>71</v>
      </c>
      <c r="R54" s="34">
        <v>75</v>
      </c>
      <c r="S54" s="34">
        <v>120</v>
      </c>
      <c r="T54" s="58">
        <v>195</v>
      </c>
      <c r="U54" s="36">
        <v>45805</v>
      </c>
      <c r="V54" s="39"/>
      <c r="W54" s="39"/>
    </row>
    <row r="55" spans="1:23" ht="15" hidden="1" thickBot="1">
      <c r="A55" s="4" t="s">
        <v>25</v>
      </c>
      <c r="B55" s="4" t="s">
        <v>26</v>
      </c>
      <c r="C55" s="4" t="s">
        <v>27</v>
      </c>
      <c r="D55" s="4" t="s">
        <v>28</v>
      </c>
      <c r="E55" s="4" t="s">
        <v>29</v>
      </c>
      <c r="F55" s="31">
        <v>45744</v>
      </c>
      <c r="G55" s="32">
        <v>4109</v>
      </c>
      <c r="H55" s="4" t="s">
        <v>255</v>
      </c>
      <c r="I55" s="4" t="s">
        <v>256</v>
      </c>
      <c r="J55" s="4" t="s">
        <v>257</v>
      </c>
      <c r="K55" s="4" t="s">
        <v>33</v>
      </c>
      <c r="L55" s="4" t="s">
        <v>227</v>
      </c>
      <c r="M55" s="4" t="s">
        <v>258</v>
      </c>
      <c r="N55" s="4" t="s">
        <v>36</v>
      </c>
      <c r="O55" s="4">
        <v>1</v>
      </c>
      <c r="P55" s="4"/>
      <c r="Q55" s="4" t="s">
        <v>259</v>
      </c>
      <c r="R55" s="34">
        <v>75</v>
      </c>
      <c r="S55" s="59">
        <v>320</v>
      </c>
      <c r="T55" s="59">
        <v>395</v>
      </c>
      <c r="U55" s="36">
        <v>45814</v>
      </c>
      <c r="V55" s="39"/>
      <c r="W55" s="39"/>
    </row>
    <row r="56" spans="1:23" ht="29.5" hidden="1" thickBot="1">
      <c r="A56" s="4" t="s">
        <v>25</v>
      </c>
      <c r="B56" s="4" t="s">
        <v>26</v>
      </c>
      <c r="C56" s="4" t="s">
        <v>27</v>
      </c>
      <c r="D56" s="4" t="s">
        <v>28</v>
      </c>
      <c r="E56" s="4" t="s">
        <v>29</v>
      </c>
      <c r="F56" s="31">
        <v>45744</v>
      </c>
      <c r="G56" s="4">
        <v>4107</v>
      </c>
      <c r="H56" s="4" t="s">
        <v>30</v>
      </c>
      <c r="I56" s="67" t="s">
        <v>31</v>
      </c>
      <c r="J56" s="4" t="s">
        <v>160</v>
      </c>
      <c r="K56" s="4" t="s">
        <v>33</v>
      </c>
      <c r="L56" s="4" t="s">
        <v>260</v>
      </c>
      <c r="M56" s="4" t="s">
        <v>261</v>
      </c>
      <c r="N56" s="4" t="s">
        <v>262</v>
      </c>
      <c r="O56" s="4">
        <v>1</v>
      </c>
      <c r="P56" s="4" t="s">
        <v>263</v>
      </c>
      <c r="Q56" s="4" t="s">
        <v>261</v>
      </c>
      <c r="R56" s="34">
        <v>75</v>
      </c>
      <c r="S56" s="59">
        <v>215</v>
      </c>
      <c r="T56" s="37">
        <v>290</v>
      </c>
      <c r="U56" s="36">
        <v>45898</v>
      </c>
      <c r="V56" s="39"/>
      <c r="W56" s="39"/>
    </row>
    <row r="57" spans="1:23" ht="15" hidden="1" thickBot="1">
      <c r="A57" s="4" t="s">
        <v>25</v>
      </c>
      <c r="B57" s="4" t="s">
        <v>26</v>
      </c>
      <c r="C57" s="4" t="s">
        <v>27</v>
      </c>
      <c r="D57" s="4" t="s">
        <v>28</v>
      </c>
      <c r="E57" s="4" t="s">
        <v>29</v>
      </c>
      <c r="F57" s="31">
        <v>45744</v>
      </c>
      <c r="G57" s="4">
        <v>4105</v>
      </c>
      <c r="H57" s="4" t="s">
        <v>264</v>
      </c>
      <c r="I57" s="4" t="s">
        <v>265</v>
      </c>
      <c r="J57" s="4" t="s">
        <v>222</v>
      </c>
      <c r="K57" s="4" t="s">
        <v>33</v>
      </c>
      <c r="L57" s="4" t="s">
        <v>266</v>
      </c>
      <c r="M57" s="4" t="s">
        <v>55</v>
      </c>
      <c r="N57" s="4" t="s">
        <v>36</v>
      </c>
      <c r="O57" s="4">
        <v>1</v>
      </c>
      <c r="P57" s="4" t="s">
        <v>267</v>
      </c>
      <c r="Q57" s="4" t="s">
        <v>55</v>
      </c>
      <c r="R57" s="34">
        <v>75</v>
      </c>
      <c r="S57" s="59">
        <v>109.09</v>
      </c>
      <c r="T57" s="37">
        <f>SUM(R57:S57)</f>
        <v>184.09</v>
      </c>
      <c r="U57" s="36">
        <v>45821</v>
      </c>
      <c r="V57" s="39"/>
      <c r="W57" s="39"/>
    </row>
    <row r="58" spans="1:23" ht="15" hidden="1" thickBot="1">
      <c r="A58" s="4" t="s">
        <v>25</v>
      </c>
      <c r="B58" s="4" t="s">
        <v>26</v>
      </c>
      <c r="C58" s="4" t="s">
        <v>27</v>
      </c>
      <c r="D58" s="4" t="s">
        <v>28</v>
      </c>
      <c r="E58" s="4" t="s">
        <v>29</v>
      </c>
      <c r="F58" s="31">
        <v>45744</v>
      </c>
      <c r="G58" s="4">
        <v>4104</v>
      </c>
      <c r="H58" s="4" t="s">
        <v>268</v>
      </c>
      <c r="I58" s="4" t="s">
        <v>269</v>
      </c>
      <c r="J58" s="4" t="s">
        <v>270</v>
      </c>
      <c r="K58" s="4" t="s">
        <v>33</v>
      </c>
      <c r="L58" s="4" t="s">
        <v>227</v>
      </c>
      <c r="M58" s="4" t="s">
        <v>271</v>
      </c>
      <c r="N58" s="4" t="s">
        <v>36</v>
      </c>
      <c r="O58" s="4">
        <v>1</v>
      </c>
      <c r="P58" s="4"/>
      <c r="Q58" s="4" t="s">
        <v>271</v>
      </c>
      <c r="R58" s="34">
        <v>75</v>
      </c>
      <c r="S58" s="63" t="s">
        <v>272</v>
      </c>
      <c r="T58" s="59">
        <v>160</v>
      </c>
      <c r="U58" s="36">
        <v>45805</v>
      </c>
      <c r="V58" s="39"/>
      <c r="W58" s="39"/>
    </row>
    <row r="59" spans="1:23" ht="29.5" hidden="1" thickBot="1">
      <c r="A59" s="4" t="s">
        <v>25</v>
      </c>
      <c r="B59" s="4" t="s">
        <v>26</v>
      </c>
      <c r="C59" s="4" t="s">
        <v>27</v>
      </c>
      <c r="D59" s="4" t="s">
        <v>28</v>
      </c>
      <c r="E59" s="4" t="s">
        <v>29</v>
      </c>
      <c r="F59" s="31">
        <v>45744</v>
      </c>
      <c r="G59" s="4">
        <v>4103</v>
      </c>
      <c r="H59" s="4" t="s">
        <v>273</v>
      </c>
      <c r="I59" s="4" t="s">
        <v>274</v>
      </c>
      <c r="J59" s="4" t="s">
        <v>232</v>
      </c>
      <c r="K59" s="4" t="s">
        <v>48</v>
      </c>
      <c r="L59" s="4" t="s">
        <v>275</v>
      </c>
      <c r="M59" s="4" t="s">
        <v>276</v>
      </c>
      <c r="N59" s="4" t="s">
        <v>36</v>
      </c>
      <c r="O59" s="4"/>
      <c r="P59" s="4" t="s">
        <v>277</v>
      </c>
      <c r="Q59" s="4" t="s">
        <v>278</v>
      </c>
      <c r="R59" s="34">
        <v>75</v>
      </c>
      <c r="S59" s="4"/>
      <c r="T59" s="59">
        <f>SUM(R59:S59)</f>
        <v>75</v>
      </c>
      <c r="U59" s="36">
        <v>45805</v>
      </c>
      <c r="V59" s="39"/>
      <c r="W59" s="39"/>
    </row>
    <row r="60" spans="1:23" ht="15" hidden="1" thickBot="1">
      <c r="A60" s="4" t="s">
        <v>25</v>
      </c>
      <c r="B60" s="4" t="s">
        <v>26</v>
      </c>
      <c r="C60" s="4" t="s">
        <v>27</v>
      </c>
      <c r="D60" s="4" t="s">
        <v>28</v>
      </c>
      <c r="E60" s="4" t="s">
        <v>29</v>
      </c>
      <c r="F60" s="31">
        <v>45744</v>
      </c>
      <c r="G60" s="4">
        <v>4102</v>
      </c>
      <c r="H60" s="4" t="s">
        <v>279</v>
      </c>
      <c r="I60" s="4" t="s">
        <v>280</v>
      </c>
      <c r="J60" s="4" t="s">
        <v>222</v>
      </c>
      <c r="K60" s="4" t="s">
        <v>33</v>
      </c>
      <c r="L60" s="4" t="s">
        <v>227</v>
      </c>
      <c r="M60" s="4" t="s">
        <v>281</v>
      </c>
      <c r="N60" s="4" t="s">
        <v>36</v>
      </c>
      <c r="O60" s="4"/>
      <c r="P60" s="4"/>
      <c r="Q60" s="4" t="s">
        <v>281</v>
      </c>
      <c r="R60" s="34">
        <v>75</v>
      </c>
      <c r="S60" s="63" t="s">
        <v>282</v>
      </c>
      <c r="T60" s="59">
        <v>195</v>
      </c>
      <c r="U60" s="36">
        <v>45805</v>
      </c>
      <c r="V60" s="39"/>
      <c r="W60" s="39"/>
    </row>
    <row r="61" spans="1:23" ht="15" hidden="1" thickBot="1">
      <c r="A61" s="4" t="s">
        <v>154</v>
      </c>
      <c r="B61" s="4" t="s">
        <v>155</v>
      </c>
      <c r="C61" s="4">
        <v>616866669</v>
      </c>
      <c r="D61" s="4" t="s">
        <v>156</v>
      </c>
      <c r="E61" s="4" t="s">
        <v>283</v>
      </c>
      <c r="F61" s="31">
        <v>45757</v>
      </c>
      <c r="G61" s="4">
        <v>4626</v>
      </c>
      <c r="H61" s="4" t="s">
        <v>284</v>
      </c>
      <c r="I61" s="4" t="s">
        <v>285</v>
      </c>
      <c r="J61" s="4" t="s">
        <v>165</v>
      </c>
      <c r="K61" s="4" t="s">
        <v>33</v>
      </c>
      <c r="L61" s="4" t="s">
        <v>286</v>
      </c>
      <c r="M61" s="4" t="s">
        <v>287</v>
      </c>
      <c r="N61" s="4" t="s">
        <v>36</v>
      </c>
      <c r="O61" s="4"/>
      <c r="P61" s="4"/>
      <c r="Q61" s="4" t="s">
        <v>287</v>
      </c>
      <c r="R61" s="34">
        <v>75</v>
      </c>
      <c r="S61" s="59">
        <v>115</v>
      </c>
      <c r="T61" s="59">
        <v>160</v>
      </c>
      <c r="U61" s="36">
        <v>45814</v>
      </c>
      <c r="V61" s="39"/>
      <c r="W61" s="39"/>
    </row>
    <row r="62" spans="1:23" ht="15" hidden="1" thickBot="1">
      <c r="A62" s="4" t="s">
        <v>154</v>
      </c>
      <c r="B62" s="4" t="s">
        <v>155</v>
      </c>
      <c r="C62" s="4">
        <v>616866669</v>
      </c>
      <c r="D62" s="4" t="s">
        <v>156</v>
      </c>
      <c r="E62" s="4" t="s">
        <v>283</v>
      </c>
      <c r="F62" s="31">
        <v>45757</v>
      </c>
      <c r="G62" s="4">
        <v>4627</v>
      </c>
      <c r="H62" s="4" t="s">
        <v>288</v>
      </c>
      <c r="I62" s="4" t="s">
        <v>289</v>
      </c>
      <c r="J62" s="4" t="s">
        <v>165</v>
      </c>
      <c r="K62" s="4" t="s">
        <v>33</v>
      </c>
      <c r="L62" s="4" t="s">
        <v>290</v>
      </c>
      <c r="M62" s="4" t="s">
        <v>291</v>
      </c>
      <c r="N62" s="4" t="s">
        <v>36</v>
      </c>
      <c r="O62" s="4"/>
      <c r="P62" s="4"/>
      <c r="Q62" s="4" t="s">
        <v>84</v>
      </c>
      <c r="R62" s="34">
        <v>75</v>
      </c>
      <c r="S62" s="63" t="s">
        <v>272</v>
      </c>
      <c r="T62" s="59">
        <v>160</v>
      </c>
      <c r="U62" s="36">
        <v>45805</v>
      </c>
      <c r="V62" s="39"/>
      <c r="W62" s="39"/>
    </row>
    <row r="63" spans="1:23" ht="15" hidden="1" thickBot="1">
      <c r="A63" s="4" t="s">
        <v>154</v>
      </c>
      <c r="B63" s="4" t="s">
        <v>155</v>
      </c>
      <c r="C63" s="4">
        <v>616866669</v>
      </c>
      <c r="D63" s="4" t="s">
        <v>156</v>
      </c>
      <c r="E63" s="4" t="s">
        <v>283</v>
      </c>
      <c r="F63" s="31">
        <v>45757</v>
      </c>
      <c r="G63" s="4">
        <v>4628</v>
      </c>
      <c r="H63" s="4" t="s">
        <v>292</v>
      </c>
      <c r="I63" s="4" t="s">
        <v>293</v>
      </c>
      <c r="J63" s="4" t="s">
        <v>165</v>
      </c>
      <c r="K63" s="4" t="s">
        <v>33</v>
      </c>
      <c r="L63" s="4" t="s">
        <v>294</v>
      </c>
      <c r="M63" s="4" t="s">
        <v>295</v>
      </c>
      <c r="N63" s="4" t="s">
        <v>36</v>
      </c>
      <c r="O63" s="4"/>
      <c r="P63" s="4"/>
      <c r="Q63" s="4" t="s">
        <v>295</v>
      </c>
      <c r="R63" s="34">
        <v>75</v>
      </c>
      <c r="S63" s="37">
        <v>335</v>
      </c>
      <c r="T63" s="59">
        <v>410</v>
      </c>
      <c r="U63" s="36">
        <v>45805</v>
      </c>
      <c r="V63" s="39"/>
      <c r="W63" s="39"/>
    </row>
    <row r="64" spans="1:23" ht="15" hidden="1" thickBot="1">
      <c r="A64" s="4" t="s">
        <v>154</v>
      </c>
      <c r="B64" s="4" t="s">
        <v>155</v>
      </c>
      <c r="C64" s="4">
        <v>616866669</v>
      </c>
      <c r="D64" s="4" t="s">
        <v>156</v>
      </c>
      <c r="E64" s="4" t="s">
        <v>283</v>
      </c>
      <c r="F64" s="31">
        <v>45757</v>
      </c>
      <c r="G64" s="4">
        <v>4629</v>
      </c>
      <c r="H64" s="4" t="s">
        <v>296</v>
      </c>
      <c r="I64" s="4" t="s">
        <v>297</v>
      </c>
      <c r="J64" s="4" t="s">
        <v>298</v>
      </c>
      <c r="K64" s="4" t="s">
        <v>33</v>
      </c>
      <c r="L64" s="4" t="s">
        <v>227</v>
      </c>
      <c r="M64" s="4" t="s">
        <v>66</v>
      </c>
      <c r="N64" s="4" t="s">
        <v>36</v>
      </c>
      <c r="O64" s="4"/>
      <c r="P64" s="4"/>
      <c r="Q64" s="4" t="s">
        <v>66</v>
      </c>
      <c r="R64" s="34">
        <v>75</v>
      </c>
      <c r="S64" s="37">
        <v>120</v>
      </c>
      <c r="T64" s="59">
        <v>195</v>
      </c>
      <c r="U64" s="36">
        <v>45805</v>
      </c>
      <c r="V64" s="39"/>
      <c r="W64" s="39"/>
    </row>
    <row r="65" spans="1:23" ht="15" hidden="1" thickBot="1">
      <c r="A65" s="4" t="s">
        <v>154</v>
      </c>
      <c r="B65" s="4" t="s">
        <v>155</v>
      </c>
      <c r="C65" s="4">
        <v>616866669</v>
      </c>
      <c r="D65" s="4" t="s">
        <v>156</v>
      </c>
      <c r="E65" s="4" t="s">
        <v>283</v>
      </c>
      <c r="F65" s="31">
        <v>45757</v>
      </c>
      <c r="G65" s="4">
        <v>4630</v>
      </c>
      <c r="H65" s="4" t="s">
        <v>299</v>
      </c>
      <c r="I65" s="4" t="s">
        <v>300</v>
      </c>
      <c r="J65" s="4" t="s">
        <v>165</v>
      </c>
      <c r="K65" s="4" t="s">
        <v>33</v>
      </c>
      <c r="L65" s="4" t="s">
        <v>301</v>
      </c>
      <c r="M65" s="4" t="s">
        <v>71</v>
      </c>
      <c r="N65" s="4" t="s">
        <v>36</v>
      </c>
      <c r="O65" s="4"/>
      <c r="P65" s="4"/>
      <c r="Q65" s="4" t="s">
        <v>71</v>
      </c>
      <c r="R65" s="34">
        <v>75</v>
      </c>
      <c r="S65" s="37">
        <v>120</v>
      </c>
      <c r="T65" s="59">
        <v>195</v>
      </c>
      <c r="U65" s="36">
        <v>45805</v>
      </c>
      <c r="V65" s="39"/>
      <c r="W65" s="39"/>
    </row>
    <row r="66" spans="1:23" ht="15" thickBot="1">
      <c r="A66" s="43" t="s">
        <v>154</v>
      </c>
      <c r="B66" s="43" t="s">
        <v>155</v>
      </c>
      <c r="C66" s="38">
        <v>616866669</v>
      </c>
      <c r="D66" s="43" t="s">
        <v>156</v>
      </c>
      <c r="E66" s="43" t="s">
        <v>283</v>
      </c>
      <c r="F66" s="43" t="s">
        <v>302</v>
      </c>
      <c r="G66" s="43"/>
      <c r="H66" s="43" t="s">
        <v>303</v>
      </c>
      <c r="I66" s="43" t="s">
        <v>304</v>
      </c>
      <c r="J66" s="43" t="s">
        <v>165</v>
      </c>
      <c r="K66" s="43" t="s">
        <v>33</v>
      </c>
      <c r="L66" s="43" t="s">
        <v>305</v>
      </c>
      <c r="M66" s="43"/>
      <c r="N66" s="43" t="s">
        <v>306</v>
      </c>
      <c r="O66" s="43"/>
      <c r="P66" s="43" t="s">
        <v>307</v>
      </c>
      <c r="Q66" s="43"/>
      <c r="R66" s="43"/>
      <c r="S66" s="63"/>
      <c r="T66" s="43"/>
      <c r="U66" s="43"/>
      <c r="V66" s="43"/>
      <c r="W66" s="39" t="s">
        <v>308</v>
      </c>
    </row>
    <row r="67" spans="1:23" ht="15" hidden="1" thickBot="1">
      <c r="A67" s="4" t="s">
        <v>154</v>
      </c>
      <c r="B67" s="4" t="s">
        <v>155</v>
      </c>
      <c r="C67" s="4">
        <v>616866669</v>
      </c>
      <c r="D67" s="4" t="s">
        <v>156</v>
      </c>
      <c r="E67" s="4" t="s">
        <v>283</v>
      </c>
      <c r="F67" s="31">
        <v>45757</v>
      </c>
      <c r="G67" s="4">
        <v>4631</v>
      </c>
      <c r="H67" s="4" t="s">
        <v>309</v>
      </c>
      <c r="I67" s="51" t="s">
        <v>310</v>
      </c>
      <c r="J67" s="4" t="s">
        <v>192</v>
      </c>
      <c r="K67" s="4" t="s">
        <v>33</v>
      </c>
      <c r="L67" s="4" t="s">
        <v>311</v>
      </c>
      <c r="M67" s="4" t="s">
        <v>71</v>
      </c>
      <c r="N67" s="4" t="s">
        <v>36</v>
      </c>
      <c r="O67" s="4"/>
      <c r="P67" s="4"/>
      <c r="Q67" s="4" t="s">
        <v>71</v>
      </c>
      <c r="R67" s="34">
        <v>75</v>
      </c>
      <c r="S67" s="63" t="s">
        <v>282</v>
      </c>
      <c r="T67" s="59">
        <v>230</v>
      </c>
      <c r="U67" s="36">
        <v>45793</v>
      </c>
      <c r="V67" s="39"/>
      <c r="W67" s="39"/>
    </row>
    <row r="68" spans="1:23" ht="15.75" hidden="1" customHeight="1" thickBot="1">
      <c r="A68" s="4" t="s">
        <v>154</v>
      </c>
      <c r="B68" s="4" t="s">
        <v>155</v>
      </c>
      <c r="C68" s="4">
        <v>616866669</v>
      </c>
      <c r="D68" s="4" t="s">
        <v>156</v>
      </c>
      <c r="E68" s="4" t="s">
        <v>283</v>
      </c>
      <c r="F68" s="31">
        <v>45757</v>
      </c>
      <c r="G68" s="4">
        <v>4632</v>
      </c>
      <c r="H68" s="4" t="s">
        <v>312</v>
      </c>
      <c r="I68" s="4" t="s">
        <v>313</v>
      </c>
      <c r="J68" s="4" t="s">
        <v>172</v>
      </c>
      <c r="K68" s="4" t="s">
        <v>48</v>
      </c>
      <c r="L68" s="4" t="s">
        <v>314</v>
      </c>
      <c r="M68" s="4" t="s">
        <v>34</v>
      </c>
      <c r="N68" s="4" t="s">
        <v>36</v>
      </c>
      <c r="O68" s="4"/>
      <c r="P68" s="4" t="s">
        <v>315</v>
      </c>
      <c r="Q68" s="4" t="s">
        <v>34</v>
      </c>
      <c r="R68" s="34">
        <v>75</v>
      </c>
      <c r="S68" s="59"/>
      <c r="T68" s="59">
        <v>75</v>
      </c>
      <c r="U68" s="36">
        <v>45821</v>
      </c>
      <c r="V68" s="39"/>
      <c r="W68" s="39"/>
    </row>
    <row r="69" spans="1:23" ht="29.5" hidden="1" thickBot="1">
      <c r="A69" s="4" t="s">
        <v>154</v>
      </c>
      <c r="B69" s="4" t="s">
        <v>155</v>
      </c>
      <c r="C69" s="4">
        <v>616866669</v>
      </c>
      <c r="D69" s="4" t="s">
        <v>156</v>
      </c>
      <c r="E69" s="4" t="s">
        <v>283</v>
      </c>
      <c r="F69" s="31">
        <v>45757</v>
      </c>
      <c r="G69" s="4">
        <v>4387</v>
      </c>
      <c r="H69" s="4" t="s">
        <v>316</v>
      </c>
      <c r="I69" s="4" t="s">
        <v>317</v>
      </c>
      <c r="J69" s="4" t="s">
        <v>318</v>
      </c>
      <c r="K69" s="4" t="s">
        <v>48</v>
      </c>
      <c r="L69" s="4" t="s">
        <v>319</v>
      </c>
      <c r="M69" s="4" t="s">
        <v>320</v>
      </c>
      <c r="N69" s="4" t="s">
        <v>36</v>
      </c>
      <c r="O69" s="4"/>
      <c r="P69" s="4"/>
      <c r="Q69" s="4" t="s">
        <v>320</v>
      </c>
      <c r="R69" s="34">
        <v>75</v>
      </c>
      <c r="S69" s="4"/>
      <c r="T69" s="59">
        <f>SUM(R69:S69)</f>
        <v>75</v>
      </c>
      <c r="U69" s="36">
        <v>45805</v>
      </c>
      <c r="V69" s="39"/>
      <c r="W69" s="39"/>
    </row>
    <row r="70" spans="1:23" ht="15" hidden="1" thickBot="1">
      <c r="A70" s="4" t="s">
        <v>154</v>
      </c>
      <c r="B70" s="4" t="s">
        <v>155</v>
      </c>
      <c r="C70" s="4">
        <v>616866669</v>
      </c>
      <c r="D70" s="4" t="s">
        <v>156</v>
      </c>
      <c r="E70" s="4" t="s">
        <v>283</v>
      </c>
      <c r="F70" s="31">
        <v>45757</v>
      </c>
      <c r="G70" s="4">
        <v>4633</v>
      </c>
      <c r="H70" s="4" t="s">
        <v>321</v>
      </c>
      <c r="I70" s="4" t="s">
        <v>322</v>
      </c>
      <c r="J70" s="4" t="s">
        <v>165</v>
      </c>
      <c r="K70" s="4" t="s">
        <v>33</v>
      </c>
      <c r="L70" s="4" t="s">
        <v>323</v>
      </c>
      <c r="M70" s="4" t="s">
        <v>66</v>
      </c>
      <c r="N70" s="4" t="s">
        <v>36</v>
      </c>
      <c r="O70" s="4"/>
      <c r="P70" s="4"/>
      <c r="Q70" s="4" t="s">
        <v>324</v>
      </c>
      <c r="R70" s="34">
        <v>75</v>
      </c>
      <c r="S70" s="59">
        <v>320</v>
      </c>
      <c r="T70" s="59">
        <v>395</v>
      </c>
      <c r="U70" s="36">
        <v>45805</v>
      </c>
      <c r="V70" s="39"/>
      <c r="W70" s="39"/>
    </row>
    <row r="71" spans="1:23" ht="15" hidden="1" thickBot="1">
      <c r="A71" s="4" t="s">
        <v>154</v>
      </c>
      <c r="B71" s="4" t="s">
        <v>155</v>
      </c>
      <c r="C71" s="4">
        <v>616866669</v>
      </c>
      <c r="D71" s="4" t="s">
        <v>156</v>
      </c>
      <c r="E71" s="4" t="s">
        <v>283</v>
      </c>
      <c r="F71" s="31">
        <v>45757</v>
      </c>
      <c r="G71" s="4">
        <v>4634</v>
      </c>
      <c r="H71" s="4" t="s">
        <v>325</v>
      </c>
      <c r="I71" s="4" t="s">
        <v>326</v>
      </c>
      <c r="J71" s="4" t="s">
        <v>165</v>
      </c>
      <c r="K71" s="4" t="s">
        <v>33</v>
      </c>
      <c r="L71" s="4" t="s">
        <v>327</v>
      </c>
      <c r="M71" s="4" t="s">
        <v>328</v>
      </c>
      <c r="N71" s="4" t="s">
        <v>36</v>
      </c>
      <c r="O71" s="4"/>
      <c r="P71" s="4"/>
      <c r="Q71" s="4" t="s">
        <v>328</v>
      </c>
      <c r="R71" s="34">
        <v>75</v>
      </c>
      <c r="S71" s="59">
        <v>535</v>
      </c>
      <c r="T71" s="59">
        <v>610</v>
      </c>
      <c r="U71" s="36">
        <v>45814</v>
      </c>
      <c r="V71" s="39"/>
      <c r="W71" s="39"/>
    </row>
    <row r="72" spans="1:23" ht="15" hidden="1" thickBot="1">
      <c r="A72" s="4" t="s">
        <v>154</v>
      </c>
      <c r="B72" s="4" t="s">
        <v>155</v>
      </c>
      <c r="C72" s="4">
        <v>616866669</v>
      </c>
      <c r="D72" s="4" t="s">
        <v>156</v>
      </c>
      <c r="E72" s="4" t="s">
        <v>283</v>
      </c>
      <c r="F72" s="31">
        <v>45757</v>
      </c>
      <c r="G72" s="4">
        <v>4635</v>
      </c>
      <c r="H72" s="4" t="s">
        <v>329</v>
      </c>
      <c r="I72" s="4" t="s">
        <v>330</v>
      </c>
      <c r="J72" s="4" t="s">
        <v>165</v>
      </c>
      <c r="K72" s="4" t="s">
        <v>33</v>
      </c>
      <c r="L72" s="4" t="s">
        <v>319</v>
      </c>
      <c r="M72" s="4" t="s">
        <v>331</v>
      </c>
      <c r="N72" s="4" t="s">
        <v>36</v>
      </c>
      <c r="O72" s="4"/>
      <c r="P72" s="4"/>
      <c r="Q72" s="4" t="s">
        <v>332</v>
      </c>
      <c r="R72" s="34">
        <v>75</v>
      </c>
      <c r="S72" s="59">
        <v>215</v>
      </c>
      <c r="T72" s="59">
        <v>260</v>
      </c>
      <c r="U72" s="36">
        <v>45814</v>
      </c>
      <c r="V72" s="39"/>
      <c r="W72" s="39"/>
    </row>
    <row r="73" spans="1:23" ht="15" hidden="1" thickBot="1">
      <c r="A73" s="4" t="s">
        <v>154</v>
      </c>
      <c r="B73" s="4" t="s">
        <v>155</v>
      </c>
      <c r="C73" s="4">
        <v>616866669</v>
      </c>
      <c r="D73" s="4" t="s">
        <v>156</v>
      </c>
      <c r="E73" s="4" t="s">
        <v>283</v>
      </c>
      <c r="F73" s="31">
        <v>45757</v>
      </c>
      <c r="G73" s="4">
        <v>4636</v>
      </c>
      <c r="H73" s="4" t="s">
        <v>333</v>
      </c>
      <c r="I73" s="4" t="s">
        <v>334</v>
      </c>
      <c r="J73" s="4" t="s">
        <v>165</v>
      </c>
      <c r="K73" s="4" t="s">
        <v>33</v>
      </c>
      <c r="L73" s="4" t="s">
        <v>335</v>
      </c>
      <c r="M73" s="4" t="s">
        <v>55</v>
      </c>
      <c r="N73" s="4" t="s">
        <v>36</v>
      </c>
      <c r="O73" s="4"/>
      <c r="P73" s="4"/>
      <c r="Q73" s="4" t="s">
        <v>55</v>
      </c>
      <c r="R73" s="34">
        <v>75</v>
      </c>
      <c r="S73" s="59">
        <v>163.75</v>
      </c>
      <c r="T73" s="59">
        <v>238.75</v>
      </c>
      <c r="U73" s="36">
        <v>45814</v>
      </c>
      <c r="V73" s="39"/>
      <c r="W73" s="39"/>
    </row>
    <row r="74" spans="1:23" ht="15" hidden="1" thickBot="1">
      <c r="A74" s="4" t="s">
        <v>154</v>
      </c>
      <c r="B74" s="4" t="s">
        <v>155</v>
      </c>
      <c r="C74" s="4">
        <v>616866669</v>
      </c>
      <c r="D74" s="4" t="s">
        <v>156</v>
      </c>
      <c r="E74" s="4" t="s">
        <v>283</v>
      </c>
      <c r="F74" s="31">
        <v>45757</v>
      </c>
      <c r="G74" s="4">
        <v>4637</v>
      </c>
      <c r="H74" s="4" t="s">
        <v>336</v>
      </c>
      <c r="I74" s="4" t="s">
        <v>337</v>
      </c>
      <c r="J74" s="4" t="s">
        <v>160</v>
      </c>
      <c r="K74" s="4" t="s">
        <v>33</v>
      </c>
      <c r="L74" s="4" t="s">
        <v>338</v>
      </c>
      <c r="M74" s="4" t="s">
        <v>66</v>
      </c>
      <c r="N74" s="4" t="s">
        <v>36</v>
      </c>
      <c r="O74" s="4"/>
      <c r="P74" s="4"/>
      <c r="Q74" s="4" t="s">
        <v>66</v>
      </c>
      <c r="R74" s="34">
        <v>75</v>
      </c>
      <c r="S74" s="59">
        <v>120</v>
      </c>
      <c r="T74" s="59">
        <v>195</v>
      </c>
      <c r="U74" s="36">
        <v>45805</v>
      </c>
      <c r="V74" s="39"/>
      <c r="W74" s="39"/>
    </row>
    <row r="75" spans="1:23" ht="15" hidden="1" thickBot="1">
      <c r="A75" s="4" t="s">
        <v>154</v>
      </c>
      <c r="B75" s="4" t="s">
        <v>155</v>
      </c>
      <c r="C75" s="4">
        <v>616866669</v>
      </c>
      <c r="D75" s="4" t="s">
        <v>156</v>
      </c>
      <c r="E75" s="4" t="s">
        <v>283</v>
      </c>
      <c r="F75" s="31">
        <v>45757</v>
      </c>
      <c r="G75" s="4">
        <v>4638</v>
      </c>
      <c r="H75" s="4" t="s">
        <v>339</v>
      </c>
      <c r="I75" s="4" t="s">
        <v>340</v>
      </c>
      <c r="J75" s="4" t="s">
        <v>165</v>
      </c>
      <c r="K75" s="4" t="s">
        <v>33</v>
      </c>
      <c r="L75" s="4" t="s">
        <v>341</v>
      </c>
      <c r="M75" s="4" t="s">
        <v>342</v>
      </c>
      <c r="N75" s="4" t="s">
        <v>36</v>
      </c>
      <c r="O75" s="4"/>
      <c r="P75" s="4"/>
      <c r="Q75" s="4" t="s">
        <v>342</v>
      </c>
      <c r="R75" s="34">
        <v>75</v>
      </c>
      <c r="S75" s="59">
        <v>115</v>
      </c>
      <c r="T75" s="59">
        <v>160</v>
      </c>
      <c r="U75" s="36">
        <v>45814</v>
      </c>
      <c r="V75" s="39"/>
      <c r="W75" s="39"/>
    </row>
    <row r="76" spans="1:23" ht="15" hidden="1" thickBot="1">
      <c r="A76" s="4" t="s">
        <v>154</v>
      </c>
      <c r="B76" s="4" t="s">
        <v>155</v>
      </c>
      <c r="C76" s="4">
        <v>616866669</v>
      </c>
      <c r="D76" s="4" t="s">
        <v>156</v>
      </c>
      <c r="E76" s="4" t="s">
        <v>283</v>
      </c>
      <c r="F76" s="31">
        <v>45757</v>
      </c>
      <c r="G76" s="4">
        <v>4639</v>
      </c>
      <c r="H76" s="4" t="s">
        <v>343</v>
      </c>
      <c r="I76" s="4" t="s">
        <v>344</v>
      </c>
      <c r="J76" s="4" t="s">
        <v>345</v>
      </c>
      <c r="K76" s="4" t="s">
        <v>48</v>
      </c>
      <c r="L76" s="4" t="s">
        <v>346</v>
      </c>
      <c r="M76" s="4" t="s">
        <v>55</v>
      </c>
      <c r="N76" s="4" t="s">
        <v>36</v>
      </c>
      <c r="O76" s="4"/>
      <c r="P76" s="4" t="s">
        <v>347</v>
      </c>
      <c r="Q76" s="4" t="s">
        <v>348</v>
      </c>
      <c r="R76" s="34">
        <v>75</v>
      </c>
      <c r="S76" s="59"/>
      <c r="T76" s="59">
        <v>75</v>
      </c>
      <c r="U76" s="36">
        <v>45821</v>
      </c>
      <c r="V76" s="39"/>
      <c r="W76" s="39"/>
    </row>
    <row r="77" spans="1:23" ht="15" hidden="1" thickBot="1">
      <c r="A77" s="4" t="s">
        <v>154</v>
      </c>
      <c r="B77" s="4" t="s">
        <v>155</v>
      </c>
      <c r="C77" s="4">
        <v>616866669</v>
      </c>
      <c r="D77" s="4" t="s">
        <v>156</v>
      </c>
      <c r="E77" s="4" t="s">
        <v>283</v>
      </c>
      <c r="F77" s="31">
        <v>45757</v>
      </c>
      <c r="G77" s="4">
        <v>4640</v>
      </c>
      <c r="H77" s="4" t="s">
        <v>349</v>
      </c>
      <c r="I77" s="4" t="s">
        <v>350</v>
      </c>
      <c r="J77" s="4" t="s">
        <v>165</v>
      </c>
      <c r="K77" s="4" t="s">
        <v>33</v>
      </c>
      <c r="L77" s="4" t="s">
        <v>351</v>
      </c>
      <c r="M77" s="4" t="s">
        <v>352</v>
      </c>
      <c r="N77" s="4" t="s">
        <v>36</v>
      </c>
      <c r="O77" s="4"/>
      <c r="P77" s="4" t="s">
        <v>262</v>
      </c>
      <c r="Q77" s="4" t="s">
        <v>352</v>
      </c>
      <c r="R77" s="34">
        <v>75</v>
      </c>
      <c r="S77" s="59">
        <v>78.5</v>
      </c>
      <c r="T77" s="59">
        <v>153.5</v>
      </c>
      <c r="U77" s="36">
        <v>45821</v>
      </c>
      <c r="V77" s="39"/>
      <c r="W77" s="39"/>
    </row>
    <row r="78" spans="1:23" ht="15" hidden="1" thickBot="1">
      <c r="A78" s="4" t="s">
        <v>154</v>
      </c>
      <c r="B78" s="4" t="s">
        <v>155</v>
      </c>
      <c r="C78" s="4">
        <v>616866669</v>
      </c>
      <c r="D78" s="4" t="s">
        <v>156</v>
      </c>
      <c r="E78" s="4" t="s">
        <v>283</v>
      </c>
      <c r="F78" s="31">
        <v>45757</v>
      </c>
      <c r="G78" s="4">
        <v>4641</v>
      </c>
      <c r="H78" s="4" t="s">
        <v>353</v>
      </c>
      <c r="I78" s="4" t="s">
        <v>354</v>
      </c>
      <c r="J78" s="4" t="s">
        <v>165</v>
      </c>
      <c r="K78" s="4" t="s">
        <v>33</v>
      </c>
      <c r="L78" s="4" t="s">
        <v>355</v>
      </c>
      <c r="M78" s="4" t="s">
        <v>66</v>
      </c>
      <c r="N78" s="4" t="s">
        <v>36</v>
      </c>
      <c r="O78" s="4"/>
      <c r="P78" s="4" t="s">
        <v>356</v>
      </c>
      <c r="Q78" s="4" t="s">
        <v>357</v>
      </c>
      <c r="R78" s="34">
        <v>75</v>
      </c>
      <c r="S78" s="59">
        <v>120</v>
      </c>
      <c r="T78" s="59">
        <v>195</v>
      </c>
      <c r="U78" s="36">
        <v>45805</v>
      </c>
      <c r="V78" s="39"/>
      <c r="W78" s="39"/>
    </row>
    <row r="79" spans="1:23" ht="15" hidden="1" customHeight="1" thickBot="1">
      <c r="A79" s="4" t="s">
        <v>154</v>
      </c>
      <c r="B79" s="4" t="s">
        <v>155</v>
      </c>
      <c r="C79" s="4">
        <v>616866669</v>
      </c>
      <c r="D79" s="4" t="s">
        <v>156</v>
      </c>
      <c r="E79" s="4" t="s">
        <v>283</v>
      </c>
      <c r="F79" s="31">
        <v>45757</v>
      </c>
      <c r="G79" s="4">
        <v>4642</v>
      </c>
      <c r="H79" s="4" t="s">
        <v>358</v>
      </c>
      <c r="I79" s="4" t="s">
        <v>359</v>
      </c>
      <c r="J79" s="4" t="s">
        <v>298</v>
      </c>
      <c r="K79" s="4" t="s">
        <v>33</v>
      </c>
      <c r="L79" s="4" t="s">
        <v>360</v>
      </c>
      <c r="M79" s="4" t="s">
        <v>66</v>
      </c>
      <c r="N79" s="4" t="s">
        <v>36</v>
      </c>
      <c r="O79" s="4"/>
      <c r="P79" s="4"/>
      <c r="Q79" s="4" t="s">
        <v>361</v>
      </c>
      <c r="R79" s="34">
        <v>75</v>
      </c>
      <c r="S79" s="59">
        <v>778.75</v>
      </c>
      <c r="T79" s="59">
        <v>853.75</v>
      </c>
      <c r="U79" s="36">
        <v>45814</v>
      </c>
      <c r="V79" s="39"/>
      <c r="W79" s="39"/>
    </row>
    <row r="80" spans="1:23" ht="15" hidden="1" thickBot="1">
      <c r="A80" s="4" t="s">
        <v>154</v>
      </c>
      <c r="B80" s="4" t="s">
        <v>155</v>
      </c>
      <c r="C80" s="4">
        <v>616866669</v>
      </c>
      <c r="D80" s="4" t="s">
        <v>156</v>
      </c>
      <c r="E80" s="4" t="s">
        <v>283</v>
      </c>
      <c r="F80" s="31">
        <v>45757</v>
      </c>
      <c r="G80" s="4">
        <v>4643</v>
      </c>
      <c r="H80" s="4" t="s">
        <v>362</v>
      </c>
      <c r="I80" s="70" t="s">
        <v>363</v>
      </c>
      <c r="J80" s="4" t="s">
        <v>165</v>
      </c>
      <c r="K80" s="4" t="s">
        <v>33</v>
      </c>
      <c r="L80" s="4" t="s">
        <v>364</v>
      </c>
      <c r="M80" s="4" t="s">
        <v>365</v>
      </c>
      <c r="N80" s="4" t="s">
        <v>36</v>
      </c>
      <c r="O80" s="4"/>
      <c r="P80" s="4" t="s">
        <v>366</v>
      </c>
      <c r="Q80" s="4" t="s">
        <v>367</v>
      </c>
      <c r="R80" s="34">
        <v>75</v>
      </c>
      <c r="S80" s="59">
        <v>335</v>
      </c>
      <c r="T80" s="59">
        <v>410</v>
      </c>
      <c r="U80" s="36">
        <v>45898</v>
      </c>
      <c r="V80" s="39"/>
      <c r="W80" s="39" t="s">
        <v>169</v>
      </c>
    </row>
    <row r="81" spans="1:23" ht="15" hidden="1" thickBot="1">
      <c r="A81" s="4" t="s">
        <v>25</v>
      </c>
      <c r="B81" s="4" t="s">
        <v>26</v>
      </c>
      <c r="C81" s="4" t="s">
        <v>27</v>
      </c>
      <c r="D81" s="4" t="s">
        <v>28</v>
      </c>
      <c r="E81" s="4" t="s">
        <v>195</v>
      </c>
      <c r="F81" s="31">
        <v>45757</v>
      </c>
      <c r="G81" s="4">
        <v>4644</v>
      </c>
      <c r="H81" s="4" t="s">
        <v>368</v>
      </c>
      <c r="I81" s="4" t="s">
        <v>369</v>
      </c>
      <c r="J81" s="4" t="s">
        <v>201</v>
      </c>
      <c r="K81" s="4" t="s">
        <v>48</v>
      </c>
      <c r="L81" s="4" t="s">
        <v>351</v>
      </c>
      <c r="M81" s="4" t="s">
        <v>352</v>
      </c>
      <c r="N81" s="4" t="s">
        <v>36</v>
      </c>
      <c r="O81" s="4"/>
      <c r="P81" s="4" t="s">
        <v>262</v>
      </c>
      <c r="Q81" s="4" t="s">
        <v>352</v>
      </c>
      <c r="R81" s="34">
        <v>75</v>
      </c>
      <c r="S81" s="59">
        <v>119</v>
      </c>
      <c r="T81" s="59">
        <v>194</v>
      </c>
      <c r="U81" s="36">
        <v>45821</v>
      </c>
      <c r="V81" s="39"/>
      <c r="W81" s="39"/>
    </row>
    <row r="82" spans="1:23" ht="15" hidden="1" thickBot="1">
      <c r="A82" s="4" t="s">
        <v>25</v>
      </c>
      <c r="B82" s="4" t="s">
        <v>26</v>
      </c>
      <c r="C82" s="4" t="s">
        <v>27</v>
      </c>
      <c r="D82" s="4" t="s">
        <v>28</v>
      </c>
      <c r="E82" s="4" t="s">
        <v>195</v>
      </c>
      <c r="F82" s="31">
        <v>45757</v>
      </c>
      <c r="G82" s="4">
        <v>4645</v>
      </c>
      <c r="H82" s="4" t="s">
        <v>370</v>
      </c>
      <c r="I82" s="4" t="s">
        <v>371</v>
      </c>
      <c r="J82" s="4" t="s">
        <v>160</v>
      </c>
      <c r="K82" s="4" t="s">
        <v>33</v>
      </c>
      <c r="L82" s="4" t="s">
        <v>241</v>
      </c>
      <c r="M82" s="4" t="s">
        <v>55</v>
      </c>
      <c r="N82" s="4" t="s">
        <v>36</v>
      </c>
      <c r="O82" s="4"/>
      <c r="P82" s="4"/>
      <c r="Q82" s="4" t="s">
        <v>55</v>
      </c>
      <c r="R82" s="34">
        <v>75</v>
      </c>
      <c r="S82" s="59">
        <v>335</v>
      </c>
      <c r="T82" s="59">
        <f t="shared" ref="T82" si="3">SUM(R82:S82)</f>
        <v>410</v>
      </c>
      <c r="U82" s="36">
        <v>45805</v>
      </c>
      <c r="V82" s="39"/>
      <c r="W82" s="39"/>
    </row>
    <row r="83" spans="1:23" ht="15" hidden="1" thickBot="1">
      <c r="A83" s="4" t="s">
        <v>25</v>
      </c>
      <c r="B83" s="4" t="s">
        <v>26</v>
      </c>
      <c r="C83" s="4" t="s">
        <v>27</v>
      </c>
      <c r="D83" s="4" t="s">
        <v>28</v>
      </c>
      <c r="E83" s="4" t="s">
        <v>195</v>
      </c>
      <c r="F83" s="31">
        <v>45757</v>
      </c>
      <c r="G83" s="4">
        <v>4646</v>
      </c>
      <c r="H83" s="4" t="s">
        <v>372</v>
      </c>
      <c r="I83" s="4" t="s">
        <v>373</v>
      </c>
      <c r="J83" s="4" t="s">
        <v>374</v>
      </c>
      <c r="K83" s="4" t="s">
        <v>33</v>
      </c>
      <c r="L83" s="4" t="s">
        <v>375</v>
      </c>
      <c r="M83" s="4" t="s">
        <v>376</v>
      </c>
      <c r="N83" s="4" t="s">
        <v>36</v>
      </c>
      <c r="O83" s="4"/>
      <c r="P83" s="4"/>
      <c r="Q83" s="4" t="s">
        <v>376</v>
      </c>
      <c r="R83" s="34">
        <v>75</v>
      </c>
      <c r="S83" s="59">
        <v>220</v>
      </c>
      <c r="T83" s="59">
        <v>295</v>
      </c>
      <c r="U83" s="36">
        <v>45805</v>
      </c>
      <c r="V83" s="39"/>
      <c r="W83" s="39"/>
    </row>
    <row r="84" spans="1:23" ht="15" hidden="1" thickBot="1">
      <c r="A84" s="4" t="s">
        <v>25</v>
      </c>
      <c r="B84" s="4" t="s">
        <v>26</v>
      </c>
      <c r="C84" s="4" t="s">
        <v>27</v>
      </c>
      <c r="D84" s="4" t="s">
        <v>28</v>
      </c>
      <c r="E84" s="4" t="s">
        <v>195</v>
      </c>
      <c r="F84" s="31">
        <v>45757</v>
      </c>
      <c r="G84" s="4">
        <v>4647</v>
      </c>
      <c r="H84" s="4" t="s">
        <v>377</v>
      </c>
      <c r="I84" s="4" t="s">
        <v>378</v>
      </c>
      <c r="J84" s="4" t="s">
        <v>379</v>
      </c>
      <c r="K84" s="4" t="s">
        <v>48</v>
      </c>
      <c r="L84" s="4" t="s">
        <v>241</v>
      </c>
      <c r="M84" s="4" t="s">
        <v>55</v>
      </c>
      <c r="N84" s="4" t="s">
        <v>36</v>
      </c>
      <c r="O84" s="4"/>
      <c r="P84" s="4"/>
      <c r="Q84" s="4" t="s">
        <v>55</v>
      </c>
      <c r="R84" s="34">
        <v>75</v>
      </c>
      <c r="S84" s="4"/>
      <c r="T84" s="59">
        <f>SUM(R84:S84)</f>
        <v>75</v>
      </c>
      <c r="U84" s="36">
        <v>45805</v>
      </c>
      <c r="V84" s="39"/>
      <c r="W84" s="39"/>
    </row>
    <row r="85" spans="1:23" ht="15" hidden="1" thickBot="1">
      <c r="A85" s="4" t="s">
        <v>25</v>
      </c>
      <c r="B85" s="4" t="s">
        <v>26</v>
      </c>
      <c r="C85" s="4" t="s">
        <v>27</v>
      </c>
      <c r="D85" s="4" t="s">
        <v>28</v>
      </c>
      <c r="E85" s="4" t="s">
        <v>195</v>
      </c>
      <c r="F85" s="31">
        <v>45757</v>
      </c>
      <c r="G85" s="4">
        <v>4648</v>
      </c>
      <c r="H85" s="4" t="s">
        <v>380</v>
      </c>
      <c r="I85" s="4" t="s">
        <v>381</v>
      </c>
      <c r="J85" s="4" t="s">
        <v>382</v>
      </c>
      <c r="K85" s="4" t="s">
        <v>33</v>
      </c>
      <c r="L85" s="4" t="s">
        <v>383</v>
      </c>
      <c r="M85" s="4" t="s">
        <v>384</v>
      </c>
      <c r="N85" s="4" t="s">
        <v>36</v>
      </c>
      <c r="O85" s="4"/>
      <c r="P85" s="4"/>
      <c r="Q85" s="4" t="s">
        <v>385</v>
      </c>
      <c r="R85" s="34">
        <v>75</v>
      </c>
      <c r="S85" s="59">
        <v>115</v>
      </c>
      <c r="T85" s="59">
        <v>180</v>
      </c>
      <c r="U85" s="36">
        <v>45805</v>
      </c>
      <c r="V85" s="39"/>
      <c r="W85" s="39"/>
    </row>
    <row r="86" spans="1:23" ht="15" hidden="1" thickBot="1">
      <c r="A86" s="4" t="s">
        <v>25</v>
      </c>
      <c r="B86" s="4" t="s">
        <v>26</v>
      </c>
      <c r="C86" s="4" t="s">
        <v>27</v>
      </c>
      <c r="D86" s="4" t="s">
        <v>28</v>
      </c>
      <c r="E86" s="4" t="s">
        <v>195</v>
      </c>
      <c r="F86" s="31">
        <v>45757</v>
      </c>
      <c r="G86" s="4">
        <v>4649</v>
      </c>
      <c r="H86" s="4" t="s">
        <v>386</v>
      </c>
      <c r="I86" s="4" t="s">
        <v>387</v>
      </c>
      <c r="J86" s="4" t="s">
        <v>382</v>
      </c>
      <c r="K86" s="4" t="s">
        <v>33</v>
      </c>
      <c r="L86" s="4" t="s">
        <v>213</v>
      </c>
      <c r="M86" s="4" t="s">
        <v>55</v>
      </c>
      <c r="N86" s="4" t="s">
        <v>36</v>
      </c>
      <c r="O86" s="4"/>
      <c r="P86" s="4" t="s">
        <v>267</v>
      </c>
      <c r="Q86" s="4" t="s">
        <v>55</v>
      </c>
      <c r="R86" s="34">
        <v>75</v>
      </c>
      <c r="S86" s="59">
        <v>106.61</v>
      </c>
      <c r="T86" s="37">
        <v>181.61</v>
      </c>
      <c r="U86" s="36">
        <v>45821</v>
      </c>
      <c r="V86" s="39"/>
      <c r="W86" s="39"/>
    </row>
    <row r="87" spans="1:23" ht="15" hidden="1" thickBot="1">
      <c r="A87" s="4" t="s">
        <v>25</v>
      </c>
      <c r="B87" s="4" t="s">
        <v>26</v>
      </c>
      <c r="C87" s="4" t="s">
        <v>27</v>
      </c>
      <c r="D87" s="4" t="s">
        <v>28</v>
      </c>
      <c r="E87" s="4" t="s">
        <v>195</v>
      </c>
      <c r="F87" s="31">
        <v>45757</v>
      </c>
      <c r="G87" s="4">
        <v>4650</v>
      </c>
      <c r="H87" s="4" t="s">
        <v>388</v>
      </c>
      <c r="I87" s="4" t="s">
        <v>389</v>
      </c>
      <c r="J87" s="4" t="s">
        <v>382</v>
      </c>
      <c r="K87" s="4" t="s">
        <v>33</v>
      </c>
      <c r="L87" s="4" t="s">
        <v>213</v>
      </c>
      <c r="M87" s="4" t="s">
        <v>390</v>
      </c>
      <c r="N87" s="4" t="s">
        <v>36</v>
      </c>
      <c r="O87" s="4"/>
      <c r="P87" s="4"/>
      <c r="Q87" s="4" t="s">
        <v>390</v>
      </c>
      <c r="R87" s="34">
        <v>75</v>
      </c>
      <c r="S87" s="59">
        <v>283.75</v>
      </c>
      <c r="T87" s="59">
        <v>358.75</v>
      </c>
      <c r="U87" s="36">
        <v>45805</v>
      </c>
      <c r="V87" s="39"/>
      <c r="W87" s="39"/>
    </row>
    <row r="88" spans="1:23" ht="15" hidden="1" thickBot="1">
      <c r="A88" s="4" t="s">
        <v>25</v>
      </c>
      <c r="B88" s="4" t="s">
        <v>26</v>
      </c>
      <c r="C88" s="4" t="s">
        <v>27</v>
      </c>
      <c r="D88" s="4" t="s">
        <v>28</v>
      </c>
      <c r="E88" s="4" t="s">
        <v>195</v>
      </c>
      <c r="F88" s="31">
        <v>45757</v>
      </c>
      <c r="G88" s="4">
        <v>4651</v>
      </c>
      <c r="H88" s="4" t="s">
        <v>391</v>
      </c>
      <c r="I88" s="4" t="s">
        <v>392</v>
      </c>
      <c r="J88" s="4" t="s">
        <v>345</v>
      </c>
      <c r="K88" s="4" t="s">
        <v>48</v>
      </c>
      <c r="L88" s="4" t="s">
        <v>393</v>
      </c>
      <c r="M88" s="4" t="s">
        <v>66</v>
      </c>
      <c r="N88" s="4" t="s">
        <v>36</v>
      </c>
      <c r="O88" s="4"/>
      <c r="P88" s="4"/>
      <c r="Q88" s="4" t="s">
        <v>66</v>
      </c>
      <c r="R88" s="34">
        <v>75</v>
      </c>
      <c r="S88" s="4"/>
      <c r="T88" s="59">
        <f>SUM(R88:S88)</f>
        <v>75</v>
      </c>
      <c r="U88" s="36">
        <v>45805</v>
      </c>
      <c r="V88" s="39"/>
      <c r="W88" s="39"/>
    </row>
    <row r="89" spans="1:23" ht="19.5" hidden="1" customHeight="1" thickBot="1">
      <c r="A89" s="4" t="s">
        <v>25</v>
      </c>
      <c r="B89" s="4" t="s">
        <v>26</v>
      </c>
      <c r="C89" s="4" t="s">
        <v>27</v>
      </c>
      <c r="D89" s="64" t="s">
        <v>28</v>
      </c>
      <c r="E89" s="4" t="s">
        <v>195</v>
      </c>
      <c r="F89" s="31">
        <v>45839</v>
      </c>
      <c r="G89" s="4" t="s">
        <v>394</v>
      </c>
      <c r="H89" s="4" t="s">
        <v>395</v>
      </c>
      <c r="I89" s="4" t="s">
        <v>396</v>
      </c>
      <c r="J89" s="4" t="s">
        <v>397</v>
      </c>
      <c r="K89" s="4" t="s">
        <v>48</v>
      </c>
      <c r="L89" s="4" t="s">
        <v>210</v>
      </c>
      <c r="M89" s="4" t="s">
        <v>194</v>
      </c>
      <c r="N89" s="4" t="s">
        <v>36</v>
      </c>
      <c r="O89" s="4"/>
      <c r="P89" s="4" t="s">
        <v>398</v>
      </c>
      <c r="Q89" s="4" t="s">
        <v>194</v>
      </c>
      <c r="R89" s="34">
        <v>75</v>
      </c>
      <c r="S89" s="4"/>
      <c r="T89" s="59">
        <f>SUM(R89:S89)</f>
        <v>75</v>
      </c>
      <c r="U89" s="36">
        <v>45805</v>
      </c>
      <c r="V89" s="39"/>
      <c r="W89" s="39" t="s">
        <v>399</v>
      </c>
    </row>
    <row r="90" spans="1:23" ht="15" hidden="1" thickBot="1">
      <c r="A90" s="4" t="s">
        <v>25</v>
      </c>
      <c r="B90" s="4" t="s">
        <v>26</v>
      </c>
      <c r="C90" s="4" t="s">
        <v>27</v>
      </c>
      <c r="D90" s="4" t="s">
        <v>28</v>
      </c>
      <c r="E90" s="4" t="s">
        <v>195</v>
      </c>
      <c r="F90" s="31">
        <v>45757</v>
      </c>
      <c r="G90" s="4">
        <v>4653</v>
      </c>
      <c r="H90" s="4" t="s">
        <v>400</v>
      </c>
      <c r="I90" s="4" t="s">
        <v>401</v>
      </c>
      <c r="J90" s="4" t="s">
        <v>160</v>
      </c>
      <c r="K90" s="4" t="s">
        <v>33</v>
      </c>
      <c r="L90" s="4" t="s">
        <v>402</v>
      </c>
      <c r="M90" s="4" t="s">
        <v>55</v>
      </c>
      <c r="N90" s="4" t="s">
        <v>36</v>
      </c>
      <c r="O90" s="4"/>
      <c r="P90" s="4" t="s">
        <v>262</v>
      </c>
      <c r="Q90" s="4" t="s">
        <v>55</v>
      </c>
      <c r="R90" s="34">
        <v>75</v>
      </c>
      <c r="S90" s="59">
        <v>132</v>
      </c>
      <c r="T90" s="37">
        <v>207</v>
      </c>
      <c r="U90" s="36">
        <v>45821</v>
      </c>
      <c r="V90" s="39"/>
      <c r="W90" s="39"/>
    </row>
    <row r="91" spans="1:23" ht="15" hidden="1" thickBot="1">
      <c r="A91" s="4" t="s">
        <v>25</v>
      </c>
      <c r="B91" s="4" t="s">
        <v>26</v>
      </c>
      <c r="C91" s="4" t="s">
        <v>27</v>
      </c>
      <c r="D91" s="4" t="s">
        <v>28</v>
      </c>
      <c r="E91" s="4" t="s">
        <v>29</v>
      </c>
      <c r="F91" s="31">
        <v>45761</v>
      </c>
      <c r="G91" s="4">
        <v>4654</v>
      </c>
      <c r="H91" s="4" t="s">
        <v>403</v>
      </c>
      <c r="I91" s="4" t="s">
        <v>404</v>
      </c>
      <c r="J91" s="4" t="s">
        <v>115</v>
      </c>
      <c r="K91" s="4" t="s">
        <v>33</v>
      </c>
      <c r="L91" s="4" t="s">
        <v>405</v>
      </c>
      <c r="M91" s="4" t="s">
        <v>406</v>
      </c>
      <c r="N91" s="4" t="s">
        <v>36</v>
      </c>
      <c r="O91" s="4"/>
      <c r="P91" s="4"/>
      <c r="Q91" s="4" t="s">
        <v>407</v>
      </c>
      <c r="R91" s="34">
        <v>75</v>
      </c>
      <c r="S91" s="59">
        <v>243.75</v>
      </c>
      <c r="T91" s="59">
        <v>318.75</v>
      </c>
      <c r="U91" s="36">
        <v>45814</v>
      </c>
      <c r="V91" s="39"/>
      <c r="W91" s="39"/>
    </row>
    <row r="92" spans="1:23" ht="15" hidden="1" thickBot="1">
      <c r="A92" s="4" t="s">
        <v>25</v>
      </c>
      <c r="B92" s="4" t="s">
        <v>26</v>
      </c>
      <c r="C92" s="4" t="s">
        <v>27</v>
      </c>
      <c r="D92" s="64" t="s">
        <v>28</v>
      </c>
      <c r="E92" s="4" t="s">
        <v>29</v>
      </c>
      <c r="F92" s="31">
        <v>45761</v>
      </c>
      <c r="G92" s="4">
        <v>4656</v>
      </c>
      <c r="H92" s="4" t="s">
        <v>408</v>
      </c>
      <c r="I92" s="4" t="s">
        <v>409</v>
      </c>
      <c r="J92" s="4" t="s">
        <v>115</v>
      </c>
      <c r="K92" s="4" t="s">
        <v>33</v>
      </c>
      <c r="L92" s="4" t="s">
        <v>405</v>
      </c>
      <c r="M92" s="4" t="s">
        <v>55</v>
      </c>
      <c r="N92" s="4" t="s">
        <v>36</v>
      </c>
      <c r="O92" s="4"/>
      <c r="P92" s="4"/>
      <c r="Q92" s="4" t="s">
        <v>55</v>
      </c>
      <c r="R92" s="34">
        <v>75</v>
      </c>
      <c r="S92" s="59">
        <v>163.75</v>
      </c>
      <c r="T92" s="59">
        <v>238.75</v>
      </c>
      <c r="U92" s="36">
        <v>45805</v>
      </c>
      <c r="V92" s="39"/>
      <c r="W92" s="39"/>
    </row>
    <row r="93" spans="1:23" ht="15" hidden="1" thickBot="1">
      <c r="A93" s="4" t="s">
        <v>25</v>
      </c>
      <c r="B93" s="4" t="s">
        <v>26</v>
      </c>
      <c r="C93" s="4" t="s">
        <v>27</v>
      </c>
      <c r="D93" s="4" t="s">
        <v>28</v>
      </c>
      <c r="E93" s="4" t="s">
        <v>29</v>
      </c>
      <c r="F93" s="31">
        <v>45761</v>
      </c>
      <c r="G93" s="4">
        <v>4657</v>
      </c>
      <c r="H93" s="4" t="s">
        <v>410</v>
      </c>
      <c r="I93" s="4" t="s">
        <v>411</v>
      </c>
      <c r="J93" s="4" t="s">
        <v>115</v>
      </c>
      <c r="K93" s="4" t="s">
        <v>33</v>
      </c>
      <c r="L93" s="4" t="s">
        <v>412</v>
      </c>
      <c r="M93" s="4" t="s">
        <v>194</v>
      </c>
      <c r="N93" s="4" t="s">
        <v>36</v>
      </c>
      <c r="O93" s="4"/>
      <c r="P93" s="4" t="s">
        <v>413</v>
      </c>
      <c r="Q93" s="4" t="s">
        <v>194</v>
      </c>
      <c r="R93" s="34">
        <v>75</v>
      </c>
      <c r="S93" s="59">
        <v>52</v>
      </c>
      <c r="T93" s="59">
        <v>127</v>
      </c>
      <c r="U93" s="36">
        <v>45821</v>
      </c>
      <c r="V93" s="39"/>
      <c r="W93" s="39"/>
    </row>
    <row r="94" spans="1:23" ht="15" hidden="1" thickBot="1">
      <c r="A94" s="4" t="s">
        <v>25</v>
      </c>
      <c r="B94" s="4" t="s">
        <v>26</v>
      </c>
      <c r="C94" s="4" t="s">
        <v>27</v>
      </c>
      <c r="D94" s="4" t="s">
        <v>28</v>
      </c>
      <c r="E94" s="4" t="s">
        <v>29</v>
      </c>
      <c r="F94" s="31">
        <v>45761</v>
      </c>
      <c r="G94" s="4">
        <v>4658</v>
      </c>
      <c r="H94" s="4" t="s">
        <v>414</v>
      </c>
      <c r="I94" s="4" t="s">
        <v>415</v>
      </c>
      <c r="J94" s="4" t="s">
        <v>115</v>
      </c>
      <c r="K94" s="4" t="s">
        <v>33</v>
      </c>
      <c r="L94" s="4" t="s">
        <v>173</v>
      </c>
      <c r="M94" s="4" t="s">
        <v>416</v>
      </c>
      <c r="N94" s="4" t="s">
        <v>36</v>
      </c>
      <c r="O94" s="4"/>
      <c r="P94" s="4"/>
      <c r="Q94" s="4" t="s">
        <v>416</v>
      </c>
      <c r="R94" s="34">
        <v>75</v>
      </c>
      <c r="S94" s="59">
        <v>215</v>
      </c>
      <c r="T94" s="59">
        <v>260</v>
      </c>
      <c r="U94" s="36">
        <v>45814</v>
      </c>
      <c r="V94" s="39"/>
      <c r="W94" s="39"/>
    </row>
    <row r="95" spans="1:23" ht="15" hidden="1" thickBot="1">
      <c r="A95" s="4" t="s">
        <v>25</v>
      </c>
      <c r="B95" s="4" t="s">
        <v>26</v>
      </c>
      <c r="C95" s="4" t="s">
        <v>27</v>
      </c>
      <c r="D95" s="4" t="s">
        <v>28</v>
      </c>
      <c r="E95" s="4" t="s">
        <v>29</v>
      </c>
      <c r="F95" s="31">
        <v>45761</v>
      </c>
      <c r="G95" s="4">
        <v>4659</v>
      </c>
      <c r="H95" s="4" t="s">
        <v>417</v>
      </c>
      <c r="I95" s="4" t="s">
        <v>418</v>
      </c>
      <c r="J95" s="4" t="s">
        <v>115</v>
      </c>
      <c r="K95" s="4" t="s">
        <v>33</v>
      </c>
      <c r="L95" s="4" t="s">
        <v>419</v>
      </c>
      <c r="M95" s="4" t="s">
        <v>251</v>
      </c>
      <c r="N95" s="4" t="s">
        <v>36</v>
      </c>
      <c r="O95" s="4"/>
      <c r="P95" s="4"/>
      <c r="Q95" s="4" t="s">
        <v>420</v>
      </c>
      <c r="R95" s="34">
        <v>75</v>
      </c>
      <c r="S95" s="59">
        <v>215</v>
      </c>
      <c r="T95" s="59">
        <v>260</v>
      </c>
      <c r="U95" s="36">
        <v>45814</v>
      </c>
      <c r="V95" s="39"/>
      <c r="W95" s="39"/>
    </row>
    <row r="96" spans="1:23" ht="15" hidden="1" thickBot="1">
      <c r="A96" s="4" t="s">
        <v>25</v>
      </c>
      <c r="B96" s="4" t="s">
        <v>26</v>
      </c>
      <c r="C96" s="4" t="s">
        <v>27</v>
      </c>
      <c r="D96" s="4" t="s">
        <v>28</v>
      </c>
      <c r="E96" s="4" t="s">
        <v>29</v>
      </c>
      <c r="F96" s="31">
        <v>45761</v>
      </c>
      <c r="G96" s="4">
        <v>4660</v>
      </c>
      <c r="H96" s="4" t="s">
        <v>421</v>
      </c>
      <c r="I96" s="4" t="s">
        <v>422</v>
      </c>
      <c r="J96" s="4" t="s">
        <v>115</v>
      </c>
      <c r="K96" s="4" t="s">
        <v>33</v>
      </c>
      <c r="L96" s="4" t="s">
        <v>419</v>
      </c>
      <c r="M96" s="4" t="s">
        <v>423</v>
      </c>
      <c r="N96" s="4" t="s">
        <v>36</v>
      </c>
      <c r="O96" s="4"/>
      <c r="P96" s="4"/>
      <c r="Q96" s="4" t="s">
        <v>423</v>
      </c>
      <c r="R96" s="34">
        <v>75</v>
      </c>
      <c r="S96" s="59">
        <v>80</v>
      </c>
      <c r="T96" s="59">
        <v>155</v>
      </c>
      <c r="U96" s="36">
        <v>45814</v>
      </c>
      <c r="V96" s="39"/>
      <c r="W96" s="39"/>
    </row>
    <row r="97" spans="1:23" ht="15" hidden="1" thickBot="1">
      <c r="A97" s="4" t="s">
        <v>25</v>
      </c>
      <c r="B97" s="4" t="s">
        <v>26</v>
      </c>
      <c r="C97" s="4" t="s">
        <v>27</v>
      </c>
      <c r="D97" s="4" t="s">
        <v>28</v>
      </c>
      <c r="E97" s="4" t="s">
        <v>29</v>
      </c>
      <c r="F97" s="31">
        <v>45761</v>
      </c>
      <c r="G97" s="4">
        <v>4661</v>
      </c>
      <c r="H97" s="4" t="s">
        <v>424</v>
      </c>
      <c r="I97" s="4" t="s">
        <v>425</v>
      </c>
      <c r="J97" s="4" t="s">
        <v>115</v>
      </c>
      <c r="K97" s="4" t="s">
        <v>33</v>
      </c>
      <c r="L97" s="4" t="s">
        <v>405</v>
      </c>
      <c r="M97" s="4" t="s">
        <v>55</v>
      </c>
      <c r="N97" s="4" t="s">
        <v>36</v>
      </c>
      <c r="O97" s="4"/>
      <c r="P97" s="4"/>
      <c r="Q97" s="4" t="s">
        <v>55</v>
      </c>
      <c r="R97" s="34">
        <v>75</v>
      </c>
      <c r="S97" s="63">
        <v>163.75</v>
      </c>
      <c r="T97" s="59">
        <v>238.75</v>
      </c>
      <c r="U97" s="36">
        <v>45805</v>
      </c>
      <c r="V97" s="39"/>
      <c r="W97" s="39"/>
    </row>
    <row r="98" spans="1:23" ht="15" hidden="1" thickBot="1">
      <c r="A98" s="4" t="s">
        <v>25</v>
      </c>
      <c r="B98" s="4" t="s">
        <v>26</v>
      </c>
      <c r="C98" s="4" t="s">
        <v>27</v>
      </c>
      <c r="D98" s="4" t="s">
        <v>28</v>
      </c>
      <c r="E98" s="4" t="s">
        <v>29</v>
      </c>
      <c r="F98" s="31">
        <v>45761</v>
      </c>
      <c r="G98" s="4">
        <v>4662</v>
      </c>
      <c r="H98" s="4" t="s">
        <v>426</v>
      </c>
      <c r="I98" s="4" t="s">
        <v>427</v>
      </c>
      <c r="J98" s="4" t="s">
        <v>428</v>
      </c>
      <c r="K98" s="4" t="s">
        <v>48</v>
      </c>
      <c r="L98" s="4" t="s">
        <v>429</v>
      </c>
      <c r="M98" s="4" t="s">
        <v>117</v>
      </c>
      <c r="N98" s="4" t="s">
        <v>36</v>
      </c>
      <c r="O98" s="4"/>
      <c r="P98" s="4" t="s">
        <v>347</v>
      </c>
      <c r="Q98" s="4" t="s">
        <v>117</v>
      </c>
      <c r="R98" s="34">
        <v>75</v>
      </c>
      <c r="S98" s="59"/>
      <c r="T98" s="59">
        <v>75</v>
      </c>
      <c r="U98" s="36">
        <v>45821</v>
      </c>
      <c r="V98" s="39"/>
      <c r="W98" s="39"/>
    </row>
    <row r="99" spans="1:23" ht="15" hidden="1" thickBot="1">
      <c r="A99" s="4" t="s">
        <v>25</v>
      </c>
      <c r="B99" s="4" t="s">
        <v>26</v>
      </c>
      <c r="C99" s="4" t="s">
        <v>27</v>
      </c>
      <c r="D99" s="4" t="s">
        <v>28</v>
      </c>
      <c r="E99" s="4" t="s">
        <v>29</v>
      </c>
      <c r="F99" s="31">
        <v>45761</v>
      </c>
      <c r="G99" s="4">
        <v>4663</v>
      </c>
      <c r="H99" s="4" t="s">
        <v>430</v>
      </c>
      <c r="I99" s="4" t="s">
        <v>431</v>
      </c>
      <c r="J99" s="4" t="s">
        <v>432</v>
      </c>
      <c r="K99" s="4" t="s">
        <v>33</v>
      </c>
      <c r="L99" s="4" t="s">
        <v>419</v>
      </c>
      <c r="M99" s="4" t="s">
        <v>66</v>
      </c>
      <c r="N99" s="4" t="s">
        <v>36</v>
      </c>
      <c r="O99" s="4"/>
      <c r="P99" s="4"/>
      <c r="Q99" s="4" t="s">
        <v>66</v>
      </c>
      <c r="R99" s="34">
        <v>75</v>
      </c>
      <c r="S99" s="63" t="s">
        <v>282</v>
      </c>
      <c r="T99" s="59">
        <v>195</v>
      </c>
      <c r="U99" s="36">
        <v>45805</v>
      </c>
      <c r="V99" s="39"/>
      <c r="W99" s="39"/>
    </row>
    <row r="100" spans="1:23" ht="15" hidden="1" thickBot="1">
      <c r="A100" s="4" t="s">
        <v>25</v>
      </c>
      <c r="B100" s="4" t="s">
        <v>26</v>
      </c>
      <c r="C100" s="4" t="s">
        <v>27</v>
      </c>
      <c r="D100" s="4" t="s">
        <v>28</v>
      </c>
      <c r="E100" s="4" t="s">
        <v>29</v>
      </c>
      <c r="F100" s="31">
        <v>45761</v>
      </c>
      <c r="G100" s="4">
        <v>4664</v>
      </c>
      <c r="H100" s="4" t="s">
        <v>433</v>
      </c>
      <c r="I100" s="4" t="s">
        <v>434</v>
      </c>
      <c r="J100" s="4" t="s">
        <v>432</v>
      </c>
      <c r="K100" s="4" t="s">
        <v>33</v>
      </c>
      <c r="L100" s="4" t="s">
        <v>405</v>
      </c>
      <c r="M100" s="4" t="s">
        <v>348</v>
      </c>
      <c r="N100" s="4" t="s">
        <v>36</v>
      </c>
      <c r="O100" s="4"/>
      <c r="P100" s="4"/>
      <c r="Q100" s="4" t="s">
        <v>348</v>
      </c>
      <c r="R100" s="34">
        <v>75</v>
      </c>
      <c r="S100" s="59">
        <v>163.75</v>
      </c>
      <c r="T100" s="59">
        <v>238.75</v>
      </c>
      <c r="U100" s="36">
        <v>45814</v>
      </c>
      <c r="V100" s="39"/>
      <c r="W100" s="39"/>
    </row>
    <row r="101" spans="1:23" ht="15" hidden="1" thickBot="1">
      <c r="A101" s="4" t="s">
        <v>25</v>
      </c>
      <c r="B101" s="4" t="s">
        <v>26</v>
      </c>
      <c r="C101" s="4" t="s">
        <v>27</v>
      </c>
      <c r="D101" s="4" t="s">
        <v>28</v>
      </c>
      <c r="E101" s="4" t="s">
        <v>29</v>
      </c>
      <c r="F101" s="31">
        <v>45761</v>
      </c>
      <c r="G101" s="4">
        <v>4665</v>
      </c>
      <c r="H101" s="4" t="s">
        <v>435</v>
      </c>
      <c r="I101" s="4" t="s">
        <v>436</v>
      </c>
      <c r="J101" s="4" t="s">
        <v>115</v>
      </c>
      <c r="K101" s="4" t="s">
        <v>33</v>
      </c>
      <c r="L101" s="4" t="s">
        <v>437</v>
      </c>
      <c r="M101" s="4" t="s">
        <v>438</v>
      </c>
      <c r="N101" s="4" t="s">
        <v>36</v>
      </c>
      <c r="O101" s="4"/>
      <c r="P101" s="4"/>
      <c r="Q101" s="4" t="s">
        <v>438</v>
      </c>
      <c r="R101" s="34">
        <v>75</v>
      </c>
      <c r="S101" s="59">
        <v>115</v>
      </c>
      <c r="T101" s="59">
        <v>160</v>
      </c>
      <c r="U101" s="36">
        <v>45814</v>
      </c>
      <c r="V101" s="39"/>
      <c r="W101" s="39"/>
    </row>
    <row r="102" spans="1:23" ht="15" hidden="1" thickBot="1">
      <c r="A102" s="4" t="s">
        <v>25</v>
      </c>
      <c r="B102" s="4" t="s">
        <v>26</v>
      </c>
      <c r="C102" s="4" t="s">
        <v>27</v>
      </c>
      <c r="D102" s="4" t="s">
        <v>28</v>
      </c>
      <c r="E102" s="4" t="s">
        <v>29</v>
      </c>
      <c r="F102" s="31">
        <v>45761</v>
      </c>
      <c r="G102" s="4">
        <v>4666</v>
      </c>
      <c r="H102" s="4" t="s">
        <v>439</v>
      </c>
      <c r="I102" s="4" t="s">
        <v>440</v>
      </c>
      <c r="J102" s="4" t="s">
        <v>441</v>
      </c>
      <c r="K102" s="4" t="s">
        <v>33</v>
      </c>
      <c r="L102" s="4" t="s">
        <v>351</v>
      </c>
      <c r="M102" s="4" t="s">
        <v>442</v>
      </c>
      <c r="N102" s="4" t="s">
        <v>36</v>
      </c>
      <c r="O102" s="4"/>
      <c r="P102" s="4"/>
      <c r="Q102" s="4" t="s">
        <v>442</v>
      </c>
      <c r="R102" s="34">
        <v>75</v>
      </c>
      <c r="S102" s="59">
        <v>483.75</v>
      </c>
      <c r="T102" s="59">
        <v>558.75</v>
      </c>
      <c r="U102" s="36">
        <v>45814</v>
      </c>
      <c r="V102" s="39"/>
      <c r="W102" s="39"/>
    </row>
    <row r="103" spans="1:23" ht="18" hidden="1" customHeight="1" thickBot="1">
      <c r="A103" s="4" t="s">
        <v>25</v>
      </c>
      <c r="B103" s="4" t="s">
        <v>26</v>
      </c>
      <c r="C103" s="4" t="s">
        <v>27</v>
      </c>
      <c r="D103" s="4" t="s">
        <v>28</v>
      </c>
      <c r="E103" s="4" t="s">
        <v>29</v>
      </c>
      <c r="F103" s="31">
        <v>45761</v>
      </c>
      <c r="G103" s="4" t="s">
        <v>443</v>
      </c>
      <c r="H103" s="4" t="s">
        <v>149</v>
      </c>
      <c r="I103" s="67" t="s">
        <v>150</v>
      </c>
      <c r="J103" s="4" t="s">
        <v>115</v>
      </c>
      <c r="K103" s="4" t="s">
        <v>33</v>
      </c>
      <c r="L103" s="4" t="s">
        <v>444</v>
      </c>
      <c r="M103" s="4" t="s">
        <v>445</v>
      </c>
      <c r="N103" s="4" t="s">
        <v>262</v>
      </c>
      <c r="O103" s="4"/>
      <c r="P103" s="4" t="s">
        <v>446</v>
      </c>
      <c r="Q103" s="4" t="s">
        <v>445</v>
      </c>
      <c r="R103" s="34">
        <v>75</v>
      </c>
      <c r="S103" s="59">
        <v>335</v>
      </c>
      <c r="T103" s="59">
        <v>410</v>
      </c>
      <c r="U103" s="36">
        <v>45898</v>
      </c>
      <c r="V103" s="39"/>
      <c r="W103" s="39"/>
    </row>
    <row r="104" spans="1:23" ht="15" hidden="1" thickBot="1">
      <c r="A104" s="4" t="s">
        <v>25</v>
      </c>
      <c r="B104" s="4" t="s">
        <v>26</v>
      </c>
      <c r="C104" s="4" t="s">
        <v>27</v>
      </c>
      <c r="D104" s="4" t="s">
        <v>28</v>
      </c>
      <c r="E104" s="4" t="s">
        <v>29</v>
      </c>
      <c r="F104" s="31">
        <v>45761</v>
      </c>
      <c r="G104" s="4">
        <v>4668</v>
      </c>
      <c r="H104" s="45" t="s">
        <v>93</v>
      </c>
      <c r="I104" s="45" t="s">
        <v>94</v>
      </c>
      <c r="J104" s="45" t="s">
        <v>441</v>
      </c>
      <c r="K104" s="45" t="s">
        <v>33</v>
      </c>
      <c r="L104" s="45" t="s">
        <v>419</v>
      </c>
      <c r="M104" s="45" t="s">
        <v>447</v>
      </c>
      <c r="N104" s="45" t="s">
        <v>36</v>
      </c>
      <c r="O104" s="45"/>
      <c r="P104" s="4"/>
      <c r="Q104" s="46" t="s">
        <v>447</v>
      </c>
      <c r="R104" s="34">
        <v>75</v>
      </c>
      <c r="S104" s="59">
        <v>120</v>
      </c>
      <c r="T104" s="59">
        <v>195</v>
      </c>
      <c r="U104" s="36">
        <v>45814</v>
      </c>
      <c r="V104" s="39"/>
      <c r="W104" s="39"/>
    </row>
    <row r="105" spans="1:23" ht="15" hidden="1" thickBot="1">
      <c r="A105" s="4" t="s">
        <v>25</v>
      </c>
      <c r="B105" s="4" t="s">
        <v>26</v>
      </c>
      <c r="C105" s="4" t="s">
        <v>27</v>
      </c>
      <c r="D105" s="4" t="s">
        <v>28</v>
      </c>
      <c r="E105" s="4" t="s">
        <v>29</v>
      </c>
      <c r="F105" s="31">
        <v>45761</v>
      </c>
      <c r="G105" s="4">
        <v>4669</v>
      </c>
      <c r="H105" s="4" t="s">
        <v>448</v>
      </c>
      <c r="I105" s="4" t="s">
        <v>449</v>
      </c>
      <c r="J105" s="4" t="s">
        <v>115</v>
      </c>
      <c r="K105" s="4" t="s">
        <v>33</v>
      </c>
      <c r="L105" s="4" t="s">
        <v>419</v>
      </c>
      <c r="M105" s="4" t="s">
        <v>450</v>
      </c>
      <c r="N105" s="4" t="s">
        <v>262</v>
      </c>
      <c r="O105" s="4"/>
      <c r="P105" s="4" t="s">
        <v>413</v>
      </c>
      <c r="Q105" s="4" t="s">
        <v>450</v>
      </c>
      <c r="R105" s="34">
        <v>75</v>
      </c>
      <c r="S105" s="59">
        <v>260</v>
      </c>
      <c r="T105" s="37">
        <v>335</v>
      </c>
      <c r="U105" s="36">
        <v>45898</v>
      </c>
      <c r="V105" s="39"/>
      <c r="W105" s="39"/>
    </row>
    <row r="106" spans="1:23" ht="13.5" hidden="1" customHeight="1" thickBot="1">
      <c r="A106" s="4" t="s">
        <v>25</v>
      </c>
      <c r="B106" s="4" t="s">
        <v>26</v>
      </c>
      <c r="C106" s="4" t="s">
        <v>27</v>
      </c>
      <c r="D106" s="4" t="s">
        <v>28</v>
      </c>
      <c r="E106" s="4" t="s">
        <v>29</v>
      </c>
      <c r="F106" s="31">
        <v>45761</v>
      </c>
      <c r="G106" s="4">
        <v>4670</v>
      </c>
      <c r="H106" s="4" t="s">
        <v>451</v>
      </c>
      <c r="I106" s="67" t="s">
        <v>452</v>
      </c>
      <c r="J106" s="4" t="s">
        <v>115</v>
      </c>
      <c r="K106" s="4" t="s">
        <v>33</v>
      </c>
      <c r="L106" s="4" t="s">
        <v>419</v>
      </c>
      <c r="M106" s="4" t="s">
        <v>261</v>
      </c>
      <c r="N106" s="4" t="s">
        <v>262</v>
      </c>
      <c r="O106" s="4"/>
      <c r="P106" s="4" t="s">
        <v>453</v>
      </c>
      <c r="Q106" s="4" t="s">
        <v>261</v>
      </c>
      <c r="R106" s="59">
        <v>75</v>
      </c>
      <c r="S106" s="59">
        <v>215</v>
      </c>
      <c r="T106" s="37">
        <v>290</v>
      </c>
      <c r="U106" s="36">
        <v>45898</v>
      </c>
      <c r="V106" s="39"/>
      <c r="W106" s="39"/>
    </row>
    <row r="107" spans="1:23" ht="15" hidden="1" thickBot="1">
      <c r="A107" s="4" t="s">
        <v>25</v>
      </c>
      <c r="B107" s="4" t="s">
        <v>26</v>
      </c>
      <c r="C107" s="4" t="s">
        <v>27</v>
      </c>
      <c r="D107" s="4" t="s">
        <v>28</v>
      </c>
      <c r="E107" s="4" t="s">
        <v>29</v>
      </c>
      <c r="F107" s="31">
        <v>45761</v>
      </c>
      <c r="G107" s="4">
        <v>4671</v>
      </c>
      <c r="H107" s="4" t="s">
        <v>454</v>
      </c>
      <c r="I107" s="4" t="s">
        <v>455</v>
      </c>
      <c r="J107" s="4" t="s">
        <v>115</v>
      </c>
      <c r="K107" s="4" t="s">
        <v>33</v>
      </c>
      <c r="L107" s="4" t="s">
        <v>456</v>
      </c>
      <c r="M107" s="4" t="s">
        <v>457</v>
      </c>
      <c r="N107" s="4" t="s">
        <v>36</v>
      </c>
      <c r="O107" s="4"/>
      <c r="P107" s="4" t="s">
        <v>262</v>
      </c>
      <c r="Q107" s="4" t="s">
        <v>457</v>
      </c>
      <c r="R107" s="34">
        <v>75</v>
      </c>
      <c r="S107" s="59">
        <v>132</v>
      </c>
      <c r="T107" s="37">
        <v>207</v>
      </c>
      <c r="U107" s="36">
        <v>45821</v>
      </c>
      <c r="V107" s="39"/>
      <c r="W107" s="39"/>
    </row>
    <row r="108" spans="1:23" ht="15" hidden="1" thickBot="1">
      <c r="A108" s="4" t="s">
        <v>25</v>
      </c>
      <c r="B108" s="4" t="s">
        <v>26</v>
      </c>
      <c r="C108" s="4" t="s">
        <v>27</v>
      </c>
      <c r="D108" s="4" t="s">
        <v>28</v>
      </c>
      <c r="E108" s="4" t="s">
        <v>29</v>
      </c>
      <c r="F108" s="31">
        <v>45761</v>
      </c>
      <c r="G108" s="4">
        <v>4672</v>
      </c>
      <c r="H108" s="4" t="s">
        <v>458</v>
      </c>
      <c r="I108" s="4" t="s">
        <v>459</v>
      </c>
      <c r="J108" s="4" t="s">
        <v>441</v>
      </c>
      <c r="K108" s="4" t="s">
        <v>33</v>
      </c>
      <c r="L108" s="4" t="s">
        <v>405</v>
      </c>
      <c r="M108" s="4" t="s">
        <v>460</v>
      </c>
      <c r="N108" s="4" t="s">
        <v>36</v>
      </c>
      <c r="O108" s="4"/>
      <c r="P108" s="4" t="s">
        <v>413</v>
      </c>
      <c r="Q108" s="4" t="s">
        <v>460</v>
      </c>
      <c r="R108" s="34">
        <v>75</v>
      </c>
      <c r="S108" s="59">
        <v>357</v>
      </c>
      <c r="T108" s="37">
        <v>432</v>
      </c>
      <c r="U108" s="36">
        <v>45821</v>
      </c>
      <c r="V108" s="39"/>
      <c r="W108" s="39"/>
    </row>
    <row r="109" spans="1:23" ht="15" hidden="1" thickBot="1">
      <c r="A109" s="4" t="s">
        <v>25</v>
      </c>
      <c r="B109" s="4" t="s">
        <v>26</v>
      </c>
      <c r="C109" s="4" t="s">
        <v>27</v>
      </c>
      <c r="D109" s="4" t="s">
        <v>28</v>
      </c>
      <c r="E109" s="4" t="s">
        <v>29</v>
      </c>
      <c r="F109" s="31">
        <v>45761</v>
      </c>
      <c r="G109" s="4">
        <v>4673</v>
      </c>
      <c r="H109" s="4" t="s">
        <v>461</v>
      </c>
      <c r="I109" s="4" t="s">
        <v>462</v>
      </c>
      <c r="J109" s="4" t="s">
        <v>463</v>
      </c>
      <c r="K109" s="4" t="s">
        <v>48</v>
      </c>
      <c r="L109" s="4" t="s">
        <v>464</v>
      </c>
      <c r="M109" s="4" t="s">
        <v>34</v>
      </c>
      <c r="N109" s="4" t="s">
        <v>36</v>
      </c>
      <c r="O109" s="4"/>
      <c r="P109" s="4" t="s">
        <v>315</v>
      </c>
      <c r="Q109" s="4" t="s">
        <v>117</v>
      </c>
      <c r="R109" s="34">
        <v>75</v>
      </c>
      <c r="S109" s="59"/>
      <c r="T109" s="37">
        <v>75</v>
      </c>
      <c r="U109" s="36">
        <v>45821</v>
      </c>
      <c r="V109" s="39"/>
      <c r="W109" s="39"/>
    </row>
    <row r="110" spans="1:23" ht="29.5" hidden="1" thickBot="1">
      <c r="A110" s="4" t="s">
        <v>25</v>
      </c>
      <c r="B110" s="4" t="s">
        <v>26</v>
      </c>
      <c r="C110" s="4" t="s">
        <v>27</v>
      </c>
      <c r="D110" s="64" t="s">
        <v>28</v>
      </c>
      <c r="E110" s="4" t="s">
        <v>195</v>
      </c>
      <c r="F110" s="31">
        <v>45786</v>
      </c>
      <c r="G110" s="4">
        <v>4674</v>
      </c>
      <c r="H110" s="4" t="s">
        <v>465</v>
      </c>
      <c r="I110" s="4" t="s">
        <v>466</v>
      </c>
      <c r="J110" s="4" t="s">
        <v>137</v>
      </c>
      <c r="K110" s="4" t="s">
        <v>33</v>
      </c>
      <c r="L110" s="4" t="s">
        <v>173</v>
      </c>
      <c r="M110" s="4" t="s">
        <v>467</v>
      </c>
      <c r="N110" s="4" t="s">
        <v>36</v>
      </c>
      <c r="O110" s="4"/>
      <c r="P110" s="4" t="s">
        <v>413</v>
      </c>
      <c r="Q110" s="4" t="s">
        <v>467</v>
      </c>
      <c r="R110" s="34">
        <v>75</v>
      </c>
      <c r="S110" s="59">
        <v>475</v>
      </c>
      <c r="T110" s="37">
        <v>550</v>
      </c>
      <c r="U110" s="36">
        <v>45821</v>
      </c>
      <c r="V110" s="39"/>
      <c r="W110" s="39"/>
    </row>
    <row r="111" spans="1:23" ht="15" hidden="1" thickBot="1">
      <c r="A111" s="4" t="s">
        <v>25</v>
      </c>
      <c r="B111" s="4" t="s">
        <v>26</v>
      </c>
      <c r="C111" s="4" t="s">
        <v>27</v>
      </c>
      <c r="D111" s="4" t="s">
        <v>28</v>
      </c>
      <c r="E111" s="4" t="s">
        <v>195</v>
      </c>
      <c r="F111" s="31">
        <v>45786</v>
      </c>
      <c r="G111" s="4">
        <v>4675</v>
      </c>
      <c r="H111" s="4" t="s">
        <v>468</v>
      </c>
      <c r="I111" s="4" t="s">
        <v>469</v>
      </c>
      <c r="J111" s="4" t="s">
        <v>115</v>
      </c>
      <c r="K111" s="4" t="s">
        <v>33</v>
      </c>
      <c r="L111" s="4" t="s">
        <v>470</v>
      </c>
      <c r="M111" s="4" t="s">
        <v>407</v>
      </c>
      <c r="N111" s="4" t="s">
        <v>36</v>
      </c>
      <c r="O111" s="4"/>
      <c r="P111" s="4" t="s">
        <v>413</v>
      </c>
      <c r="Q111" s="4" t="s">
        <v>407</v>
      </c>
      <c r="R111" s="34">
        <v>75</v>
      </c>
      <c r="S111" s="59">
        <v>158.09</v>
      </c>
      <c r="T111" s="37">
        <v>233.09</v>
      </c>
      <c r="U111" s="36">
        <v>45821</v>
      </c>
      <c r="V111" s="39"/>
      <c r="W111" s="39"/>
    </row>
    <row r="112" spans="1:23" ht="15" hidden="1" thickBot="1">
      <c r="A112" s="4" t="s">
        <v>25</v>
      </c>
      <c r="B112" s="4" t="s">
        <v>26</v>
      </c>
      <c r="C112" s="4" t="s">
        <v>27</v>
      </c>
      <c r="D112" s="4" t="s">
        <v>28</v>
      </c>
      <c r="E112" s="4" t="s">
        <v>195</v>
      </c>
      <c r="F112" s="31">
        <v>45786</v>
      </c>
      <c r="G112" s="4">
        <v>4676</v>
      </c>
      <c r="H112" s="4" t="s">
        <v>471</v>
      </c>
      <c r="I112" s="4" t="s">
        <v>472</v>
      </c>
      <c r="J112" s="4" t="s">
        <v>115</v>
      </c>
      <c r="K112" s="4" t="s">
        <v>33</v>
      </c>
      <c r="L112" s="4" t="s">
        <v>473</v>
      </c>
      <c r="M112" s="4" t="s">
        <v>474</v>
      </c>
      <c r="N112" s="4" t="s">
        <v>36</v>
      </c>
      <c r="O112" s="4"/>
      <c r="P112" s="4" t="s">
        <v>413</v>
      </c>
      <c r="Q112" s="4" t="s">
        <v>475</v>
      </c>
      <c r="R112" s="34">
        <v>75</v>
      </c>
      <c r="S112" s="59">
        <v>109.09</v>
      </c>
      <c r="T112" s="37">
        <v>184.09</v>
      </c>
      <c r="U112" s="36">
        <v>45821</v>
      </c>
      <c r="V112" s="39"/>
      <c r="W112" s="39"/>
    </row>
    <row r="113" spans="1:23" ht="15" hidden="1" thickBot="1">
      <c r="A113" s="4" t="s">
        <v>25</v>
      </c>
      <c r="B113" s="4" t="s">
        <v>26</v>
      </c>
      <c r="C113" s="4" t="s">
        <v>27</v>
      </c>
      <c r="D113" s="4" t="s">
        <v>28</v>
      </c>
      <c r="E113" s="4" t="s">
        <v>195</v>
      </c>
      <c r="F113" s="31">
        <v>45786</v>
      </c>
      <c r="G113" s="4">
        <v>4677</v>
      </c>
      <c r="H113" s="4" t="s">
        <v>476</v>
      </c>
      <c r="I113" s="4" t="s">
        <v>477</v>
      </c>
      <c r="J113" s="4" t="s">
        <v>115</v>
      </c>
      <c r="K113" s="4" t="s">
        <v>33</v>
      </c>
      <c r="L113" s="4" t="s">
        <v>478</v>
      </c>
      <c r="M113" s="4" t="s">
        <v>406</v>
      </c>
      <c r="N113" s="4" t="s">
        <v>36</v>
      </c>
      <c r="O113" s="4"/>
      <c r="P113" s="4" t="s">
        <v>413</v>
      </c>
      <c r="Q113" s="4" t="s">
        <v>406</v>
      </c>
      <c r="R113" s="34">
        <v>75</v>
      </c>
      <c r="S113" s="59">
        <v>158.09</v>
      </c>
      <c r="T113" s="37">
        <v>233.09</v>
      </c>
      <c r="U113" s="36">
        <v>45821</v>
      </c>
      <c r="V113" s="39"/>
      <c r="W113" s="39"/>
    </row>
    <row r="114" spans="1:23" ht="15" hidden="1" thickBot="1">
      <c r="A114" s="4" t="s">
        <v>25</v>
      </c>
      <c r="B114" s="4" t="s">
        <v>26</v>
      </c>
      <c r="C114" s="4" t="s">
        <v>27</v>
      </c>
      <c r="D114" s="4" t="s">
        <v>28</v>
      </c>
      <c r="E114" s="4" t="s">
        <v>195</v>
      </c>
      <c r="F114" s="31">
        <v>45786</v>
      </c>
      <c r="G114" s="4">
        <v>4678</v>
      </c>
      <c r="H114" s="4" t="s">
        <v>479</v>
      </c>
      <c r="I114" s="4" t="s">
        <v>480</v>
      </c>
      <c r="J114" s="4" t="s">
        <v>432</v>
      </c>
      <c r="K114" s="4" t="s">
        <v>33</v>
      </c>
      <c r="L114" s="4" t="s">
        <v>478</v>
      </c>
      <c r="M114" s="4" t="s">
        <v>348</v>
      </c>
      <c r="N114" s="4" t="s">
        <v>36</v>
      </c>
      <c r="O114" s="4"/>
      <c r="P114" s="4" t="s">
        <v>413</v>
      </c>
      <c r="Q114" s="4" t="s">
        <v>348</v>
      </c>
      <c r="R114" s="34">
        <v>75</v>
      </c>
      <c r="S114" s="59">
        <v>106.61</v>
      </c>
      <c r="T114" s="37">
        <v>181.61</v>
      </c>
      <c r="U114" s="36">
        <v>45821</v>
      </c>
      <c r="V114" s="39"/>
      <c r="W114" s="39"/>
    </row>
    <row r="115" spans="1:23" ht="15" hidden="1" thickBot="1">
      <c r="A115" s="4" t="s">
        <v>25</v>
      </c>
      <c r="B115" s="4" t="s">
        <v>26</v>
      </c>
      <c r="C115" s="4" t="s">
        <v>27</v>
      </c>
      <c r="D115" s="4" t="s">
        <v>28</v>
      </c>
      <c r="E115" s="4" t="s">
        <v>195</v>
      </c>
      <c r="F115" s="31">
        <v>45786</v>
      </c>
      <c r="G115" s="4">
        <v>4679</v>
      </c>
      <c r="H115" s="4" t="s">
        <v>481</v>
      </c>
      <c r="I115" s="4" t="s">
        <v>482</v>
      </c>
      <c r="J115" s="4" t="s">
        <v>115</v>
      </c>
      <c r="K115" s="4" t="s">
        <v>33</v>
      </c>
      <c r="L115" s="4" t="s">
        <v>478</v>
      </c>
      <c r="M115" s="4" t="s">
        <v>348</v>
      </c>
      <c r="N115" s="4" t="s">
        <v>36</v>
      </c>
      <c r="O115" s="4"/>
      <c r="P115" s="4" t="s">
        <v>413</v>
      </c>
      <c r="Q115" s="4" t="s">
        <v>348</v>
      </c>
      <c r="R115" s="34">
        <v>75</v>
      </c>
      <c r="S115" s="59">
        <v>109.09</v>
      </c>
      <c r="T115" s="37">
        <v>184.09</v>
      </c>
      <c r="U115" s="36">
        <v>45821</v>
      </c>
      <c r="V115" s="39"/>
      <c r="W115" s="39"/>
    </row>
    <row r="116" spans="1:23" ht="15" hidden="1" thickBot="1">
      <c r="A116" s="4" t="s">
        <v>25</v>
      </c>
      <c r="B116" s="4" t="s">
        <v>26</v>
      </c>
      <c r="C116" s="4" t="s">
        <v>27</v>
      </c>
      <c r="D116" s="64" t="s">
        <v>28</v>
      </c>
      <c r="E116" s="4" t="s">
        <v>195</v>
      </c>
      <c r="F116" s="31">
        <v>45839</v>
      </c>
      <c r="G116" s="4">
        <v>5354</v>
      </c>
      <c r="H116" s="4" t="s">
        <v>483</v>
      </c>
      <c r="I116" s="4" t="s">
        <v>484</v>
      </c>
      <c r="J116" s="4" t="s">
        <v>485</v>
      </c>
      <c r="K116" s="4" t="s">
        <v>48</v>
      </c>
      <c r="L116" s="4" t="s">
        <v>486</v>
      </c>
      <c r="M116" s="4" t="s">
        <v>487</v>
      </c>
      <c r="N116" s="4" t="s">
        <v>262</v>
      </c>
      <c r="O116" s="4"/>
      <c r="P116" s="4" t="s">
        <v>37</v>
      </c>
      <c r="Q116" s="4" t="s">
        <v>487</v>
      </c>
      <c r="R116" s="34">
        <v>75</v>
      </c>
      <c r="S116" s="4"/>
      <c r="T116" s="37">
        <v>75</v>
      </c>
      <c r="U116" s="36">
        <v>45898</v>
      </c>
      <c r="V116" s="39"/>
      <c r="W116" s="39"/>
    </row>
    <row r="117" spans="1:23" ht="15" hidden="1" thickBot="1">
      <c r="A117" s="4" t="s">
        <v>25</v>
      </c>
      <c r="B117" s="4" t="s">
        <v>26</v>
      </c>
      <c r="C117" s="4" t="s">
        <v>27</v>
      </c>
      <c r="D117" s="4" t="s">
        <v>28</v>
      </c>
      <c r="E117" s="4" t="s">
        <v>195</v>
      </c>
      <c r="F117" s="31">
        <v>45839</v>
      </c>
      <c r="G117" s="4">
        <v>5353</v>
      </c>
      <c r="H117" s="4" t="s">
        <v>488</v>
      </c>
      <c r="I117" s="4" t="s">
        <v>489</v>
      </c>
      <c r="J117" s="4" t="s">
        <v>485</v>
      </c>
      <c r="K117" s="4" t="s">
        <v>48</v>
      </c>
      <c r="L117" s="4" t="s">
        <v>490</v>
      </c>
      <c r="M117" s="4" t="s">
        <v>55</v>
      </c>
      <c r="N117" s="4" t="s">
        <v>262</v>
      </c>
      <c r="O117" s="4"/>
      <c r="P117" s="4" t="s">
        <v>37</v>
      </c>
      <c r="Q117" s="4" t="s">
        <v>457</v>
      </c>
      <c r="R117" s="34">
        <v>75</v>
      </c>
      <c r="S117" s="4"/>
      <c r="T117" s="37">
        <v>75</v>
      </c>
      <c r="U117" s="36">
        <v>45898</v>
      </c>
      <c r="V117" s="39"/>
      <c r="W117" s="39"/>
    </row>
    <row r="118" spans="1:23" ht="15" hidden="1" thickBot="1">
      <c r="A118" s="4" t="s">
        <v>25</v>
      </c>
      <c r="B118" s="4" t="s">
        <v>26</v>
      </c>
      <c r="C118" s="4" t="s">
        <v>27</v>
      </c>
      <c r="D118" s="4" t="s">
        <v>28</v>
      </c>
      <c r="E118" s="4" t="s">
        <v>195</v>
      </c>
      <c r="F118" s="31">
        <v>45839</v>
      </c>
      <c r="G118" s="4">
        <v>5352</v>
      </c>
      <c r="H118" s="4" t="s">
        <v>491</v>
      </c>
      <c r="I118" s="67" t="s">
        <v>492</v>
      </c>
      <c r="J118" s="4" t="s">
        <v>397</v>
      </c>
      <c r="K118" s="4" t="s">
        <v>48</v>
      </c>
      <c r="L118" s="4" t="s">
        <v>493</v>
      </c>
      <c r="M118" s="4" t="s">
        <v>494</v>
      </c>
      <c r="N118" s="4" t="s">
        <v>262</v>
      </c>
      <c r="O118" s="4"/>
      <c r="P118" s="4" t="s">
        <v>37</v>
      </c>
      <c r="Q118" s="4" t="s">
        <v>117</v>
      </c>
      <c r="R118" s="34">
        <v>75</v>
      </c>
      <c r="S118" s="59"/>
      <c r="T118" s="37">
        <v>75</v>
      </c>
      <c r="U118" s="36">
        <v>45898</v>
      </c>
      <c r="V118" s="39"/>
      <c r="W118" s="39"/>
    </row>
    <row r="119" spans="1:23" ht="15" hidden="1" thickBot="1">
      <c r="A119" s="4" t="s">
        <v>25</v>
      </c>
      <c r="B119" s="4" t="s">
        <v>26</v>
      </c>
      <c r="C119" s="4" t="s">
        <v>27</v>
      </c>
      <c r="D119" s="4" t="s">
        <v>28</v>
      </c>
      <c r="E119" s="4" t="s">
        <v>195</v>
      </c>
      <c r="F119" s="31">
        <v>45839</v>
      </c>
      <c r="G119" s="4">
        <v>5351</v>
      </c>
      <c r="H119" s="4" t="s">
        <v>495</v>
      </c>
      <c r="I119" s="4" t="s">
        <v>496</v>
      </c>
      <c r="J119" s="4" t="s">
        <v>216</v>
      </c>
      <c r="K119" s="4" t="s">
        <v>33</v>
      </c>
      <c r="L119" s="4" t="s">
        <v>497</v>
      </c>
      <c r="M119" s="4" t="s">
        <v>498</v>
      </c>
      <c r="N119" s="4" t="s">
        <v>499</v>
      </c>
      <c r="O119" s="4"/>
      <c r="P119" s="4" t="s">
        <v>413</v>
      </c>
      <c r="Q119" s="4"/>
      <c r="R119" s="34">
        <v>75</v>
      </c>
      <c r="S119" s="4"/>
      <c r="T119" s="4"/>
      <c r="U119" s="36"/>
      <c r="V119" s="39"/>
      <c r="W119" s="39"/>
    </row>
    <row r="120" spans="1:23" ht="15" hidden="1" thickBot="1">
      <c r="A120" s="4" t="s">
        <v>25</v>
      </c>
      <c r="B120" s="4" t="s">
        <v>26</v>
      </c>
      <c r="C120" s="4" t="s">
        <v>27</v>
      </c>
      <c r="D120" s="4" t="s">
        <v>28</v>
      </c>
      <c r="E120" s="4" t="s">
        <v>195</v>
      </c>
      <c r="F120" s="31">
        <v>45839</v>
      </c>
      <c r="G120" s="4">
        <v>5350</v>
      </c>
      <c r="H120" s="4" t="s">
        <v>500</v>
      </c>
      <c r="I120" s="4" t="s">
        <v>501</v>
      </c>
      <c r="J120" s="4" t="s">
        <v>502</v>
      </c>
      <c r="K120" s="4" t="s">
        <v>33</v>
      </c>
      <c r="L120" s="4" t="s">
        <v>503</v>
      </c>
      <c r="M120" s="4" t="s">
        <v>504</v>
      </c>
      <c r="N120" s="4" t="s">
        <v>262</v>
      </c>
      <c r="O120" s="4"/>
      <c r="P120" s="4" t="s">
        <v>505</v>
      </c>
      <c r="Q120" s="4" t="s">
        <v>504</v>
      </c>
      <c r="R120" s="34">
        <v>75</v>
      </c>
      <c r="S120" s="59">
        <v>395.5</v>
      </c>
      <c r="T120" s="37">
        <v>470.5</v>
      </c>
      <c r="U120" s="36">
        <v>45898</v>
      </c>
      <c r="V120" s="39"/>
      <c r="W120" s="39"/>
    </row>
    <row r="121" spans="1:23" ht="15" hidden="1" thickBot="1">
      <c r="A121" s="4" t="s">
        <v>25</v>
      </c>
      <c r="B121" s="4" t="s">
        <v>26</v>
      </c>
      <c r="C121" s="4" t="s">
        <v>27</v>
      </c>
      <c r="D121" s="4" t="s">
        <v>28</v>
      </c>
      <c r="E121" s="4" t="s">
        <v>195</v>
      </c>
      <c r="F121" s="31">
        <v>45839</v>
      </c>
      <c r="G121" s="4">
        <v>5349</v>
      </c>
      <c r="H121" s="4" t="s">
        <v>506</v>
      </c>
      <c r="I121" s="4" t="s">
        <v>507</v>
      </c>
      <c r="J121" s="4" t="s">
        <v>160</v>
      </c>
      <c r="K121" s="4" t="s">
        <v>33</v>
      </c>
      <c r="L121" s="4" t="s">
        <v>213</v>
      </c>
      <c r="M121" s="4" t="s">
        <v>508</v>
      </c>
      <c r="N121" s="4" t="s">
        <v>262</v>
      </c>
      <c r="O121" s="4"/>
      <c r="P121" s="4" t="s">
        <v>505</v>
      </c>
      <c r="Q121" s="4" t="s">
        <v>509</v>
      </c>
      <c r="R121" s="34">
        <v>75</v>
      </c>
      <c r="S121" s="59">
        <v>283.75</v>
      </c>
      <c r="T121" s="37">
        <v>358.75</v>
      </c>
      <c r="U121" s="36">
        <v>45898</v>
      </c>
      <c r="V121" s="39"/>
      <c r="W121" s="39"/>
    </row>
    <row r="122" spans="1:23" ht="15" hidden="1" thickBot="1">
      <c r="A122" s="4" t="s">
        <v>25</v>
      </c>
      <c r="B122" s="4" t="s">
        <v>26</v>
      </c>
      <c r="C122" s="4" t="s">
        <v>27</v>
      </c>
      <c r="D122" s="4" t="s">
        <v>28</v>
      </c>
      <c r="E122" s="4" t="s">
        <v>195</v>
      </c>
      <c r="F122" s="31">
        <v>45839</v>
      </c>
      <c r="G122" s="4">
        <v>5359</v>
      </c>
      <c r="H122" s="4" t="s">
        <v>510</v>
      </c>
      <c r="I122" s="4" t="s">
        <v>511</v>
      </c>
      <c r="J122" s="4" t="s">
        <v>160</v>
      </c>
      <c r="K122" s="4" t="s">
        <v>33</v>
      </c>
      <c r="L122" s="4" t="s">
        <v>512</v>
      </c>
      <c r="M122" s="4" t="s">
        <v>513</v>
      </c>
      <c r="N122" s="4" t="s">
        <v>262</v>
      </c>
      <c r="O122" s="4"/>
      <c r="P122" s="4" t="s">
        <v>505</v>
      </c>
      <c r="Q122" s="4" t="s">
        <v>513</v>
      </c>
      <c r="R122" s="34">
        <v>75</v>
      </c>
      <c r="S122" s="59">
        <v>120</v>
      </c>
      <c r="T122" s="37">
        <v>195</v>
      </c>
      <c r="U122" s="36">
        <v>45898</v>
      </c>
      <c r="V122" s="39"/>
      <c r="W122" s="39"/>
    </row>
    <row r="123" spans="1:23" ht="15" hidden="1" thickBot="1">
      <c r="A123" s="4" t="s">
        <v>25</v>
      </c>
      <c r="B123" s="4" t="s">
        <v>26</v>
      </c>
      <c r="C123" s="4" t="s">
        <v>27</v>
      </c>
      <c r="D123" s="64" t="s">
        <v>28</v>
      </c>
      <c r="E123" s="4" t="s">
        <v>195</v>
      </c>
      <c r="F123" s="31">
        <v>45839</v>
      </c>
      <c r="G123" s="68">
        <v>5358</v>
      </c>
      <c r="H123" s="4" t="s">
        <v>514</v>
      </c>
      <c r="I123" s="4" t="s">
        <v>515</v>
      </c>
      <c r="J123" s="4" t="s">
        <v>160</v>
      </c>
      <c r="K123" s="4" t="s">
        <v>33</v>
      </c>
      <c r="L123" s="4" t="s">
        <v>71</v>
      </c>
      <c r="M123" s="4" t="s">
        <v>71</v>
      </c>
      <c r="N123" s="4" t="s">
        <v>262</v>
      </c>
      <c r="O123" s="4"/>
      <c r="P123" s="4" t="s">
        <v>37</v>
      </c>
      <c r="Q123" s="4" t="s">
        <v>71</v>
      </c>
      <c r="R123" s="34">
        <v>75</v>
      </c>
      <c r="S123" s="59">
        <v>120</v>
      </c>
      <c r="T123" s="37">
        <v>195</v>
      </c>
      <c r="U123" s="36">
        <v>45898</v>
      </c>
      <c r="V123" s="39"/>
      <c r="W123" s="39"/>
    </row>
    <row r="124" spans="1:23" ht="15" hidden="1" thickBot="1">
      <c r="A124" s="4" t="s">
        <v>25</v>
      </c>
      <c r="B124" s="4" t="s">
        <v>26</v>
      </c>
      <c r="C124" s="4" t="s">
        <v>27</v>
      </c>
      <c r="D124" s="4" t="s">
        <v>28</v>
      </c>
      <c r="E124" s="4" t="s">
        <v>195</v>
      </c>
      <c r="F124" s="31">
        <v>45853</v>
      </c>
      <c r="G124" s="4">
        <v>5450</v>
      </c>
      <c r="H124" s="31" t="s">
        <v>516</v>
      </c>
      <c r="I124" s="50" t="s">
        <v>517</v>
      </c>
      <c r="J124" s="31" t="s">
        <v>115</v>
      </c>
      <c r="K124" s="4" t="s">
        <v>33</v>
      </c>
      <c r="L124" s="4" t="s">
        <v>518</v>
      </c>
      <c r="M124" s="31" t="s">
        <v>519</v>
      </c>
      <c r="N124" s="4" t="s">
        <v>262</v>
      </c>
      <c r="O124" s="4"/>
      <c r="P124" s="4" t="s">
        <v>37</v>
      </c>
      <c r="Q124" s="31" t="s">
        <v>519</v>
      </c>
      <c r="R124" s="34">
        <v>75</v>
      </c>
      <c r="S124" s="59">
        <v>335</v>
      </c>
      <c r="T124" s="37">
        <v>410</v>
      </c>
      <c r="U124" s="36"/>
      <c r="V124" s="39"/>
      <c r="W124" s="39"/>
    </row>
    <row r="125" spans="1:23" ht="15" hidden="1" thickBot="1">
      <c r="A125" s="4" t="s">
        <v>25</v>
      </c>
      <c r="B125" s="4" t="s">
        <v>26</v>
      </c>
      <c r="C125" s="4" t="s">
        <v>27</v>
      </c>
      <c r="D125" s="4" t="s">
        <v>28</v>
      </c>
      <c r="E125" s="4" t="s">
        <v>195</v>
      </c>
      <c r="F125" s="31">
        <v>45853</v>
      </c>
      <c r="G125" s="4">
        <v>5451</v>
      </c>
      <c r="H125" s="31" t="s">
        <v>520</v>
      </c>
      <c r="I125" s="50" t="s">
        <v>521</v>
      </c>
      <c r="J125" s="31" t="s">
        <v>115</v>
      </c>
      <c r="K125" s="4" t="s">
        <v>33</v>
      </c>
      <c r="L125" s="4" t="s">
        <v>522</v>
      </c>
      <c r="M125" s="31"/>
      <c r="N125" s="4" t="s">
        <v>262</v>
      </c>
      <c r="O125" s="4"/>
      <c r="P125" s="31" t="s">
        <v>37</v>
      </c>
      <c r="Q125" s="31" t="s">
        <v>117</v>
      </c>
      <c r="R125" s="34">
        <v>75</v>
      </c>
      <c r="S125" s="59">
        <v>215</v>
      </c>
      <c r="T125" s="37">
        <v>290</v>
      </c>
      <c r="U125" s="4"/>
      <c r="V125" s="39"/>
      <c r="W125" s="39"/>
    </row>
    <row r="126" spans="1:23" ht="15" hidden="1" thickBot="1">
      <c r="A126" s="4" t="s">
        <v>25</v>
      </c>
      <c r="B126" s="4" t="s">
        <v>26</v>
      </c>
      <c r="C126" s="4" t="s">
        <v>27</v>
      </c>
      <c r="D126" s="4" t="s">
        <v>28</v>
      </c>
      <c r="E126" s="4" t="s">
        <v>195</v>
      </c>
      <c r="F126" s="31">
        <v>45853</v>
      </c>
      <c r="G126" s="4">
        <v>5452</v>
      </c>
      <c r="H126" s="31" t="s">
        <v>523</v>
      </c>
      <c r="I126" s="50" t="s">
        <v>524</v>
      </c>
      <c r="J126" s="31" t="s">
        <v>115</v>
      </c>
      <c r="K126" s="4" t="s">
        <v>33</v>
      </c>
      <c r="L126" s="4" t="s">
        <v>518</v>
      </c>
      <c r="M126" s="31" t="s">
        <v>525</v>
      </c>
      <c r="N126" s="4" t="s">
        <v>262</v>
      </c>
      <c r="O126" s="4"/>
      <c r="P126" s="4" t="s">
        <v>37</v>
      </c>
      <c r="Q126" s="31" t="s">
        <v>526</v>
      </c>
      <c r="R126" s="34">
        <v>75</v>
      </c>
      <c r="S126" s="59">
        <v>378.75</v>
      </c>
      <c r="T126" s="37">
        <v>453.75</v>
      </c>
      <c r="U126" s="4"/>
      <c r="V126" s="39"/>
      <c r="W126" s="39"/>
    </row>
    <row r="127" spans="1:23" ht="15" hidden="1" thickBot="1">
      <c r="A127" s="4" t="s">
        <v>25</v>
      </c>
      <c r="B127" s="4" t="s">
        <v>26</v>
      </c>
      <c r="C127" s="4" t="s">
        <v>27</v>
      </c>
      <c r="D127" s="4" t="s">
        <v>28</v>
      </c>
      <c r="E127" s="4" t="s">
        <v>195</v>
      </c>
      <c r="F127" s="31">
        <v>45853</v>
      </c>
      <c r="G127" s="4">
        <v>5453</v>
      </c>
      <c r="H127" s="31" t="s">
        <v>527</v>
      </c>
      <c r="I127" s="31" t="s">
        <v>528</v>
      </c>
      <c r="J127" s="31" t="s">
        <v>115</v>
      </c>
      <c r="K127" s="4" t="s">
        <v>33</v>
      </c>
      <c r="L127" s="4" t="s">
        <v>529</v>
      </c>
      <c r="M127" s="31" t="s">
        <v>530</v>
      </c>
      <c r="N127" s="31" t="s">
        <v>499</v>
      </c>
      <c r="O127" s="31"/>
      <c r="P127" s="31" t="s">
        <v>499</v>
      </c>
      <c r="Q127" s="31"/>
      <c r="R127" s="34">
        <v>75</v>
      </c>
      <c r="S127" s="31"/>
      <c r="T127" s="4"/>
      <c r="U127" s="4"/>
      <c r="V127" s="39"/>
      <c r="W127" s="39"/>
    </row>
    <row r="128" spans="1:23" ht="15" hidden="1" thickBot="1">
      <c r="A128" s="4" t="s">
        <v>25</v>
      </c>
      <c r="B128" s="4" t="s">
        <v>26</v>
      </c>
      <c r="C128" s="4" t="s">
        <v>27</v>
      </c>
      <c r="D128" s="4" t="s">
        <v>28</v>
      </c>
      <c r="E128" s="4" t="s">
        <v>195</v>
      </c>
      <c r="F128" s="31">
        <v>45853</v>
      </c>
      <c r="G128" s="4">
        <v>5454</v>
      </c>
      <c r="H128" s="31" t="s">
        <v>531</v>
      </c>
      <c r="I128" s="31" t="s">
        <v>532</v>
      </c>
      <c r="J128" s="31" t="s">
        <v>115</v>
      </c>
      <c r="K128" s="4" t="s">
        <v>33</v>
      </c>
      <c r="L128" s="4" t="s">
        <v>533</v>
      </c>
      <c r="M128" s="31" t="s">
        <v>55</v>
      </c>
      <c r="N128" s="31" t="s">
        <v>262</v>
      </c>
      <c r="O128" s="31"/>
      <c r="P128" s="4" t="s">
        <v>37</v>
      </c>
      <c r="Q128" s="31" t="s">
        <v>55</v>
      </c>
      <c r="R128" s="34">
        <v>75</v>
      </c>
      <c r="S128" s="34">
        <v>163.75</v>
      </c>
      <c r="T128" s="58">
        <f>SUM(R128:S128)</f>
        <v>238.75</v>
      </c>
      <c r="U128" s="4"/>
      <c r="V128" s="39"/>
      <c r="W128" s="39"/>
    </row>
    <row r="129" spans="1:23" ht="15" hidden="1" thickBot="1">
      <c r="A129" s="4" t="s">
        <v>25</v>
      </c>
      <c r="B129" s="4" t="s">
        <v>26</v>
      </c>
      <c r="C129" s="4" t="s">
        <v>27</v>
      </c>
      <c r="D129" s="4" t="s">
        <v>28</v>
      </c>
      <c r="E129" s="4" t="s">
        <v>195</v>
      </c>
      <c r="F129" s="31">
        <v>45853</v>
      </c>
      <c r="G129" s="4">
        <v>5455</v>
      </c>
      <c r="H129" s="31" t="s">
        <v>534</v>
      </c>
      <c r="I129" s="31" t="s">
        <v>535</v>
      </c>
      <c r="J129" s="31" t="s">
        <v>115</v>
      </c>
      <c r="K129" s="4" t="s">
        <v>33</v>
      </c>
      <c r="L129" s="4" t="s">
        <v>536</v>
      </c>
      <c r="M129" s="31" t="s">
        <v>457</v>
      </c>
      <c r="N129" s="31" t="s">
        <v>262</v>
      </c>
      <c r="O129" s="31"/>
      <c r="P129" s="31" t="s">
        <v>37</v>
      </c>
      <c r="Q129" s="31" t="s">
        <v>55</v>
      </c>
      <c r="R129" s="34">
        <v>75</v>
      </c>
      <c r="S129" s="34">
        <v>163.75</v>
      </c>
      <c r="T129" s="58">
        <f>SUM(R129:S129)</f>
        <v>238.75</v>
      </c>
      <c r="U129" s="4"/>
      <c r="V129" s="39"/>
      <c r="W129" s="39"/>
    </row>
    <row r="130" spans="1:23" ht="15" hidden="1" thickBot="1">
      <c r="A130" s="4" t="s">
        <v>25</v>
      </c>
      <c r="B130" s="4" t="s">
        <v>26</v>
      </c>
      <c r="C130" s="4" t="s">
        <v>27</v>
      </c>
      <c r="D130" s="4" t="s">
        <v>28</v>
      </c>
      <c r="E130" s="4" t="s">
        <v>195</v>
      </c>
      <c r="F130" s="31">
        <v>45853</v>
      </c>
      <c r="G130" s="4">
        <v>5456</v>
      </c>
      <c r="H130" s="31" t="s">
        <v>537</v>
      </c>
      <c r="I130" s="31" t="s">
        <v>538</v>
      </c>
      <c r="J130" s="31" t="s">
        <v>115</v>
      </c>
      <c r="K130" s="4" t="s">
        <v>33</v>
      </c>
      <c r="L130" s="4" t="s">
        <v>539</v>
      </c>
      <c r="M130" s="31" t="s">
        <v>540</v>
      </c>
      <c r="N130" s="31" t="s">
        <v>262</v>
      </c>
      <c r="O130" s="31"/>
      <c r="P130" s="31" t="s">
        <v>37</v>
      </c>
      <c r="Q130" s="31" t="s">
        <v>541</v>
      </c>
      <c r="R130" s="34">
        <v>75</v>
      </c>
      <c r="S130" s="59">
        <v>283.75</v>
      </c>
      <c r="T130" s="37">
        <v>358.75</v>
      </c>
      <c r="U130" s="4"/>
      <c r="V130" s="39"/>
      <c r="W130" s="39"/>
    </row>
    <row r="131" spans="1:23" ht="15" hidden="1" thickBot="1">
      <c r="A131" s="4" t="s">
        <v>25</v>
      </c>
      <c r="B131" s="4" t="s">
        <v>26</v>
      </c>
      <c r="C131" s="4" t="s">
        <v>27</v>
      </c>
      <c r="D131" s="4" t="s">
        <v>28</v>
      </c>
      <c r="E131" s="4" t="s">
        <v>195</v>
      </c>
      <c r="F131" s="31">
        <v>45853</v>
      </c>
      <c r="G131" s="4">
        <v>5457</v>
      </c>
      <c r="H131" s="31" t="s">
        <v>542</v>
      </c>
      <c r="I131" s="31" t="s">
        <v>543</v>
      </c>
      <c r="J131" s="31" t="s">
        <v>115</v>
      </c>
      <c r="K131" s="4" t="s">
        <v>33</v>
      </c>
      <c r="L131" s="4" t="s">
        <v>544</v>
      </c>
      <c r="M131" s="31" t="s">
        <v>55</v>
      </c>
      <c r="N131" s="31" t="s">
        <v>262</v>
      </c>
      <c r="O131" s="31"/>
      <c r="P131" s="31" t="s">
        <v>37</v>
      </c>
      <c r="Q131" s="31" t="s">
        <v>55</v>
      </c>
      <c r="R131" s="34">
        <v>75</v>
      </c>
      <c r="S131" s="34">
        <v>163.75</v>
      </c>
      <c r="T131" s="58">
        <f>SUM(R131:S131)</f>
        <v>238.75</v>
      </c>
      <c r="U131" s="4"/>
      <c r="V131" s="39"/>
      <c r="W131" s="39"/>
    </row>
    <row r="132" spans="1:23" ht="15" hidden="1" thickBot="1">
      <c r="A132" s="4" t="s">
        <v>25</v>
      </c>
      <c r="B132" s="4" t="s">
        <v>26</v>
      </c>
      <c r="C132" s="4" t="s">
        <v>27</v>
      </c>
      <c r="D132" s="4" t="s">
        <v>28</v>
      </c>
      <c r="E132" s="4" t="s">
        <v>195</v>
      </c>
      <c r="F132" s="31">
        <v>45853</v>
      </c>
      <c r="G132" s="4">
        <v>5458</v>
      </c>
      <c r="H132" s="31" t="s">
        <v>545</v>
      </c>
      <c r="I132" s="31" t="s">
        <v>546</v>
      </c>
      <c r="J132" s="31" t="s">
        <v>115</v>
      </c>
      <c r="K132" s="4" t="s">
        <v>33</v>
      </c>
      <c r="L132" s="4" t="s">
        <v>547</v>
      </c>
      <c r="M132" s="31"/>
      <c r="N132" s="31" t="s">
        <v>499</v>
      </c>
      <c r="O132" s="31"/>
      <c r="P132" s="31" t="s">
        <v>499</v>
      </c>
      <c r="Q132" s="31"/>
      <c r="R132" s="34">
        <v>75</v>
      </c>
      <c r="S132" s="31"/>
      <c r="T132" s="4"/>
      <c r="U132" s="4"/>
      <c r="V132" s="39"/>
      <c r="W132" s="39"/>
    </row>
    <row r="133" spans="1:23" ht="15" hidden="1" thickBot="1">
      <c r="A133" s="4" t="s">
        <v>25</v>
      </c>
      <c r="B133" s="4" t="s">
        <v>26</v>
      </c>
      <c r="C133" s="4" t="s">
        <v>27</v>
      </c>
      <c r="D133" s="4" t="s">
        <v>28</v>
      </c>
      <c r="E133" s="4" t="s">
        <v>195</v>
      </c>
      <c r="F133" s="31">
        <v>45853</v>
      </c>
      <c r="G133" s="4">
        <v>5459</v>
      </c>
      <c r="H133" s="31" t="s">
        <v>548</v>
      </c>
      <c r="I133" s="31" t="s">
        <v>549</v>
      </c>
      <c r="J133" s="31" t="s">
        <v>115</v>
      </c>
      <c r="K133" s="4" t="s">
        <v>33</v>
      </c>
      <c r="L133" s="4" t="s">
        <v>351</v>
      </c>
      <c r="M133" s="31" t="s">
        <v>550</v>
      </c>
      <c r="N133" s="31" t="s">
        <v>499</v>
      </c>
      <c r="O133" s="31"/>
      <c r="P133" s="31" t="s">
        <v>499</v>
      </c>
      <c r="Q133" s="31"/>
      <c r="R133" s="34">
        <v>75</v>
      </c>
      <c r="S133" s="31"/>
      <c r="T133" s="4"/>
      <c r="U133" s="4"/>
      <c r="V133" s="39"/>
      <c r="W133" s="39"/>
    </row>
    <row r="134" spans="1:23" ht="44" hidden="1" thickBot="1">
      <c r="A134" s="4" t="s">
        <v>25</v>
      </c>
      <c r="B134" s="4" t="s">
        <v>26</v>
      </c>
      <c r="C134" s="4" t="s">
        <v>27</v>
      </c>
      <c r="D134" s="4" t="s">
        <v>28</v>
      </c>
      <c r="E134" s="4" t="s">
        <v>195</v>
      </c>
      <c r="F134" s="31">
        <v>45853</v>
      </c>
      <c r="G134" s="4">
        <v>5460</v>
      </c>
      <c r="H134" s="31" t="s">
        <v>551</v>
      </c>
      <c r="I134" s="31" t="s">
        <v>552</v>
      </c>
      <c r="J134" s="31" t="s">
        <v>115</v>
      </c>
      <c r="K134" s="4" t="s">
        <v>33</v>
      </c>
      <c r="L134" s="4" t="s">
        <v>553</v>
      </c>
      <c r="M134" s="31" t="s">
        <v>554</v>
      </c>
      <c r="N134" s="31" t="s">
        <v>499</v>
      </c>
      <c r="O134" s="31"/>
      <c r="P134" s="31" t="s">
        <v>555</v>
      </c>
      <c r="Q134" s="31"/>
      <c r="R134" s="34">
        <v>75</v>
      </c>
      <c r="S134" s="31"/>
      <c r="T134" s="4"/>
      <c r="U134" s="4"/>
      <c r="V134" s="39"/>
      <c r="W134" s="39"/>
    </row>
    <row r="135" spans="1:23" ht="15" hidden="1" thickBot="1">
      <c r="A135" s="4" t="s">
        <v>25</v>
      </c>
      <c r="B135" s="4" t="s">
        <v>26</v>
      </c>
      <c r="C135" s="4" t="s">
        <v>27</v>
      </c>
      <c r="D135" s="4" t="s">
        <v>28</v>
      </c>
      <c r="E135" s="4" t="s">
        <v>195</v>
      </c>
      <c r="F135" s="31">
        <v>45853</v>
      </c>
      <c r="G135" s="4">
        <v>5461</v>
      </c>
      <c r="H135" s="31" t="s">
        <v>556</v>
      </c>
      <c r="I135" s="31" t="s">
        <v>557</v>
      </c>
      <c r="J135" s="31" t="s">
        <v>558</v>
      </c>
      <c r="K135" s="4" t="s">
        <v>48</v>
      </c>
      <c r="L135" s="4" t="s">
        <v>559</v>
      </c>
      <c r="M135" s="31"/>
      <c r="N135" s="31" t="s">
        <v>499</v>
      </c>
      <c r="O135" s="31"/>
      <c r="P135" s="31" t="s">
        <v>560</v>
      </c>
      <c r="Q135" s="31" t="s">
        <v>561</v>
      </c>
      <c r="R135" s="34">
        <v>75</v>
      </c>
      <c r="S135" s="31"/>
      <c r="T135" s="37">
        <v>75</v>
      </c>
      <c r="U135" s="4"/>
      <c r="V135" s="39"/>
      <c r="W135" s="39"/>
    </row>
    <row r="136" spans="1:23" ht="15" hidden="1" thickBot="1">
      <c r="A136" s="4" t="s">
        <v>25</v>
      </c>
      <c r="B136" s="4" t="s">
        <v>26</v>
      </c>
      <c r="C136" s="4" t="s">
        <v>27</v>
      </c>
      <c r="D136" s="4" t="s">
        <v>28</v>
      </c>
      <c r="E136" s="4" t="s">
        <v>195</v>
      </c>
      <c r="F136" s="31">
        <v>45853</v>
      </c>
      <c r="G136" s="4">
        <v>5462</v>
      </c>
      <c r="H136" s="31" t="s">
        <v>562</v>
      </c>
      <c r="I136" s="31" t="s">
        <v>563</v>
      </c>
      <c r="J136" s="31" t="s">
        <v>115</v>
      </c>
      <c r="K136" s="4" t="s">
        <v>33</v>
      </c>
      <c r="L136" s="4" t="s">
        <v>564</v>
      </c>
      <c r="M136" s="31" t="s">
        <v>565</v>
      </c>
      <c r="N136" s="31" t="s">
        <v>262</v>
      </c>
      <c r="O136" s="31"/>
      <c r="P136" s="4" t="s">
        <v>413</v>
      </c>
      <c r="Q136" s="31" t="s">
        <v>55</v>
      </c>
      <c r="R136" s="34">
        <v>75</v>
      </c>
      <c r="S136" s="34">
        <v>163.75</v>
      </c>
      <c r="T136" s="58">
        <f>SUM(R136:S136)</f>
        <v>238.75</v>
      </c>
      <c r="U136" s="4"/>
      <c r="V136" s="39"/>
      <c r="W136" s="39"/>
    </row>
    <row r="137" spans="1:23" ht="29.5" hidden="1" thickBot="1">
      <c r="A137" s="4" t="s">
        <v>25</v>
      </c>
      <c r="B137" s="4" t="s">
        <v>26</v>
      </c>
      <c r="C137" s="4" t="s">
        <v>27</v>
      </c>
      <c r="D137" s="4" t="s">
        <v>28</v>
      </c>
      <c r="E137" s="4" t="s">
        <v>195</v>
      </c>
      <c r="F137" s="31">
        <v>45853</v>
      </c>
      <c r="G137" s="4">
        <v>5463</v>
      </c>
      <c r="H137" s="31" t="s">
        <v>566</v>
      </c>
      <c r="I137" s="31" t="s">
        <v>567</v>
      </c>
      <c r="J137" s="31" t="s">
        <v>441</v>
      </c>
      <c r="K137" s="4" t="s">
        <v>33</v>
      </c>
      <c r="L137" s="4" t="s">
        <v>568</v>
      </c>
      <c r="M137" s="31" t="s">
        <v>569</v>
      </c>
      <c r="N137" s="31" t="s">
        <v>499</v>
      </c>
      <c r="O137" s="31"/>
      <c r="P137" s="31" t="s">
        <v>570</v>
      </c>
      <c r="Q137" s="31"/>
      <c r="R137" s="34">
        <v>75</v>
      </c>
      <c r="S137" s="31"/>
      <c r="T137" s="4"/>
      <c r="U137" s="4"/>
      <c r="V137" s="39"/>
      <c r="W137" s="39"/>
    </row>
    <row r="138" spans="1:23" ht="15" hidden="1" thickBot="1">
      <c r="A138" s="4" t="s">
        <v>25</v>
      </c>
      <c r="B138" s="4" t="s">
        <v>26</v>
      </c>
      <c r="C138" s="4" t="s">
        <v>27</v>
      </c>
      <c r="D138" s="4" t="s">
        <v>28</v>
      </c>
      <c r="E138" s="4" t="s">
        <v>195</v>
      </c>
      <c r="F138" s="31">
        <v>45853</v>
      </c>
      <c r="G138" s="4">
        <v>5464</v>
      </c>
      <c r="H138" s="31" t="s">
        <v>571</v>
      </c>
      <c r="I138" s="31" t="s">
        <v>572</v>
      </c>
      <c r="J138" s="31" t="s">
        <v>115</v>
      </c>
      <c r="K138" s="4" t="s">
        <v>33</v>
      </c>
      <c r="L138" s="4" t="s">
        <v>573</v>
      </c>
      <c r="M138" s="31" t="s">
        <v>574</v>
      </c>
      <c r="N138" s="31" t="s">
        <v>499</v>
      </c>
      <c r="O138" s="31"/>
      <c r="P138" s="31" t="s">
        <v>499</v>
      </c>
      <c r="Q138" s="31"/>
      <c r="R138" s="34">
        <v>75</v>
      </c>
      <c r="S138" s="31"/>
      <c r="T138" s="4"/>
      <c r="U138" s="4"/>
      <c r="V138" s="39"/>
      <c r="W138" s="39"/>
    </row>
    <row r="139" spans="1:23" ht="15" hidden="1" thickBot="1">
      <c r="A139" s="4" t="s">
        <v>25</v>
      </c>
      <c r="B139" s="4" t="s">
        <v>26</v>
      </c>
      <c r="C139" s="4" t="s">
        <v>27</v>
      </c>
      <c r="D139" s="64" t="s">
        <v>28</v>
      </c>
      <c r="E139" s="4" t="s">
        <v>195</v>
      </c>
      <c r="F139" s="31">
        <v>45853</v>
      </c>
      <c r="G139" s="4">
        <v>5465</v>
      </c>
      <c r="H139" s="31" t="s">
        <v>575</v>
      </c>
      <c r="I139" s="31" t="s">
        <v>576</v>
      </c>
      <c r="J139" s="31" t="s">
        <v>428</v>
      </c>
      <c r="K139" s="31" t="s">
        <v>48</v>
      </c>
      <c r="L139" s="4" t="s">
        <v>351</v>
      </c>
      <c r="M139" s="31" t="s">
        <v>577</v>
      </c>
      <c r="N139" s="31" t="s">
        <v>262</v>
      </c>
      <c r="O139" s="31"/>
      <c r="P139" s="31" t="s">
        <v>578</v>
      </c>
      <c r="Q139" s="31" t="s">
        <v>352</v>
      </c>
      <c r="R139" s="34">
        <v>75</v>
      </c>
      <c r="S139" s="37">
        <v>160</v>
      </c>
      <c r="T139" s="37">
        <v>235</v>
      </c>
      <c r="U139" s="4"/>
      <c r="V139" s="39"/>
      <c r="W139" s="39"/>
    </row>
    <row r="140" spans="1:23" ht="15" hidden="1" thickBot="1">
      <c r="A140" s="4" t="s">
        <v>25</v>
      </c>
      <c r="B140" s="4" t="s">
        <v>26</v>
      </c>
      <c r="C140" s="4" t="s">
        <v>27</v>
      </c>
      <c r="D140" s="4" t="s">
        <v>28</v>
      </c>
      <c r="E140" s="4" t="s">
        <v>195</v>
      </c>
      <c r="F140" s="31">
        <v>45853</v>
      </c>
      <c r="G140" s="4">
        <v>5466</v>
      </c>
      <c r="H140" s="31" t="s">
        <v>579</v>
      </c>
      <c r="I140" s="31" t="s">
        <v>580</v>
      </c>
      <c r="J140" s="31" t="s">
        <v>428</v>
      </c>
      <c r="K140" s="31" t="s">
        <v>48</v>
      </c>
      <c r="L140" s="4" t="s">
        <v>351</v>
      </c>
      <c r="M140" s="31" t="s">
        <v>577</v>
      </c>
      <c r="N140" s="31" t="s">
        <v>262</v>
      </c>
      <c r="O140" s="31"/>
      <c r="P140" s="31" t="s">
        <v>578</v>
      </c>
      <c r="Q140" s="31" t="s">
        <v>352</v>
      </c>
      <c r="R140" s="34">
        <v>75</v>
      </c>
      <c r="S140" s="37">
        <v>160</v>
      </c>
      <c r="T140" s="37">
        <v>235</v>
      </c>
      <c r="U140" s="4"/>
      <c r="V140" s="39"/>
      <c r="W140" s="39"/>
    </row>
    <row r="141" spans="1:23" ht="15" hidden="1" thickBot="1">
      <c r="A141" s="4" t="s">
        <v>25</v>
      </c>
      <c r="B141" s="4" t="s">
        <v>26</v>
      </c>
      <c r="C141" s="4" t="s">
        <v>27</v>
      </c>
      <c r="D141" s="4" t="s">
        <v>28</v>
      </c>
      <c r="E141" s="4" t="s">
        <v>195</v>
      </c>
      <c r="F141" s="31">
        <v>45853</v>
      </c>
      <c r="G141" s="4">
        <v>5468</v>
      </c>
      <c r="H141" s="31" t="s">
        <v>581</v>
      </c>
      <c r="I141" s="31" t="s">
        <v>582</v>
      </c>
      <c r="J141" s="31" t="s">
        <v>583</v>
      </c>
      <c r="K141" s="31" t="s">
        <v>48</v>
      </c>
      <c r="L141" s="4" t="s">
        <v>553</v>
      </c>
      <c r="M141" s="31" t="s">
        <v>513</v>
      </c>
      <c r="N141" s="31" t="s">
        <v>262</v>
      </c>
      <c r="O141" s="31"/>
      <c r="P141" s="31" t="s">
        <v>584</v>
      </c>
      <c r="Q141" s="31" t="s">
        <v>258</v>
      </c>
      <c r="R141" s="34">
        <v>75</v>
      </c>
      <c r="S141" s="31"/>
      <c r="T141" s="37">
        <v>75</v>
      </c>
      <c r="U141" s="4"/>
      <c r="V141" s="39"/>
      <c r="W141" s="39"/>
    </row>
    <row r="142" spans="1:23" ht="15" hidden="1" thickBot="1">
      <c r="A142" s="4" t="s">
        <v>25</v>
      </c>
      <c r="B142" s="4" t="s">
        <v>26</v>
      </c>
      <c r="C142" s="4" t="s">
        <v>27</v>
      </c>
      <c r="D142" s="4" t="s">
        <v>28</v>
      </c>
      <c r="E142" s="4" t="s">
        <v>195</v>
      </c>
      <c r="F142" s="31">
        <v>45853</v>
      </c>
      <c r="G142" s="4">
        <v>5469</v>
      </c>
      <c r="H142" s="31" t="s">
        <v>585</v>
      </c>
      <c r="I142" s="31" t="s">
        <v>586</v>
      </c>
      <c r="J142" s="31" t="s">
        <v>428</v>
      </c>
      <c r="K142" s="31" t="s">
        <v>48</v>
      </c>
      <c r="L142" s="4" t="s">
        <v>587</v>
      </c>
      <c r="M142" s="31"/>
      <c r="N142" s="31" t="s">
        <v>499</v>
      </c>
      <c r="O142" s="31"/>
      <c r="P142" s="31" t="s">
        <v>499</v>
      </c>
      <c r="Q142" s="31"/>
      <c r="R142" s="34">
        <v>75</v>
      </c>
      <c r="S142" s="31"/>
      <c r="T142" s="4"/>
      <c r="U142" s="4"/>
      <c r="V142" s="39"/>
      <c r="W142" s="39"/>
    </row>
    <row r="143" spans="1:23" ht="15" hidden="1" thickBot="1">
      <c r="A143" s="4" t="s">
        <v>25</v>
      </c>
      <c r="B143" s="4" t="s">
        <v>26</v>
      </c>
      <c r="C143" s="4" t="s">
        <v>27</v>
      </c>
      <c r="D143" s="4" t="s">
        <v>28</v>
      </c>
      <c r="E143" s="4" t="s">
        <v>195</v>
      </c>
      <c r="F143" s="31">
        <v>45853</v>
      </c>
      <c r="G143" s="4">
        <v>5470</v>
      </c>
      <c r="H143" s="31" t="s">
        <v>588</v>
      </c>
      <c r="I143" s="31" t="s">
        <v>589</v>
      </c>
      <c r="J143" s="31" t="s">
        <v>463</v>
      </c>
      <c r="K143" s="31" t="s">
        <v>48</v>
      </c>
      <c r="L143" s="4" t="s">
        <v>241</v>
      </c>
      <c r="M143" s="31" t="s">
        <v>457</v>
      </c>
      <c r="N143" s="31" t="s">
        <v>262</v>
      </c>
      <c r="O143" s="31"/>
      <c r="P143" s="31" t="s">
        <v>590</v>
      </c>
      <c r="Q143" s="31" t="s">
        <v>457</v>
      </c>
      <c r="R143" s="34">
        <v>75</v>
      </c>
      <c r="S143" s="31"/>
      <c r="T143" s="37">
        <v>75</v>
      </c>
      <c r="U143" s="4"/>
      <c r="V143" s="39"/>
      <c r="W143" s="39"/>
    </row>
    <row r="144" spans="1:23" ht="15" hidden="1" thickBot="1">
      <c r="A144" s="4" t="s">
        <v>25</v>
      </c>
      <c r="B144" s="4" t="s">
        <v>26</v>
      </c>
      <c r="C144" s="4" t="s">
        <v>27</v>
      </c>
      <c r="D144" s="4" t="s">
        <v>28</v>
      </c>
      <c r="E144" s="4" t="s">
        <v>195</v>
      </c>
      <c r="F144" s="31">
        <v>45853</v>
      </c>
      <c r="G144" s="4">
        <v>5471</v>
      </c>
      <c r="H144" s="31" t="s">
        <v>591</v>
      </c>
      <c r="I144" s="31" t="s">
        <v>592</v>
      </c>
      <c r="J144" s="31" t="s">
        <v>463</v>
      </c>
      <c r="K144" s="31" t="s">
        <v>48</v>
      </c>
      <c r="L144" s="4" t="s">
        <v>593</v>
      </c>
      <c r="M144" s="31"/>
      <c r="N144" s="31" t="s">
        <v>499</v>
      </c>
      <c r="O144" s="31"/>
      <c r="P144" s="31" t="s">
        <v>499</v>
      </c>
      <c r="Q144" s="31"/>
      <c r="R144" s="34">
        <v>75</v>
      </c>
      <c r="S144" s="31"/>
      <c r="T144" s="4"/>
      <c r="U144" s="4"/>
      <c r="V144" s="39"/>
      <c r="W144" s="39"/>
    </row>
    <row r="145" spans="1:23" ht="15" hidden="1" thickBot="1">
      <c r="A145" s="4" t="s">
        <v>25</v>
      </c>
      <c r="B145" s="4" t="s">
        <v>26</v>
      </c>
      <c r="C145" s="4" t="s">
        <v>27</v>
      </c>
      <c r="D145" s="4" t="s">
        <v>28</v>
      </c>
      <c r="E145" s="4" t="s">
        <v>195</v>
      </c>
      <c r="F145" s="31">
        <v>45853</v>
      </c>
      <c r="G145" s="4">
        <v>5472</v>
      </c>
      <c r="H145" s="31" t="s">
        <v>594</v>
      </c>
      <c r="I145" s="31" t="s">
        <v>595</v>
      </c>
      <c r="J145" s="31" t="s">
        <v>115</v>
      </c>
      <c r="K145" s="31" t="s">
        <v>33</v>
      </c>
      <c r="L145" s="4" t="s">
        <v>596</v>
      </c>
      <c r="M145" s="31" t="s">
        <v>597</v>
      </c>
      <c r="N145" s="31" t="s">
        <v>262</v>
      </c>
      <c r="O145" s="31"/>
      <c r="P145" s="31" t="s">
        <v>598</v>
      </c>
      <c r="Q145" s="31" t="s">
        <v>597</v>
      </c>
      <c r="R145" s="34">
        <v>75</v>
      </c>
      <c r="S145" s="34">
        <v>183.75</v>
      </c>
      <c r="T145" s="58">
        <v>258.75</v>
      </c>
      <c r="U145" s="4"/>
      <c r="V145" s="39"/>
      <c r="W145" s="39"/>
    </row>
    <row r="146" spans="1:23" ht="29.5" hidden="1" thickBot="1">
      <c r="A146" s="4" t="s">
        <v>154</v>
      </c>
      <c r="B146" s="4" t="s">
        <v>155</v>
      </c>
      <c r="C146" s="4">
        <v>616866669</v>
      </c>
      <c r="D146" s="4" t="s">
        <v>156</v>
      </c>
      <c r="E146" s="64" t="s">
        <v>599</v>
      </c>
      <c r="F146" s="31">
        <v>45853</v>
      </c>
      <c r="G146" s="4">
        <v>5473</v>
      </c>
      <c r="H146" s="31" t="s">
        <v>600</v>
      </c>
      <c r="I146" s="31" t="s">
        <v>601</v>
      </c>
      <c r="J146" s="31" t="s">
        <v>165</v>
      </c>
      <c r="K146" s="31" t="s">
        <v>33</v>
      </c>
      <c r="L146" s="31" t="s">
        <v>602</v>
      </c>
      <c r="M146" s="31" t="s">
        <v>603</v>
      </c>
      <c r="N146" s="4" t="s">
        <v>262</v>
      </c>
      <c r="O146" s="4"/>
      <c r="P146" s="31" t="s">
        <v>604</v>
      </c>
      <c r="Q146" s="31" t="s">
        <v>605</v>
      </c>
      <c r="R146" s="34">
        <v>75</v>
      </c>
      <c r="S146" s="59">
        <v>395.5</v>
      </c>
      <c r="T146" s="37">
        <v>470.5</v>
      </c>
      <c r="U146" s="36">
        <v>45898</v>
      </c>
      <c r="V146" s="39"/>
      <c r="W146" s="39"/>
    </row>
    <row r="147" spans="1:23" ht="15" hidden="1" thickBot="1">
      <c r="A147" s="4" t="s">
        <v>154</v>
      </c>
      <c r="B147" s="4" t="s">
        <v>155</v>
      </c>
      <c r="C147" s="4">
        <v>616866669</v>
      </c>
      <c r="D147" s="4" t="s">
        <v>156</v>
      </c>
      <c r="E147" s="4" t="s">
        <v>157</v>
      </c>
      <c r="F147" s="31">
        <v>45853</v>
      </c>
      <c r="G147" s="4">
        <v>5474</v>
      </c>
      <c r="H147" s="31" t="s">
        <v>606</v>
      </c>
      <c r="I147" s="31" t="s">
        <v>607</v>
      </c>
      <c r="J147" s="31" t="s">
        <v>165</v>
      </c>
      <c r="K147" s="31" t="s">
        <v>33</v>
      </c>
      <c r="L147" s="31" t="s">
        <v>608</v>
      </c>
      <c r="M147" s="31"/>
      <c r="N147" s="31" t="s">
        <v>499</v>
      </c>
      <c r="O147" s="31"/>
      <c r="P147" s="31" t="s">
        <v>499</v>
      </c>
      <c r="Q147" s="31"/>
      <c r="R147" s="34">
        <v>75</v>
      </c>
      <c r="S147" s="31"/>
      <c r="T147" s="4"/>
      <c r="U147" s="36"/>
      <c r="V147" s="39"/>
      <c r="W147" s="39"/>
    </row>
    <row r="148" spans="1:23" ht="15" hidden="1" thickBot="1">
      <c r="A148" s="4" t="s">
        <v>154</v>
      </c>
      <c r="B148" s="4" t="s">
        <v>155</v>
      </c>
      <c r="C148" s="4">
        <v>616866669</v>
      </c>
      <c r="D148" s="4" t="s">
        <v>156</v>
      </c>
      <c r="E148" s="4" t="s">
        <v>157</v>
      </c>
      <c r="F148" s="31">
        <v>45853</v>
      </c>
      <c r="G148" s="4">
        <v>5475</v>
      </c>
      <c r="H148" s="31" t="s">
        <v>609</v>
      </c>
      <c r="I148" s="31" t="s">
        <v>610</v>
      </c>
      <c r="J148" s="31" t="s">
        <v>165</v>
      </c>
      <c r="K148" s="31" t="s">
        <v>33</v>
      </c>
      <c r="L148" s="31" t="s">
        <v>241</v>
      </c>
      <c r="M148" s="31" t="s">
        <v>457</v>
      </c>
      <c r="N148" s="4" t="s">
        <v>262</v>
      </c>
      <c r="O148" s="4"/>
      <c r="P148" s="31" t="s">
        <v>611</v>
      </c>
      <c r="Q148" s="31" t="s">
        <v>55</v>
      </c>
      <c r="R148" s="34">
        <v>75</v>
      </c>
      <c r="S148" s="34">
        <v>163.75</v>
      </c>
      <c r="T148" s="58">
        <f>SUM(R148:S148)</f>
        <v>238.75</v>
      </c>
      <c r="U148" s="36">
        <v>45898</v>
      </c>
      <c r="V148" s="39"/>
      <c r="W148" s="39"/>
    </row>
    <row r="149" spans="1:23" ht="15" hidden="1" thickBot="1">
      <c r="A149" s="4" t="s">
        <v>154</v>
      </c>
      <c r="B149" s="4" t="s">
        <v>155</v>
      </c>
      <c r="C149" s="4">
        <v>616866669</v>
      </c>
      <c r="D149" s="4" t="s">
        <v>156</v>
      </c>
      <c r="E149" s="4" t="s">
        <v>157</v>
      </c>
      <c r="F149" s="31">
        <v>45853</v>
      </c>
      <c r="G149" s="4">
        <v>5476</v>
      </c>
      <c r="H149" s="31" t="s">
        <v>612</v>
      </c>
      <c r="I149" s="31" t="s">
        <v>613</v>
      </c>
      <c r="J149" s="31" t="s">
        <v>165</v>
      </c>
      <c r="K149" s="31" t="s">
        <v>33</v>
      </c>
      <c r="L149" s="31" t="s">
        <v>241</v>
      </c>
      <c r="M149" s="31" t="s">
        <v>406</v>
      </c>
      <c r="N149" s="4" t="s">
        <v>262</v>
      </c>
      <c r="O149" s="4"/>
      <c r="P149" s="31" t="s">
        <v>37</v>
      </c>
      <c r="Q149" s="31" t="s">
        <v>614</v>
      </c>
      <c r="R149" s="34">
        <v>75</v>
      </c>
      <c r="S149" s="34">
        <v>275.5</v>
      </c>
      <c r="T149" s="58">
        <v>350.5</v>
      </c>
      <c r="U149" s="36">
        <v>45898</v>
      </c>
      <c r="V149" s="39"/>
      <c r="W149" s="39"/>
    </row>
    <row r="150" spans="1:23" ht="15" hidden="1" thickBot="1">
      <c r="A150" s="4" t="s">
        <v>154</v>
      </c>
      <c r="B150" s="4" t="s">
        <v>155</v>
      </c>
      <c r="C150" s="4">
        <v>616866669</v>
      </c>
      <c r="D150" s="4" t="s">
        <v>156</v>
      </c>
      <c r="E150" s="4" t="s">
        <v>157</v>
      </c>
      <c r="F150" s="31">
        <v>45853</v>
      </c>
      <c r="G150" s="4">
        <v>5477</v>
      </c>
      <c r="H150" s="31" t="s">
        <v>615</v>
      </c>
      <c r="I150" s="31" t="s">
        <v>616</v>
      </c>
      <c r="J150" s="31" t="s">
        <v>165</v>
      </c>
      <c r="K150" s="31" t="s">
        <v>33</v>
      </c>
      <c r="L150" s="31" t="s">
        <v>241</v>
      </c>
      <c r="M150" s="31" t="s">
        <v>457</v>
      </c>
      <c r="N150" s="4" t="s">
        <v>262</v>
      </c>
      <c r="O150" s="4"/>
      <c r="P150" s="31" t="s">
        <v>37</v>
      </c>
      <c r="Q150" s="31" t="s">
        <v>55</v>
      </c>
      <c r="R150" s="34">
        <v>75</v>
      </c>
      <c r="S150" s="59">
        <v>163.75</v>
      </c>
      <c r="T150" s="37">
        <v>238.75</v>
      </c>
      <c r="U150" s="36">
        <v>45898</v>
      </c>
      <c r="V150" s="39"/>
      <c r="W150" s="39"/>
    </row>
    <row r="151" spans="1:23" ht="15" hidden="1" thickBot="1">
      <c r="A151" s="4" t="s">
        <v>154</v>
      </c>
      <c r="B151" s="4" t="s">
        <v>155</v>
      </c>
      <c r="C151" s="4">
        <v>616866669</v>
      </c>
      <c r="D151" s="4" t="s">
        <v>156</v>
      </c>
      <c r="E151" s="4" t="s">
        <v>157</v>
      </c>
      <c r="F151" s="31">
        <v>45853</v>
      </c>
      <c r="G151" s="4">
        <v>5478</v>
      </c>
      <c r="H151" s="31" t="s">
        <v>353</v>
      </c>
      <c r="I151" s="31" t="s">
        <v>354</v>
      </c>
      <c r="J151" s="31" t="s">
        <v>165</v>
      </c>
      <c r="K151" s="31" t="s">
        <v>33</v>
      </c>
      <c r="L151" s="31" t="s">
        <v>470</v>
      </c>
      <c r="M151" s="31" t="s">
        <v>457</v>
      </c>
      <c r="N151" s="4" t="s">
        <v>262</v>
      </c>
      <c r="O151" s="4"/>
      <c r="P151" s="31" t="s">
        <v>611</v>
      </c>
      <c r="Q151" s="31" t="s">
        <v>55</v>
      </c>
      <c r="R151" s="34">
        <v>75</v>
      </c>
      <c r="S151" s="59">
        <v>163.75</v>
      </c>
      <c r="T151" s="37">
        <v>238.75</v>
      </c>
      <c r="U151" s="36">
        <v>45898</v>
      </c>
      <c r="V151" s="39"/>
      <c r="W151" s="39"/>
    </row>
    <row r="152" spans="1:23" ht="15" hidden="1" thickBot="1">
      <c r="A152" s="4" t="s">
        <v>154</v>
      </c>
      <c r="B152" s="4" t="s">
        <v>155</v>
      </c>
      <c r="C152" s="4">
        <v>616866669</v>
      </c>
      <c r="D152" s="4" t="s">
        <v>156</v>
      </c>
      <c r="E152" s="4" t="s">
        <v>157</v>
      </c>
      <c r="F152" s="31">
        <v>45853</v>
      </c>
      <c r="G152" s="4">
        <v>5479</v>
      </c>
      <c r="H152" s="31" t="s">
        <v>617</v>
      </c>
      <c r="I152" s="31" t="s">
        <v>618</v>
      </c>
      <c r="J152" s="31" t="s">
        <v>165</v>
      </c>
      <c r="K152" s="31" t="s">
        <v>33</v>
      </c>
      <c r="L152" s="31" t="s">
        <v>619</v>
      </c>
      <c r="M152" s="31" t="s">
        <v>457</v>
      </c>
      <c r="N152" s="4" t="s">
        <v>262</v>
      </c>
      <c r="O152" s="4"/>
      <c r="P152" s="31" t="s">
        <v>620</v>
      </c>
      <c r="Q152" s="31" t="s">
        <v>55</v>
      </c>
      <c r="R152" s="34">
        <v>75</v>
      </c>
      <c r="S152" s="59">
        <v>163.75</v>
      </c>
      <c r="T152" s="37">
        <v>238.75</v>
      </c>
      <c r="U152" s="36">
        <v>45898</v>
      </c>
      <c r="V152" s="39"/>
      <c r="W152" s="39"/>
    </row>
    <row r="153" spans="1:23" ht="15" hidden="1" thickBot="1">
      <c r="A153" s="4" t="s">
        <v>154</v>
      </c>
      <c r="B153" s="4" t="s">
        <v>155</v>
      </c>
      <c r="C153" s="4">
        <v>616866669</v>
      </c>
      <c r="D153" s="4" t="s">
        <v>156</v>
      </c>
      <c r="E153" s="4" t="s">
        <v>157</v>
      </c>
      <c r="F153" s="31">
        <v>45853</v>
      </c>
      <c r="G153" s="4">
        <v>5480</v>
      </c>
      <c r="H153" s="31" t="s">
        <v>621</v>
      </c>
      <c r="I153" s="31" t="s">
        <v>622</v>
      </c>
      <c r="J153" s="31" t="s">
        <v>165</v>
      </c>
      <c r="K153" s="31" t="s">
        <v>33</v>
      </c>
      <c r="L153" s="31" t="s">
        <v>623</v>
      </c>
      <c r="M153" s="31"/>
      <c r="N153" s="31" t="s">
        <v>499</v>
      </c>
      <c r="O153" s="31"/>
      <c r="P153" s="31" t="s">
        <v>499</v>
      </c>
      <c r="Q153" s="31"/>
      <c r="R153" s="34">
        <v>75</v>
      </c>
      <c r="S153" s="31"/>
      <c r="T153" s="4"/>
      <c r="U153" s="36"/>
      <c r="V153" s="39"/>
      <c r="W153" s="39"/>
    </row>
    <row r="154" spans="1:23" ht="15" hidden="1" thickBot="1">
      <c r="A154" s="4" t="s">
        <v>154</v>
      </c>
      <c r="B154" s="4" t="s">
        <v>155</v>
      </c>
      <c r="C154" s="4">
        <v>616866669</v>
      </c>
      <c r="D154" s="4" t="s">
        <v>156</v>
      </c>
      <c r="E154" s="4" t="s">
        <v>157</v>
      </c>
      <c r="F154" s="31">
        <v>45853</v>
      </c>
      <c r="G154" s="4">
        <v>5481</v>
      </c>
      <c r="H154" s="31" t="s">
        <v>624</v>
      </c>
      <c r="I154" s="31" t="s">
        <v>625</v>
      </c>
      <c r="J154" s="31" t="s">
        <v>165</v>
      </c>
      <c r="K154" s="31" t="s">
        <v>33</v>
      </c>
      <c r="L154" s="31" t="s">
        <v>626</v>
      </c>
      <c r="M154" s="31" t="s">
        <v>627</v>
      </c>
      <c r="N154" s="4" t="s">
        <v>262</v>
      </c>
      <c r="O154" s="4"/>
      <c r="P154" s="31" t="s">
        <v>37</v>
      </c>
      <c r="Q154" s="31" t="s">
        <v>628</v>
      </c>
      <c r="R154" s="34">
        <v>75</v>
      </c>
      <c r="S154" s="59">
        <v>183.75</v>
      </c>
      <c r="T154" s="37">
        <v>258.75</v>
      </c>
      <c r="U154" s="36">
        <v>45898</v>
      </c>
      <c r="V154" s="39"/>
      <c r="W154" s="39"/>
    </row>
    <row r="155" spans="1:23" ht="15" hidden="1" thickBot="1">
      <c r="A155" s="4" t="s">
        <v>154</v>
      </c>
      <c r="B155" s="4" t="s">
        <v>155</v>
      </c>
      <c r="C155" s="4">
        <v>616866669</v>
      </c>
      <c r="D155" s="4" t="s">
        <v>156</v>
      </c>
      <c r="E155" s="4" t="s">
        <v>157</v>
      </c>
      <c r="F155" s="31">
        <v>45853</v>
      </c>
      <c r="G155" s="4">
        <v>5482</v>
      </c>
      <c r="H155" s="31" t="s">
        <v>629</v>
      </c>
      <c r="I155" s="31" t="s">
        <v>630</v>
      </c>
      <c r="J155" s="31" t="s">
        <v>192</v>
      </c>
      <c r="K155" s="31" t="s">
        <v>33</v>
      </c>
      <c r="L155" s="31" t="s">
        <v>631</v>
      </c>
      <c r="M155" s="31" t="s">
        <v>632</v>
      </c>
      <c r="N155" s="4" t="s">
        <v>262</v>
      </c>
      <c r="O155" s="4"/>
      <c r="P155" s="31" t="s">
        <v>37</v>
      </c>
      <c r="Q155" s="31" t="s">
        <v>633</v>
      </c>
      <c r="R155" s="34">
        <v>75</v>
      </c>
      <c r="S155" s="59">
        <v>140</v>
      </c>
      <c r="T155" s="37">
        <v>215</v>
      </c>
      <c r="U155" s="36">
        <v>45898</v>
      </c>
      <c r="V155" s="39"/>
      <c r="W155" s="39"/>
    </row>
    <row r="156" spans="1:23" ht="15" hidden="1" thickBot="1">
      <c r="A156" s="4" t="s">
        <v>154</v>
      </c>
      <c r="B156" s="4" t="s">
        <v>155</v>
      </c>
      <c r="C156" s="4">
        <v>616866669</v>
      </c>
      <c r="D156" s="4" t="s">
        <v>156</v>
      </c>
      <c r="E156" s="4" t="s">
        <v>157</v>
      </c>
      <c r="F156" s="31">
        <v>45853</v>
      </c>
      <c r="G156" s="4">
        <v>5483</v>
      </c>
      <c r="H156" s="31" t="s">
        <v>634</v>
      </c>
      <c r="I156" s="67" t="s">
        <v>635</v>
      </c>
      <c r="J156" s="31" t="s">
        <v>192</v>
      </c>
      <c r="K156" s="31" t="s">
        <v>33</v>
      </c>
      <c r="L156" s="31" t="s">
        <v>636</v>
      </c>
      <c r="M156" s="31" t="s">
        <v>637</v>
      </c>
      <c r="N156" s="4" t="s">
        <v>262</v>
      </c>
      <c r="O156" s="4"/>
      <c r="P156" s="31" t="s">
        <v>37</v>
      </c>
      <c r="Q156" s="31" t="s">
        <v>637</v>
      </c>
      <c r="R156" s="34">
        <v>75</v>
      </c>
      <c r="S156" s="59">
        <v>315</v>
      </c>
      <c r="T156" s="37">
        <v>390</v>
      </c>
      <c r="U156" s="36">
        <v>45898</v>
      </c>
      <c r="V156" s="39"/>
      <c r="W156" s="39"/>
    </row>
    <row r="157" spans="1:23" ht="15" hidden="1" thickBot="1">
      <c r="A157" s="4" t="s">
        <v>25</v>
      </c>
      <c r="B157" s="4" t="s">
        <v>26</v>
      </c>
      <c r="C157" s="4" t="s">
        <v>27</v>
      </c>
      <c r="D157" s="4" t="s">
        <v>28</v>
      </c>
      <c r="E157" s="4" t="s">
        <v>195</v>
      </c>
      <c r="F157" s="31">
        <v>45862</v>
      </c>
      <c r="G157" s="4">
        <v>5484</v>
      </c>
      <c r="H157" s="4" t="s">
        <v>638</v>
      </c>
      <c r="I157" s="4" t="s">
        <v>639</v>
      </c>
      <c r="J157" s="4" t="s">
        <v>160</v>
      </c>
      <c r="K157" s="31" t="s">
        <v>33</v>
      </c>
      <c r="L157" s="4" t="s">
        <v>640</v>
      </c>
      <c r="M157" s="4" t="s">
        <v>641</v>
      </c>
      <c r="N157" s="4" t="s">
        <v>262</v>
      </c>
      <c r="O157" s="4"/>
      <c r="P157" s="4" t="s">
        <v>37</v>
      </c>
      <c r="Q157" s="4" t="s">
        <v>641</v>
      </c>
      <c r="R157" s="34">
        <v>75</v>
      </c>
      <c r="S157" s="59">
        <v>283.75</v>
      </c>
      <c r="T157" s="37">
        <v>358.75</v>
      </c>
      <c r="U157" s="36"/>
      <c r="V157" s="39"/>
      <c r="W157" s="39"/>
    </row>
    <row r="158" spans="1:23" ht="15" hidden="1" thickBot="1">
      <c r="A158" s="4" t="s">
        <v>25</v>
      </c>
      <c r="B158" s="4" t="s">
        <v>26</v>
      </c>
      <c r="C158" s="4" t="s">
        <v>27</v>
      </c>
      <c r="D158" s="4" t="s">
        <v>28</v>
      </c>
      <c r="E158" s="4" t="s">
        <v>195</v>
      </c>
      <c r="F158" s="31">
        <v>45862</v>
      </c>
      <c r="G158" s="4">
        <v>5485</v>
      </c>
      <c r="H158" s="4" t="s">
        <v>638</v>
      </c>
      <c r="I158" s="67" t="s">
        <v>642</v>
      </c>
      <c r="J158" s="4" t="s">
        <v>160</v>
      </c>
      <c r="K158" s="31" t="s">
        <v>33</v>
      </c>
      <c r="L158" s="4" t="s">
        <v>640</v>
      </c>
      <c r="M158" s="4" t="s">
        <v>251</v>
      </c>
      <c r="N158" s="4" t="s">
        <v>262</v>
      </c>
      <c r="O158" s="4"/>
      <c r="P158" s="4" t="s">
        <v>37</v>
      </c>
      <c r="Q158" s="4" t="s">
        <v>251</v>
      </c>
      <c r="R158" s="34">
        <v>75</v>
      </c>
      <c r="S158" s="59">
        <v>215</v>
      </c>
      <c r="T158" s="37">
        <v>290</v>
      </c>
      <c r="U158" s="36">
        <v>45898</v>
      </c>
      <c r="V158" s="39"/>
      <c r="W158" s="39"/>
    </row>
    <row r="159" spans="1:23" ht="15" hidden="1" thickBot="1">
      <c r="A159" s="4" t="s">
        <v>25</v>
      </c>
      <c r="B159" s="4" t="s">
        <v>26</v>
      </c>
      <c r="C159" s="4" t="s">
        <v>27</v>
      </c>
      <c r="D159" s="4" t="s">
        <v>28</v>
      </c>
      <c r="E159" s="4" t="s">
        <v>195</v>
      </c>
      <c r="F159" s="31">
        <v>45862</v>
      </c>
      <c r="G159" s="4">
        <v>5486</v>
      </c>
      <c r="H159" s="4" t="s">
        <v>643</v>
      </c>
      <c r="I159" s="50" t="s">
        <v>644</v>
      </c>
      <c r="J159" s="4" t="s">
        <v>397</v>
      </c>
      <c r="K159" s="4" t="s">
        <v>48</v>
      </c>
      <c r="L159" s="4" t="s">
        <v>645</v>
      </c>
      <c r="M159" s="4" t="s">
        <v>117</v>
      </c>
      <c r="N159" s="31" t="s">
        <v>499</v>
      </c>
      <c r="O159" s="31"/>
      <c r="P159" s="4" t="s">
        <v>646</v>
      </c>
      <c r="Q159" s="4"/>
      <c r="R159" s="34">
        <v>75</v>
      </c>
      <c r="S159" s="4"/>
      <c r="T159" s="4"/>
      <c r="U159" s="36"/>
      <c r="V159" s="39"/>
      <c r="W159" s="39"/>
    </row>
    <row r="160" spans="1:23" ht="15" hidden="1" thickBot="1">
      <c r="A160" s="4" t="s">
        <v>25</v>
      </c>
      <c r="B160" s="4" t="s">
        <v>26</v>
      </c>
      <c r="C160" s="4" t="s">
        <v>27</v>
      </c>
      <c r="D160" s="4" t="s">
        <v>28</v>
      </c>
      <c r="E160" s="4" t="s">
        <v>195</v>
      </c>
      <c r="F160" s="31">
        <v>45862</v>
      </c>
      <c r="G160" s="4">
        <v>5487</v>
      </c>
      <c r="H160" s="4" t="s">
        <v>647</v>
      </c>
      <c r="I160" s="4" t="s">
        <v>215</v>
      </c>
      <c r="J160" s="4" t="s">
        <v>216</v>
      </c>
      <c r="K160" s="31" t="s">
        <v>33</v>
      </c>
      <c r="L160" s="4" t="s">
        <v>648</v>
      </c>
      <c r="M160" s="4" t="s">
        <v>603</v>
      </c>
      <c r="N160" s="4" t="s">
        <v>262</v>
      </c>
      <c r="O160" s="4"/>
      <c r="P160" s="4" t="s">
        <v>37</v>
      </c>
      <c r="Q160" s="4" t="s">
        <v>649</v>
      </c>
      <c r="R160" s="34">
        <v>75</v>
      </c>
      <c r="S160" s="59" t="s">
        <v>650</v>
      </c>
      <c r="T160" s="37">
        <v>670.5</v>
      </c>
      <c r="U160" s="36">
        <v>45898</v>
      </c>
      <c r="V160" s="39"/>
      <c r="W160" s="39"/>
    </row>
    <row r="161" spans="1:23" ht="15.75" hidden="1" customHeight="1" thickBot="1">
      <c r="A161" s="4" t="s">
        <v>25</v>
      </c>
      <c r="B161" s="4" t="s">
        <v>26</v>
      </c>
      <c r="C161" s="4" t="s">
        <v>27</v>
      </c>
      <c r="D161" s="4" t="s">
        <v>28</v>
      </c>
      <c r="E161" s="4" t="s">
        <v>195</v>
      </c>
      <c r="F161" s="31">
        <v>45862</v>
      </c>
      <c r="G161" s="4">
        <v>5488</v>
      </c>
      <c r="H161" s="4" t="s">
        <v>651</v>
      </c>
      <c r="I161" s="31" t="s">
        <v>652</v>
      </c>
      <c r="J161" s="4" t="s">
        <v>485</v>
      </c>
      <c r="K161" s="4" t="s">
        <v>48</v>
      </c>
      <c r="L161" s="4" t="s">
        <v>653</v>
      </c>
      <c r="M161" s="4" t="s">
        <v>654</v>
      </c>
      <c r="N161" s="4" t="s">
        <v>262</v>
      </c>
      <c r="O161" s="4"/>
      <c r="P161" s="4" t="s">
        <v>655</v>
      </c>
      <c r="Q161" s="4" t="s">
        <v>656</v>
      </c>
      <c r="R161" s="34">
        <v>75</v>
      </c>
      <c r="S161" s="4"/>
      <c r="T161" s="37">
        <v>75</v>
      </c>
      <c r="U161" s="36">
        <v>45898</v>
      </c>
      <c r="V161" s="39"/>
      <c r="W161" s="39"/>
    </row>
    <row r="162" spans="1:23" ht="15" hidden="1" thickBot="1">
      <c r="A162" s="4" t="s">
        <v>25</v>
      </c>
      <c r="B162" s="4" t="s">
        <v>26</v>
      </c>
      <c r="C162" s="4" t="s">
        <v>27</v>
      </c>
      <c r="D162" s="4" t="s">
        <v>28</v>
      </c>
      <c r="E162" s="4" t="s">
        <v>195</v>
      </c>
      <c r="F162" s="31">
        <v>45862</v>
      </c>
      <c r="G162" s="4">
        <v>5489</v>
      </c>
      <c r="H162" s="4" t="s">
        <v>657</v>
      </c>
      <c r="I162" s="4" t="s">
        <v>658</v>
      </c>
      <c r="J162" s="4" t="s">
        <v>160</v>
      </c>
      <c r="K162" s="31" t="s">
        <v>33</v>
      </c>
      <c r="L162" s="4" t="s">
        <v>659</v>
      </c>
      <c r="M162" s="4" t="s">
        <v>457</v>
      </c>
      <c r="N162" s="4" t="s">
        <v>262</v>
      </c>
      <c r="O162" s="4"/>
      <c r="P162" s="4" t="s">
        <v>660</v>
      </c>
      <c r="Q162" s="4" t="s">
        <v>661</v>
      </c>
      <c r="R162" s="34">
        <v>75</v>
      </c>
      <c r="S162" s="59">
        <v>163.75</v>
      </c>
      <c r="T162" s="37">
        <v>238.75</v>
      </c>
      <c r="U162" s="36">
        <v>45898</v>
      </c>
      <c r="V162" s="39"/>
      <c r="W162" s="39"/>
    </row>
    <row r="163" spans="1:23" ht="15" hidden="1" thickBot="1">
      <c r="A163" s="4" t="s">
        <v>25</v>
      </c>
      <c r="B163" s="4" t="s">
        <v>26</v>
      </c>
      <c r="C163" s="4" t="s">
        <v>27</v>
      </c>
      <c r="D163" s="4" t="s">
        <v>28</v>
      </c>
      <c r="E163" s="4" t="s">
        <v>195</v>
      </c>
      <c r="F163" s="31">
        <v>45862</v>
      </c>
      <c r="G163" s="4">
        <v>5490</v>
      </c>
      <c r="H163" s="4" t="s">
        <v>662</v>
      </c>
      <c r="I163" s="4" t="s">
        <v>663</v>
      </c>
      <c r="J163" s="4" t="s">
        <v>502</v>
      </c>
      <c r="K163" s="4" t="s">
        <v>33</v>
      </c>
      <c r="L163" s="4" t="s">
        <v>664</v>
      </c>
      <c r="M163" s="4" t="s">
        <v>423</v>
      </c>
      <c r="N163" s="4" t="s">
        <v>262</v>
      </c>
      <c r="O163" s="4"/>
      <c r="P163" s="4" t="s">
        <v>665</v>
      </c>
      <c r="Q163" s="4" t="s">
        <v>423</v>
      </c>
      <c r="R163" s="34">
        <v>75</v>
      </c>
      <c r="S163" s="37">
        <v>111.75</v>
      </c>
      <c r="T163" s="37">
        <v>186.75</v>
      </c>
      <c r="U163" s="36">
        <v>45898</v>
      </c>
      <c r="V163" s="39"/>
      <c r="W163" s="39"/>
    </row>
    <row r="164" spans="1:23" ht="15" hidden="1" thickBot="1">
      <c r="A164" s="4" t="s">
        <v>25</v>
      </c>
      <c r="B164" s="4" t="s">
        <v>26</v>
      </c>
      <c r="C164" s="4" t="s">
        <v>27</v>
      </c>
      <c r="D164" s="4" t="s">
        <v>28</v>
      </c>
      <c r="E164" s="4" t="s">
        <v>195</v>
      </c>
      <c r="F164" s="31">
        <v>45862</v>
      </c>
      <c r="G164" s="4">
        <v>5491</v>
      </c>
      <c r="H164" s="4" t="s">
        <v>666</v>
      </c>
      <c r="I164" s="4" t="s">
        <v>667</v>
      </c>
      <c r="J164" s="4" t="s">
        <v>201</v>
      </c>
      <c r="K164" s="4" t="s">
        <v>33</v>
      </c>
      <c r="L164" s="4" t="s">
        <v>668</v>
      </c>
      <c r="M164" s="4" t="s">
        <v>669</v>
      </c>
      <c r="N164" s="4" t="s">
        <v>262</v>
      </c>
      <c r="O164" s="4"/>
      <c r="P164" s="4" t="s">
        <v>37</v>
      </c>
      <c r="Q164" s="4" t="s">
        <v>670</v>
      </c>
      <c r="R164" s="34">
        <v>75</v>
      </c>
      <c r="S164" s="59">
        <v>70</v>
      </c>
      <c r="T164" s="37">
        <v>145</v>
      </c>
      <c r="U164" s="36">
        <v>45898</v>
      </c>
      <c r="V164" s="39"/>
      <c r="W164" s="39"/>
    </row>
    <row r="165" spans="1:23" ht="15" hidden="1" thickBot="1">
      <c r="A165" s="4" t="s">
        <v>25</v>
      </c>
      <c r="B165" s="4" t="s">
        <v>26</v>
      </c>
      <c r="C165" s="4" t="s">
        <v>27</v>
      </c>
      <c r="D165" s="4" t="s">
        <v>28</v>
      </c>
      <c r="E165" s="4" t="s">
        <v>195</v>
      </c>
      <c r="F165" s="31">
        <v>45862</v>
      </c>
      <c r="G165" s="4">
        <v>5492</v>
      </c>
      <c r="H165" s="4" t="s">
        <v>671</v>
      </c>
      <c r="I165" s="67" t="s">
        <v>672</v>
      </c>
      <c r="J165" s="4" t="s">
        <v>379</v>
      </c>
      <c r="K165" s="4" t="s">
        <v>48</v>
      </c>
      <c r="L165" s="4" t="s">
        <v>673</v>
      </c>
      <c r="M165" s="4" t="s">
        <v>112</v>
      </c>
      <c r="N165" s="4" t="s">
        <v>262</v>
      </c>
      <c r="O165" s="4"/>
      <c r="P165" s="4" t="s">
        <v>37</v>
      </c>
      <c r="Q165" s="4" t="s">
        <v>117</v>
      </c>
      <c r="R165" s="34">
        <v>75</v>
      </c>
      <c r="S165" s="4"/>
      <c r="T165" s="37">
        <v>75</v>
      </c>
      <c r="U165" s="36">
        <v>45898</v>
      </c>
      <c r="V165" s="39"/>
      <c r="W165" s="39"/>
    </row>
    <row r="166" spans="1:23" ht="44" hidden="1" thickBot="1">
      <c r="A166" s="4" t="s">
        <v>25</v>
      </c>
      <c r="B166" s="4" t="s">
        <v>26</v>
      </c>
      <c r="C166" s="4" t="s">
        <v>27</v>
      </c>
      <c r="D166" s="4" t="s">
        <v>28</v>
      </c>
      <c r="E166" s="4" t="s">
        <v>195</v>
      </c>
      <c r="F166" s="31">
        <v>45862</v>
      </c>
      <c r="G166" s="4">
        <v>5493</v>
      </c>
      <c r="H166" s="4" t="s">
        <v>674</v>
      </c>
      <c r="I166" s="4" t="s">
        <v>675</v>
      </c>
      <c r="J166" s="4" t="s">
        <v>216</v>
      </c>
      <c r="K166" s="4" t="s">
        <v>33</v>
      </c>
      <c r="L166" s="4" t="s">
        <v>676</v>
      </c>
      <c r="M166" s="31" t="s">
        <v>258</v>
      </c>
      <c r="N166" s="4" t="s">
        <v>262</v>
      </c>
      <c r="O166" s="4"/>
      <c r="P166" s="4" t="s">
        <v>677</v>
      </c>
      <c r="Q166" s="4" t="s">
        <v>259</v>
      </c>
      <c r="R166" s="34">
        <v>75</v>
      </c>
      <c r="S166" s="59">
        <v>320</v>
      </c>
      <c r="T166" s="37">
        <v>395</v>
      </c>
      <c r="U166" s="36"/>
      <c r="V166" s="39"/>
      <c r="W166" s="39"/>
    </row>
    <row r="167" spans="1:23" ht="15" hidden="1" thickBot="1">
      <c r="A167" s="4" t="s">
        <v>25</v>
      </c>
      <c r="B167" s="4" t="s">
        <v>26</v>
      </c>
      <c r="C167" s="4" t="s">
        <v>27</v>
      </c>
      <c r="D167" s="4" t="s">
        <v>28</v>
      </c>
      <c r="E167" s="4" t="s">
        <v>195</v>
      </c>
      <c r="F167" s="31">
        <v>45862</v>
      </c>
      <c r="G167" s="4">
        <v>5494</v>
      </c>
      <c r="H167" s="4" t="s">
        <v>678</v>
      </c>
      <c r="I167" s="4" t="s">
        <v>679</v>
      </c>
      <c r="J167" s="4" t="s">
        <v>160</v>
      </c>
      <c r="K167" s="4" t="s">
        <v>33</v>
      </c>
      <c r="L167" s="4" t="s">
        <v>680</v>
      </c>
      <c r="M167" s="4" t="s">
        <v>681</v>
      </c>
      <c r="N167" s="4" t="s">
        <v>499</v>
      </c>
      <c r="O167" s="4"/>
      <c r="P167" s="4" t="s">
        <v>682</v>
      </c>
      <c r="Q167" s="4"/>
      <c r="R167" s="34">
        <v>75</v>
      </c>
      <c r="S167" s="4"/>
      <c r="T167" s="4"/>
      <c r="U167" s="36"/>
      <c r="V167" s="39"/>
      <c r="W167" s="39"/>
    </row>
    <row r="168" spans="1:23" ht="15" hidden="1" thickBot="1">
      <c r="A168" s="4" t="s">
        <v>25</v>
      </c>
      <c r="B168" s="4" t="s">
        <v>26</v>
      </c>
      <c r="C168" s="4" t="s">
        <v>27</v>
      </c>
      <c r="D168" s="4" t="s">
        <v>28</v>
      </c>
      <c r="E168" s="4" t="s">
        <v>195</v>
      </c>
      <c r="F168" s="31">
        <v>45862</v>
      </c>
      <c r="G168" s="4">
        <v>5495</v>
      </c>
      <c r="H168" s="4" t="s">
        <v>683</v>
      </c>
      <c r="I168" s="50" t="s">
        <v>684</v>
      </c>
      <c r="J168" s="4" t="s">
        <v>160</v>
      </c>
      <c r="K168" s="4" t="s">
        <v>33</v>
      </c>
      <c r="L168" s="4" t="s">
        <v>685</v>
      </c>
      <c r="M168" s="4" t="s">
        <v>117</v>
      </c>
      <c r="N168" s="4" t="s">
        <v>262</v>
      </c>
      <c r="O168" s="4"/>
      <c r="P168" s="4" t="s">
        <v>686</v>
      </c>
      <c r="Q168" s="4" t="s">
        <v>117</v>
      </c>
      <c r="R168" s="34">
        <v>75</v>
      </c>
      <c r="S168" s="59">
        <v>215</v>
      </c>
      <c r="T168" s="37">
        <v>290</v>
      </c>
      <c r="U168" s="36"/>
      <c r="V168" s="39"/>
      <c r="W168" s="39"/>
    </row>
    <row r="169" spans="1:23" ht="29.5" hidden="1" thickBot="1">
      <c r="A169" s="4" t="s">
        <v>25</v>
      </c>
      <c r="B169" s="4" t="s">
        <v>26</v>
      </c>
      <c r="C169" s="4" t="s">
        <v>27</v>
      </c>
      <c r="D169" s="4" t="s">
        <v>28</v>
      </c>
      <c r="E169" s="4" t="s">
        <v>195</v>
      </c>
      <c r="F169" s="31">
        <v>45862</v>
      </c>
      <c r="G169" s="4">
        <v>5496</v>
      </c>
      <c r="H169" s="4" t="s">
        <v>687</v>
      </c>
      <c r="I169" s="4" t="s">
        <v>688</v>
      </c>
      <c r="J169" s="4" t="s">
        <v>502</v>
      </c>
      <c r="K169" s="4" t="s">
        <v>33</v>
      </c>
      <c r="L169" s="4" t="s">
        <v>689</v>
      </c>
      <c r="M169" s="4" t="s">
        <v>690</v>
      </c>
      <c r="N169" s="4" t="s">
        <v>499</v>
      </c>
      <c r="O169" s="4"/>
      <c r="P169" s="31" t="s">
        <v>691</v>
      </c>
      <c r="Q169" s="4"/>
      <c r="R169" s="34">
        <v>75</v>
      </c>
      <c r="S169" s="4"/>
      <c r="T169" s="4"/>
      <c r="U169" s="36"/>
      <c r="V169" s="39"/>
      <c r="W169" s="39"/>
    </row>
    <row r="170" spans="1:23" ht="29.5" hidden="1" thickBot="1">
      <c r="A170" s="4" t="s">
        <v>25</v>
      </c>
      <c r="B170" s="4" t="s">
        <v>26</v>
      </c>
      <c r="C170" s="4" t="s">
        <v>27</v>
      </c>
      <c r="D170" s="4" t="s">
        <v>28</v>
      </c>
      <c r="E170" s="4" t="s">
        <v>195</v>
      </c>
      <c r="F170" s="31">
        <v>45874</v>
      </c>
      <c r="G170" s="4">
        <v>5685</v>
      </c>
      <c r="H170" s="4" t="s">
        <v>692</v>
      </c>
      <c r="I170" s="50" t="s">
        <v>693</v>
      </c>
      <c r="J170" s="4" t="s">
        <v>115</v>
      </c>
      <c r="K170" s="4" t="s">
        <v>33</v>
      </c>
      <c r="L170" s="4" t="s">
        <v>694</v>
      </c>
      <c r="M170" s="4" t="s">
        <v>117</v>
      </c>
      <c r="N170" s="4" t="s">
        <v>262</v>
      </c>
      <c r="O170" s="4"/>
      <c r="P170" s="31" t="s">
        <v>695</v>
      </c>
      <c r="Q170" s="4" t="s">
        <v>117</v>
      </c>
      <c r="R170" s="34">
        <v>75</v>
      </c>
      <c r="S170" s="59">
        <v>215</v>
      </c>
      <c r="T170" s="37">
        <v>290</v>
      </c>
      <c r="U170" s="36"/>
      <c r="V170" s="39"/>
      <c r="W170" s="39"/>
    </row>
    <row r="171" spans="1:23" ht="15" hidden="1" thickBot="1">
      <c r="A171" s="4" t="s">
        <v>25</v>
      </c>
      <c r="B171" s="4" t="s">
        <v>26</v>
      </c>
      <c r="C171" s="4" t="s">
        <v>27</v>
      </c>
      <c r="D171" s="4" t="s">
        <v>28</v>
      </c>
      <c r="E171" s="4" t="s">
        <v>195</v>
      </c>
      <c r="F171" s="31">
        <v>45874</v>
      </c>
      <c r="G171" s="4">
        <v>5773</v>
      </c>
      <c r="H171" s="4" t="s">
        <v>696</v>
      </c>
      <c r="I171" s="4" t="s">
        <v>697</v>
      </c>
      <c r="J171" s="4" t="s">
        <v>115</v>
      </c>
      <c r="K171" s="4" t="s">
        <v>33</v>
      </c>
      <c r="L171" s="4" t="s">
        <v>698</v>
      </c>
      <c r="M171" s="4"/>
      <c r="N171" s="4" t="s">
        <v>499</v>
      </c>
      <c r="O171" s="4"/>
      <c r="P171" s="31" t="s">
        <v>499</v>
      </c>
      <c r="Q171" s="34"/>
      <c r="R171" s="34">
        <v>75</v>
      </c>
      <c r="S171" s="4"/>
      <c r="T171" s="4"/>
      <c r="U171" s="36"/>
      <c r="V171" s="39"/>
      <c r="W171" s="39"/>
    </row>
    <row r="172" spans="1:23" ht="15" hidden="1" thickBot="1">
      <c r="A172" s="4" t="s">
        <v>25</v>
      </c>
      <c r="B172" s="4" t="s">
        <v>26</v>
      </c>
      <c r="C172" s="4" t="s">
        <v>27</v>
      </c>
      <c r="D172" s="4" t="s">
        <v>28</v>
      </c>
      <c r="E172" s="4" t="s">
        <v>195</v>
      </c>
      <c r="F172" s="31">
        <v>45874</v>
      </c>
      <c r="G172" s="4">
        <v>5774</v>
      </c>
      <c r="H172" s="4" t="s">
        <v>699</v>
      </c>
      <c r="I172" s="4" t="s">
        <v>700</v>
      </c>
      <c r="J172" s="4" t="s">
        <v>115</v>
      </c>
      <c r="K172" s="4" t="s">
        <v>33</v>
      </c>
      <c r="L172" s="4" t="s">
        <v>701</v>
      </c>
      <c r="M172" s="4"/>
      <c r="N172" s="4" t="s">
        <v>499</v>
      </c>
      <c r="O172" s="4"/>
      <c r="P172" s="31" t="s">
        <v>499</v>
      </c>
      <c r="Q172" s="4"/>
      <c r="R172" s="34">
        <v>75</v>
      </c>
      <c r="S172" s="4"/>
      <c r="T172" s="4"/>
      <c r="U172" s="36"/>
      <c r="V172" s="39"/>
      <c r="W172" s="39"/>
    </row>
    <row r="173" spans="1:23" ht="15" hidden="1" thickBot="1">
      <c r="A173" s="4" t="s">
        <v>25</v>
      </c>
      <c r="B173" s="4" t="s">
        <v>26</v>
      </c>
      <c r="C173" s="4" t="s">
        <v>27</v>
      </c>
      <c r="D173" s="4" t="s">
        <v>28</v>
      </c>
      <c r="E173" s="4" t="s">
        <v>195</v>
      </c>
      <c r="F173" s="31">
        <v>45874</v>
      </c>
      <c r="G173" s="4">
        <v>5775</v>
      </c>
      <c r="H173" s="4" t="s">
        <v>702</v>
      </c>
      <c r="I173" s="4" t="s">
        <v>469</v>
      </c>
      <c r="J173" s="4" t="s">
        <v>115</v>
      </c>
      <c r="K173" s="4" t="s">
        <v>33</v>
      </c>
      <c r="L173" s="4" t="s">
        <v>213</v>
      </c>
      <c r="M173" s="4"/>
      <c r="N173" s="4" t="s">
        <v>499</v>
      </c>
      <c r="O173" s="4"/>
      <c r="P173" s="31" t="s">
        <v>499</v>
      </c>
      <c r="Q173" s="4"/>
      <c r="R173" s="34">
        <v>75</v>
      </c>
      <c r="S173" s="4"/>
      <c r="T173" s="4"/>
      <c r="U173" s="36"/>
      <c r="V173" s="39"/>
      <c r="W173" s="39"/>
    </row>
    <row r="174" spans="1:23" ht="15" hidden="1" thickBot="1">
      <c r="A174" s="4" t="s">
        <v>25</v>
      </c>
      <c r="B174" s="4" t="s">
        <v>26</v>
      </c>
      <c r="C174" s="4" t="s">
        <v>27</v>
      </c>
      <c r="D174" s="4" t="s">
        <v>28</v>
      </c>
      <c r="E174" s="4" t="s">
        <v>195</v>
      </c>
      <c r="F174" s="31">
        <v>45874</v>
      </c>
      <c r="G174" s="4">
        <v>5776</v>
      </c>
      <c r="H174" s="4" t="s">
        <v>703</v>
      </c>
      <c r="I174" s="4" t="s">
        <v>704</v>
      </c>
      <c r="J174" s="4" t="s">
        <v>432</v>
      </c>
      <c r="K174" s="4" t="s">
        <v>33</v>
      </c>
      <c r="L174" s="4" t="s">
        <v>705</v>
      </c>
      <c r="M174" s="4" t="s">
        <v>117</v>
      </c>
      <c r="N174" s="4" t="s">
        <v>262</v>
      </c>
      <c r="O174" s="4"/>
      <c r="P174" s="31" t="s">
        <v>174</v>
      </c>
      <c r="Q174" s="4" t="s">
        <v>117</v>
      </c>
      <c r="R174" s="34">
        <v>75</v>
      </c>
      <c r="S174" s="59">
        <v>215</v>
      </c>
      <c r="T174" s="37">
        <v>290</v>
      </c>
      <c r="U174" s="36"/>
      <c r="V174" s="39"/>
      <c r="W174" s="39"/>
    </row>
    <row r="175" spans="1:23" ht="15" hidden="1" thickBot="1">
      <c r="A175" s="4" t="s">
        <v>25</v>
      </c>
      <c r="B175" s="4" t="s">
        <v>26</v>
      </c>
      <c r="C175" s="4" t="s">
        <v>27</v>
      </c>
      <c r="D175" s="4" t="s">
        <v>28</v>
      </c>
      <c r="E175" s="4" t="s">
        <v>195</v>
      </c>
      <c r="F175" s="31">
        <v>45874</v>
      </c>
      <c r="G175" s="4">
        <v>5785</v>
      </c>
      <c r="H175" s="4" t="s">
        <v>706</v>
      </c>
      <c r="I175" s="4" t="s">
        <v>707</v>
      </c>
      <c r="J175" s="4" t="s">
        <v>583</v>
      </c>
      <c r="K175" s="4" t="s">
        <v>33</v>
      </c>
      <c r="L175" s="4" t="s">
        <v>351</v>
      </c>
      <c r="M175" s="4" t="s">
        <v>352</v>
      </c>
      <c r="N175" s="4" t="s">
        <v>262</v>
      </c>
      <c r="O175" s="4"/>
      <c r="P175" s="4" t="s">
        <v>708</v>
      </c>
      <c r="Q175" s="4" t="s">
        <v>352</v>
      </c>
      <c r="R175" s="34">
        <v>75</v>
      </c>
      <c r="S175" s="59">
        <v>120</v>
      </c>
      <c r="T175" s="37">
        <v>195</v>
      </c>
      <c r="U175" s="36"/>
      <c r="V175" s="39"/>
      <c r="W175" s="39"/>
    </row>
    <row r="176" spans="1:23" ht="15" hidden="1" thickBot="1">
      <c r="A176" s="4" t="s">
        <v>25</v>
      </c>
      <c r="B176" s="4" t="s">
        <v>26</v>
      </c>
      <c r="C176" s="4" t="s">
        <v>27</v>
      </c>
      <c r="D176" s="4" t="s">
        <v>28</v>
      </c>
      <c r="E176" s="4" t="s">
        <v>195</v>
      </c>
      <c r="F176" s="31">
        <v>45874</v>
      </c>
      <c r="G176" s="4">
        <v>5786</v>
      </c>
      <c r="H176" s="4" t="s">
        <v>709</v>
      </c>
      <c r="I176" s="4" t="s">
        <v>710</v>
      </c>
      <c r="J176" s="4" t="s">
        <v>428</v>
      </c>
      <c r="K176" s="4" t="s">
        <v>33</v>
      </c>
      <c r="L176" s="4" t="s">
        <v>351</v>
      </c>
      <c r="M176" s="31" t="s">
        <v>258</v>
      </c>
      <c r="N176" s="4" t="s">
        <v>262</v>
      </c>
      <c r="O176" s="4"/>
      <c r="P176" s="4" t="s">
        <v>578</v>
      </c>
      <c r="Q176" s="4" t="s">
        <v>352</v>
      </c>
      <c r="R176" s="34">
        <v>75</v>
      </c>
      <c r="S176" s="59">
        <v>120</v>
      </c>
      <c r="T176" s="37">
        <v>195</v>
      </c>
      <c r="U176" s="36"/>
      <c r="V176" s="39"/>
      <c r="W176" s="39"/>
    </row>
    <row r="177" spans="1:24" ht="15" hidden="1" thickBot="1">
      <c r="A177" s="4" t="s">
        <v>25</v>
      </c>
      <c r="B177" s="4" t="s">
        <v>26</v>
      </c>
      <c r="C177" s="4" t="s">
        <v>27</v>
      </c>
      <c r="D177" s="4" t="s">
        <v>28</v>
      </c>
      <c r="E177" s="4" t="s">
        <v>195</v>
      </c>
      <c r="F177" s="31">
        <v>45874</v>
      </c>
      <c r="G177" s="4">
        <v>5787</v>
      </c>
      <c r="H177" s="4" t="s">
        <v>711</v>
      </c>
      <c r="I177" s="4" t="s">
        <v>712</v>
      </c>
      <c r="J177" s="4" t="s">
        <v>463</v>
      </c>
      <c r="K177" s="4" t="s">
        <v>33</v>
      </c>
      <c r="L177" s="4" t="s">
        <v>351</v>
      </c>
      <c r="M177" s="4" t="s">
        <v>713</v>
      </c>
      <c r="N177" s="4" t="s">
        <v>262</v>
      </c>
      <c r="O177" s="4"/>
      <c r="P177" s="4" t="s">
        <v>37</v>
      </c>
      <c r="Q177" s="4" t="s">
        <v>352</v>
      </c>
      <c r="R177" s="34">
        <v>75</v>
      </c>
      <c r="S177" s="59">
        <v>120</v>
      </c>
      <c r="T177" s="37">
        <v>195</v>
      </c>
      <c r="U177" s="36">
        <v>45898</v>
      </c>
      <c r="V177" s="39"/>
      <c r="W177" s="39"/>
    </row>
    <row r="178" spans="1:24" ht="15" hidden="1" thickBot="1">
      <c r="A178" s="4" t="s">
        <v>25</v>
      </c>
      <c r="B178" s="4" t="s">
        <v>26</v>
      </c>
      <c r="C178" s="4" t="s">
        <v>27</v>
      </c>
      <c r="D178" s="4" t="s">
        <v>28</v>
      </c>
      <c r="E178" s="4" t="s">
        <v>195</v>
      </c>
      <c r="F178" s="31">
        <v>45874</v>
      </c>
      <c r="G178" s="4">
        <v>5788</v>
      </c>
      <c r="H178" s="4" t="s">
        <v>714</v>
      </c>
      <c r="I178" s="4" t="s">
        <v>715</v>
      </c>
      <c r="J178" s="4" t="s">
        <v>115</v>
      </c>
      <c r="K178" s="4" t="s">
        <v>33</v>
      </c>
      <c r="L178" s="4" t="s">
        <v>716</v>
      </c>
      <c r="M178" s="4"/>
      <c r="N178" s="4" t="s">
        <v>499</v>
      </c>
      <c r="O178" s="4"/>
      <c r="P178" s="31" t="s">
        <v>499</v>
      </c>
      <c r="Q178" s="4"/>
      <c r="R178" s="34">
        <v>75</v>
      </c>
      <c r="S178" s="4"/>
      <c r="T178" s="4"/>
      <c r="U178" s="4"/>
      <c r="V178" s="39"/>
      <c r="W178" s="39"/>
    </row>
    <row r="179" spans="1:24" ht="15" hidden="1" thickBot="1">
      <c r="A179" s="4" t="s">
        <v>25</v>
      </c>
      <c r="B179" s="4" t="s">
        <v>26</v>
      </c>
      <c r="C179" s="4" t="s">
        <v>27</v>
      </c>
      <c r="D179" s="4" t="s">
        <v>28</v>
      </c>
      <c r="E179" s="4" t="s">
        <v>195</v>
      </c>
      <c r="F179" s="31">
        <v>45874</v>
      </c>
      <c r="G179" s="4">
        <v>5789</v>
      </c>
      <c r="H179" s="4" t="s">
        <v>717</v>
      </c>
      <c r="I179" s="4" t="s">
        <v>718</v>
      </c>
      <c r="J179" s="4" t="s">
        <v>432</v>
      </c>
      <c r="K179" s="4" t="s">
        <v>33</v>
      </c>
      <c r="L179" s="4" t="s">
        <v>719</v>
      </c>
      <c r="M179" s="4" t="s">
        <v>117</v>
      </c>
      <c r="N179" s="4" t="s">
        <v>499</v>
      </c>
      <c r="O179" s="4"/>
      <c r="P179" s="31" t="s">
        <v>720</v>
      </c>
      <c r="Q179" s="4"/>
      <c r="R179" s="34">
        <v>75</v>
      </c>
      <c r="S179" s="4"/>
      <c r="T179" s="4"/>
      <c r="U179" s="4"/>
      <c r="V179" s="39"/>
      <c r="W179" s="39"/>
    </row>
    <row r="180" spans="1:24" ht="15" hidden="1" thickBot="1">
      <c r="A180" s="4" t="s">
        <v>25</v>
      </c>
      <c r="B180" s="4" t="s">
        <v>26</v>
      </c>
      <c r="C180" s="4" t="s">
        <v>27</v>
      </c>
      <c r="D180" s="4" t="s">
        <v>28</v>
      </c>
      <c r="E180" s="4" t="s">
        <v>195</v>
      </c>
      <c r="F180" s="31">
        <v>45874</v>
      </c>
      <c r="G180" s="4">
        <v>5790</v>
      </c>
      <c r="H180" s="4" t="s">
        <v>721</v>
      </c>
      <c r="I180" s="4" t="s">
        <v>722</v>
      </c>
      <c r="J180" s="4" t="s">
        <v>432</v>
      </c>
      <c r="K180" s="4" t="s">
        <v>33</v>
      </c>
      <c r="L180" s="4" t="s">
        <v>719</v>
      </c>
      <c r="M180" s="4" t="s">
        <v>723</v>
      </c>
      <c r="N180" s="4" t="s">
        <v>262</v>
      </c>
      <c r="O180" s="4"/>
      <c r="P180" s="4" t="s">
        <v>37</v>
      </c>
      <c r="Q180" s="4" t="s">
        <v>541</v>
      </c>
      <c r="R180" s="34">
        <v>75</v>
      </c>
      <c r="S180" s="59">
        <v>283.75</v>
      </c>
      <c r="T180" s="37">
        <v>358.75</v>
      </c>
      <c r="U180" s="4"/>
      <c r="V180" s="39"/>
      <c r="W180" s="39"/>
    </row>
    <row r="181" spans="1:24" ht="29.5" hidden="1" thickBot="1">
      <c r="A181" s="4" t="s">
        <v>25</v>
      </c>
      <c r="B181" s="4" t="s">
        <v>26</v>
      </c>
      <c r="C181" s="4" t="s">
        <v>27</v>
      </c>
      <c r="D181" s="4" t="s">
        <v>28</v>
      </c>
      <c r="E181" s="4" t="s">
        <v>195</v>
      </c>
      <c r="F181" s="31">
        <v>45874</v>
      </c>
      <c r="G181" s="4">
        <v>5791</v>
      </c>
      <c r="H181" s="4" t="s">
        <v>724</v>
      </c>
      <c r="I181" s="4" t="s">
        <v>725</v>
      </c>
      <c r="J181" s="4" t="s">
        <v>115</v>
      </c>
      <c r="K181" s="4" t="s">
        <v>33</v>
      </c>
      <c r="L181" s="4" t="s">
        <v>290</v>
      </c>
      <c r="M181" s="4" t="s">
        <v>726</v>
      </c>
      <c r="N181" s="4" t="s">
        <v>499</v>
      </c>
      <c r="O181" s="4"/>
      <c r="P181" s="31" t="s">
        <v>727</v>
      </c>
      <c r="Q181" s="4"/>
      <c r="R181" s="34">
        <v>75</v>
      </c>
      <c r="S181" s="4"/>
      <c r="T181" s="4"/>
      <c r="U181" s="4"/>
      <c r="V181" s="39"/>
      <c r="W181" s="39"/>
    </row>
    <row r="182" spans="1:24" ht="15" hidden="1" thickBot="1">
      <c r="A182" s="4" t="s">
        <v>25</v>
      </c>
      <c r="B182" s="4" t="s">
        <v>26</v>
      </c>
      <c r="C182" s="4" t="s">
        <v>27</v>
      </c>
      <c r="D182" s="4" t="s">
        <v>28</v>
      </c>
      <c r="E182" s="4" t="s">
        <v>195</v>
      </c>
      <c r="F182" s="31">
        <v>45874</v>
      </c>
      <c r="G182" s="4">
        <v>5792</v>
      </c>
      <c r="H182" s="4" t="s">
        <v>279</v>
      </c>
      <c r="I182" s="4" t="s">
        <v>280</v>
      </c>
      <c r="J182" s="4" t="s">
        <v>115</v>
      </c>
      <c r="K182" s="4" t="s">
        <v>33</v>
      </c>
      <c r="L182" s="4" t="s">
        <v>653</v>
      </c>
      <c r="M182" s="4"/>
      <c r="N182" s="4" t="s">
        <v>499</v>
      </c>
      <c r="O182" s="4"/>
      <c r="P182" s="31" t="s">
        <v>499</v>
      </c>
      <c r="Q182" s="4"/>
      <c r="R182" s="34">
        <v>75</v>
      </c>
      <c r="S182" s="4"/>
      <c r="T182" s="4"/>
      <c r="U182" s="4"/>
      <c r="V182" s="39"/>
      <c r="W182" s="39"/>
    </row>
    <row r="183" spans="1:24" ht="15" hidden="1" thickBot="1">
      <c r="A183" s="4" t="s">
        <v>25</v>
      </c>
      <c r="B183" s="4" t="s">
        <v>26</v>
      </c>
      <c r="C183" s="4" t="s">
        <v>27</v>
      </c>
      <c r="D183" s="4" t="s">
        <v>28</v>
      </c>
      <c r="E183" s="4" t="s">
        <v>195</v>
      </c>
      <c r="F183" s="31">
        <v>45874</v>
      </c>
      <c r="G183" s="4">
        <v>5793</v>
      </c>
      <c r="H183" s="4" t="s">
        <v>728</v>
      </c>
      <c r="I183" s="4" t="s">
        <v>729</v>
      </c>
      <c r="J183" s="4" t="s">
        <v>115</v>
      </c>
      <c r="K183" s="4" t="s">
        <v>33</v>
      </c>
      <c r="L183" s="4" t="s">
        <v>730</v>
      </c>
      <c r="M183" s="4"/>
      <c r="N183" s="4" t="s">
        <v>499</v>
      </c>
      <c r="O183" s="4"/>
      <c r="P183" s="31" t="s">
        <v>499</v>
      </c>
      <c r="Q183" s="4"/>
      <c r="R183" s="34">
        <v>75</v>
      </c>
      <c r="S183" s="4"/>
      <c r="T183" s="4"/>
      <c r="U183" s="4"/>
      <c r="V183" s="39"/>
      <c r="W183" s="39"/>
    </row>
    <row r="184" spans="1:24" ht="15" hidden="1" thickBot="1">
      <c r="A184" s="4" t="s">
        <v>25</v>
      </c>
      <c r="B184" s="4" t="s">
        <v>26</v>
      </c>
      <c r="C184" s="4" t="s">
        <v>27</v>
      </c>
      <c r="D184" s="4" t="s">
        <v>28</v>
      </c>
      <c r="E184" s="4" t="s">
        <v>195</v>
      </c>
      <c r="F184" s="31">
        <v>45874</v>
      </c>
      <c r="G184" s="4">
        <v>5794</v>
      </c>
      <c r="H184" s="4" t="s">
        <v>731</v>
      </c>
      <c r="I184" s="4" t="s">
        <v>732</v>
      </c>
      <c r="J184" s="4" t="s">
        <v>115</v>
      </c>
      <c r="K184" s="4" t="s">
        <v>33</v>
      </c>
      <c r="L184" s="4" t="s">
        <v>701</v>
      </c>
      <c r="M184" s="4" t="s">
        <v>733</v>
      </c>
      <c r="N184" s="4" t="s">
        <v>262</v>
      </c>
      <c r="O184" s="4"/>
      <c r="P184" s="31" t="s">
        <v>37</v>
      </c>
      <c r="Q184" s="4" t="s">
        <v>733</v>
      </c>
      <c r="R184" s="34">
        <v>75</v>
      </c>
      <c r="S184" s="59">
        <v>335</v>
      </c>
      <c r="T184" s="37">
        <v>410</v>
      </c>
      <c r="U184" s="4"/>
      <c r="V184" s="39"/>
      <c r="W184" s="39"/>
    </row>
    <row r="185" spans="1:24" ht="15" hidden="1" thickBot="1">
      <c r="A185" s="4" t="s">
        <v>25</v>
      </c>
      <c r="B185" s="4" t="s">
        <v>26</v>
      </c>
      <c r="C185" s="4" t="s">
        <v>27</v>
      </c>
      <c r="D185" s="4" t="s">
        <v>28</v>
      </c>
      <c r="E185" s="4" t="s">
        <v>195</v>
      </c>
      <c r="F185" s="31">
        <v>45874</v>
      </c>
      <c r="G185" s="4">
        <v>5795</v>
      </c>
      <c r="H185" s="4" t="s">
        <v>734</v>
      </c>
      <c r="I185" s="4" t="s">
        <v>735</v>
      </c>
      <c r="J185" s="4" t="s">
        <v>736</v>
      </c>
      <c r="K185" s="4" t="s">
        <v>33</v>
      </c>
      <c r="L185" s="4" t="s">
        <v>233</v>
      </c>
      <c r="M185" s="4" t="s">
        <v>117</v>
      </c>
      <c r="N185" s="4" t="s">
        <v>262</v>
      </c>
      <c r="O185" s="4"/>
      <c r="P185" s="31" t="s">
        <v>737</v>
      </c>
      <c r="Q185" s="4" t="s">
        <v>117</v>
      </c>
      <c r="R185" s="34">
        <v>75</v>
      </c>
      <c r="S185" s="59">
        <v>215</v>
      </c>
      <c r="T185" s="37">
        <v>290</v>
      </c>
      <c r="U185" s="4"/>
      <c r="V185" s="39"/>
      <c r="W185" s="39"/>
    </row>
    <row r="186" spans="1:24" ht="15" hidden="1" thickBot="1">
      <c r="A186" s="4" t="s">
        <v>25</v>
      </c>
      <c r="B186" s="4" t="s">
        <v>26</v>
      </c>
      <c r="C186" s="4" t="s">
        <v>27</v>
      </c>
      <c r="D186" s="4" t="s">
        <v>28</v>
      </c>
      <c r="E186" s="4" t="s">
        <v>195</v>
      </c>
      <c r="F186" s="31">
        <v>45874</v>
      </c>
      <c r="G186" s="4">
        <v>5796</v>
      </c>
      <c r="H186" s="4" t="s">
        <v>738</v>
      </c>
      <c r="I186" s="4" t="s">
        <v>739</v>
      </c>
      <c r="J186" s="4" t="s">
        <v>115</v>
      </c>
      <c r="K186" s="4" t="s">
        <v>33</v>
      </c>
      <c r="L186" s="4" t="s">
        <v>740</v>
      </c>
      <c r="M186" s="4"/>
      <c r="N186" s="4" t="s">
        <v>499</v>
      </c>
      <c r="O186" s="4"/>
      <c r="P186" s="31" t="s">
        <v>499</v>
      </c>
      <c r="Q186" s="4"/>
      <c r="R186" s="34">
        <v>75</v>
      </c>
      <c r="S186" s="4"/>
      <c r="T186" s="4"/>
      <c r="U186" s="4"/>
      <c r="V186" s="39"/>
      <c r="W186" s="39"/>
    </row>
    <row r="187" spans="1:24" s="78" customFormat="1" ht="28.15" hidden="1" customHeight="1" thickBot="1">
      <c r="A187" s="71" t="s">
        <v>25</v>
      </c>
      <c r="B187" s="71" t="s">
        <v>26</v>
      </c>
      <c r="C187" s="71" t="s">
        <v>27</v>
      </c>
      <c r="D187" s="72" t="s">
        <v>28</v>
      </c>
      <c r="E187" s="71" t="s">
        <v>195</v>
      </c>
      <c r="F187" s="73">
        <v>45839</v>
      </c>
      <c r="G187" s="71" t="s">
        <v>394</v>
      </c>
      <c r="H187" s="71" t="s">
        <v>395</v>
      </c>
      <c r="I187" s="71" t="s">
        <v>741</v>
      </c>
      <c r="J187" s="71" t="s">
        <v>397</v>
      </c>
      <c r="K187" s="71" t="s">
        <v>48</v>
      </c>
      <c r="L187" s="71" t="s">
        <v>210</v>
      </c>
      <c r="M187" s="71" t="s">
        <v>351</v>
      </c>
      <c r="N187" s="71" t="s">
        <v>262</v>
      </c>
      <c r="O187" s="71"/>
      <c r="P187" s="71" t="s">
        <v>351</v>
      </c>
      <c r="Q187" s="71" t="s">
        <v>258</v>
      </c>
      <c r="R187" s="74">
        <v>75</v>
      </c>
      <c r="S187" s="75">
        <v>320</v>
      </c>
      <c r="T187" s="75">
        <v>470</v>
      </c>
      <c r="U187" s="76"/>
      <c r="V187" s="77"/>
      <c r="W187" s="77" t="s">
        <v>399</v>
      </c>
      <c r="X187"/>
    </row>
    <row r="188" spans="1:24" ht="15.75" hidden="1" customHeight="1" thickBot="1">
      <c r="A188" s="71" t="s">
        <v>154</v>
      </c>
      <c r="B188" s="71" t="s">
        <v>155</v>
      </c>
      <c r="C188" s="71">
        <v>616866669</v>
      </c>
      <c r="D188" s="71" t="s">
        <v>156</v>
      </c>
      <c r="E188" s="71" t="s">
        <v>157</v>
      </c>
      <c r="F188" s="73">
        <v>45728</v>
      </c>
      <c r="G188" s="79">
        <v>4035</v>
      </c>
      <c r="H188" s="73" t="s">
        <v>163</v>
      </c>
      <c r="I188" s="73" t="s">
        <v>742</v>
      </c>
      <c r="J188" s="71" t="s">
        <v>165</v>
      </c>
      <c r="K188" s="71" t="s">
        <v>33</v>
      </c>
      <c r="L188" s="71" t="s">
        <v>166</v>
      </c>
      <c r="M188" s="71" t="s">
        <v>351</v>
      </c>
      <c r="N188" s="71" t="s">
        <v>743</v>
      </c>
      <c r="O188" s="71"/>
      <c r="P188" s="71" t="s">
        <v>744</v>
      </c>
      <c r="Q188" s="71" t="s">
        <v>745</v>
      </c>
      <c r="R188" s="74">
        <v>75</v>
      </c>
      <c r="S188" s="75">
        <v>320</v>
      </c>
      <c r="T188" s="75">
        <f>SUM(R188:S188)</f>
        <v>395</v>
      </c>
      <c r="U188" s="77">
        <v>45898</v>
      </c>
      <c r="V188" s="77"/>
      <c r="W188" s="77" t="s">
        <v>746</v>
      </c>
    </row>
    <row r="189" spans="1:24" s="78" customFormat="1" ht="18.75" hidden="1" customHeight="1" thickBot="1">
      <c r="A189" s="71" t="s">
        <v>154</v>
      </c>
      <c r="B189" s="71" t="s">
        <v>155</v>
      </c>
      <c r="C189" s="71">
        <v>616866669</v>
      </c>
      <c r="D189" s="71" t="s">
        <v>156</v>
      </c>
      <c r="E189" s="71" t="s">
        <v>157</v>
      </c>
      <c r="F189" s="73">
        <v>45728</v>
      </c>
      <c r="G189" s="79">
        <v>4036</v>
      </c>
      <c r="H189" s="71" t="s">
        <v>170</v>
      </c>
      <c r="I189" s="71" t="s">
        <v>747</v>
      </c>
      <c r="J189" s="71" t="s">
        <v>172</v>
      </c>
      <c r="K189" s="71" t="s">
        <v>48</v>
      </c>
      <c r="L189" s="71" t="s">
        <v>173</v>
      </c>
      <c r="M189" s="71" t="s">
        <v>117</v>
      </c>
      <c r="N189" s="71" t="s">
        <v>743</v>
      </c>
      <c r="O189" s="71"/>
      <c r="P189" s="71" t="s">
        <v>174</v>
      </c>
      <c r="Q189" s="71" t="s">
        <v>748</v>
      </c>
      <c r="R189" s="74">
        <v>75</v>
      </c>
      <c r="S189" s="74">
        <v>273.75</v>
      </c>
      <c r="T189" s="80">
        <f t="shared" ref="T189" si="4">SUM(R189:S189)</f>
        <v>348.75</v>
      </c>
      <c r="U189" s="77">
        <v>45898</v>
      </c>
      <c r="V189" s="77"/>
      <c r="W189" s="77" t="s">
        <v>746</v>
      </c>
    </row>
    <row r="190" spans="1:24" s="78" customFormat="1" ht="15.75" hidden="1" customHeight="1" thickBot="1">
      <c r="A190" s="71" t="s">
        <v>154</v>
      </c>
      <c r="B190" s="71" t="s">
        <v>155</v>
      </c>
      <c r="C190" s="71">
        <v>616866669</v>
      </c>
      <c r="D190" s="71" t="s">
        <v>156</v>
      </c>
      <c r="E190" s="71" t="s">
        <v>157</v>
      </c>
      <c r="F190" s="73">
        <v>45728</v>
      </c>
      <c r="G190" s="79">
        <v>4034</v>
      </c>
      <c r="H190" s="71" t="s">
        <v>186</v>
      </c>
      <c r="I190" s="71" t="s">
        <v>749</v>
      </c>
      <c r="J190" s="71" t="s">
        <v>165</v>
      </c>
      <c r="K190" s="71" t="s">
        <v>33</v>
      </c>
      <c r="L190" s="71" t="s">
        <v>188</v>
      </c>
      <c r="M190" s="71" t="s">
        <v>55</v>
      </c>
      <c r="N190" s="71" t="s">
        <v>262</v>
      </c>
      <c r="O190" s="71"/>
      <c r="P190" s="71" t="s">
        <v>189</v>
      </c>
      <c r="Q190" s="71" t="s">
        <v>55</v>
      </c>
      <c r="R190" s="74">
        <v>75</v>
      </c>
      <c r="S190" s="74">
        <v>163.75</v>
      </c>
      <c r="T190" s="74">
        <v>163.75</v>
      </c>
      <c r="U190" s="77">
        <v>45898</v>
      </c>
      <c r="V190" s="77"/>
      <c r="W190" s="77" t="s">
        <v>746</v>
      </c>
    </row>
    <row r="191" spans="1:24" s="78" customFormat="1" ht="15" hidden="1" thickBot="1">
      <c r="A191" s="71" t="s">
        <v>154</v>
      </c>
      <c r="B191" s="71" t="s">
        <v>155</v>
      </c>
      <c r="C191" s="71">
        <v>616866669</v>
      </c>
      <c r="D191" s="71" t="s">
        <v>156</v>
      </c>
      <c r="E191" s="71" t="s">
        <v>283</v>
      </c>
      <c r="F191" s="73">
        <v>45757</v>
      </c>
      <c r="G191" s="71">
        <v>4643</v>
      </c>
      <c r="H191" s="71" t="s">
        <v>362</v>
      </c>
      <c r="I191" s="71" t="s">
        <v>363</v>
      </c>
      <c r="J191" s="71" t="s">
        <v>165</v>
      </c>
      <c r="K191" s="71" t="s">
        <v>33</v>
      </c>
      <c r="L191" s="71" t="s">
        <v>364</v>
      </c>
      <c r="M191" s="71" t="s">
        <v>750</v>
      </c>
      <c r="N191" s="71" t="s">
        <v>262</v>
      </c>
      <c r="O191" s="71"/>
      <c r="P191" s="71" t="s">
        <v>751</v>
      </c>
      <c r="Q191" s="71" t="s">
        <v>352</v>
      </c>
      <c r="R191" s="74">
        <v>75</v>
      </c>
      <c r="S191" s="75">
        <v>120</v>
      </c>
      <c r="T191" s="75">
        <v>195</v>
      </c>
      <c r="U191" s="76">
        <v>45898</v>
      </c>
      <c r="V191" s="77"/>
      <c r="W191" s="77" t="s">
        <v>169</v>
      </c>
    </row>
  </sheetData>
  <autoFilter ref="A1:U191" xr:uid="{65825580-7F8E-4779-80EB-2E9221949081}">
    <filterColumn colId="13">
      <filters blank="1">
        <filter val="NO HA LLEGADO"/>
        <filter val="NO SE HA PODIDO REPARAR LA PLACA"/>
        <filter val="POR FACTURAR/REPARADO Y PARA ENVIARLO"/>
      </filters>
    </filterColumn>
  </autoFilter>
  <mergeCells count="18">
    <mergeCell ref="W1:W2"/>
    <mergeCell ref="V1:V2"/>
    <mergeCell ref="U1:U2"/>
    <mergeCell ref="A1:A2"/>
    <mergeCell ref="N1:N2"/>
    <mergeCell ref="H1:H2"/>
    <mergeCell ref="T1:T2"/>
    <mergeCell ref="F1:F2"/>
    <mergeCell ref="I1:I2"/>
    <mergeCell ref="J1:J2"/>
    <mergeCell ref="M1:M2"/>
    <mergeCell ref="Q1:Q2"/>
    <mergeCell ref="G1:G2"/>
    <mergeCell ref="E1:E2"/>
    <mergeCell ref="R1:R2"/>
    <mergeCell ref="O1:O2"/>
    <mergeCell ref="L1:L2"/>
    <mergeCell ref="S1:S2"/>
  </mergeCells>
  <phoneticPr fontId="7" type="noConversion"/>
  <hyperlinks>
    <hyperlink ref="D84" r:id="rId1" display="mailto:cristina.canogomez.ext@telefonica.com" xr:uid="{C67266CB-0A6A-493B-AE7F-03337D029A41}"/>
    <hyperlink ref="D81" r:id="rId2" xr:uid="{DFE69B89-2139-46D9-A50B-EDF7E01731CE}"/>
    <hyperlink ref="D82" r:id="rId3" display="mailto:cristina.canogomez.ext@telefonica.com" xr:uid="{BB794911-8D3C-46E9-8B23-2A02FBA5660A}"/>
    <hyperlink ref="D83" r:id="rId4" display="mailto:cristina.canogomez.ext@telefonica.com" xr:uid="{0D067536-2EF7-4EF4-A051-880A9007222F}"/>
    <hyperlink ref="D85" r:id="rId5" display="mailto:cristina.canogomez.ext@telefonica.com" xr:uid="{DC82B6BB-72AA-4815-B000-F73AD5C9564D}"/>
    <hyperlink ref="D86" r:id="rId6" display="mailto:cristina.canogomez.ext@telefonica.com" xr:uid="{3FA05A80-BD20-4824-AF23-D029B3A6F13F}"/>
    <hyperlink ref="D87" r:id="rId7" display="mailto:cristina.canogomez.ext@telefonica.com" xr:uid="{ED82FFCD-FEDE-42A6-86B5-E55AD3A5776E}"/>
    <hyperlink ref="D88" r:id="rId8" display="mailto:cristina.canogomez.ext@telefonica.com" xr:uid="{273DD8BC-BD0E-4BB0-AAD7-984AAB61502C}"/>
    <hyperlink ref="D89" r:id="rId9" xr:uid="{D28D2228-1398-4834-BDD5-E783953C7D7B}"/>
    <hyperlink ref="D90" r:id="rId10" display="mailto:cristina.canogomez.ext@telefonica.com" xr:uid="{7E2C4E2D-2B82-48E0-8C2D-B2D3EA80483B}"/>
    <hyperlink ref="D40" r:id="rId11" display="mailto:cristina.canogomez.ext@telefonica.com" xr:uid="{86570E2D-1609-45A6-A12F-D020B283F46A}"/>
    <hyperlink ref="D41" r:id="rId12" display="mailto:cristina.canogomez.ext@telefonica.com" xr:uid="{97EAE3C3-C5FE-479B-B250-B886798A6D04}"/>
    <hyperlink ref="D42" r:id="rId13" display="mailto:cristina.canogomez.ext@telefonica.com" xr:uid="{5B6D1738-608A-46D0-9B34-1105428C42E8}"/>
    <hyperlink ref="D43" r:id="rId14" display="mailto:cristina.canogomez.ext@telefonica.com" xr:uid="{DC6C8AEA-A846-4B23-81FE-A61639243581}"/>
    <hyperlink ref="D38" r:id="rId15" display="mailto:cristina.canogomez.ext@telefonica.com" xr:uid="{E51347AD-BEE0-468C-8CCE-4CB73F0221B8}"/>
    <hyperlink ref="D39" r:id="rId16" display="mailto:cristina.canogomez.ext@telefonica.com" xr:uid="{E5C9D7F0-6836-46DE-94D1-7446F2794852}"/>
    <hyperlink ref="D61" r:id="rId17" xr:uid="{7FF0945C-EAA5-405D-9A6F-39415032C2ED}"/>
    <hyperlink ref="D30" r:id="rId18" xr:uid="{D6D7E138-35FC-4326-9791-712968B1D825}"/>
    <hyperlink ref="D31:D36" r:id="rId19" display="mariacarmen.rodriguezlage.ext@telefonica.com" xr:uid="{F944A28E-2FE7-42A7-8A5A-057BC3C78918}"/>
    <hyperlink ref="D37" r:id="rId20" xr:uid="{B532F752-D129-4557-8FBD-21B1477E6648}"/>
    <hyperlink ref="D44:D60" r:id="rId21" display="mailto:cristina.canogomez.ext@telefonica.com" xr:uid="{E9F8DC9A-CBDC-499F-A9E9-FB0C51836294}"/>
    <hyperlink ref="D3" r:id="rId22" display="mailto:cristina.canogomez.ext@telefonica.com" xr:uid="{FBCA458D-E458-4585-AD43-1AF8FA0B37B7}"/>
    <hyperlink ref="D4:D29" r:id="rId23" display="mailto:cristina.canogomez.ext@telefonica.com" xr:uid="{9E67A661-1334-436D-A63E-511BFACBCF9B}"/>
    <hyperlink ref="D91" r:id="rId24" display="mailto:cristina.canogomez.ext@telefonica.com" xr:uid="{9503FDA4-DCBD-425A-9EAD-F49C7D0F576E}"/>
    <hyperlink ref="D92:D109" r:id="rId25" display="mailto:cristina.canogomez.ext@telefonica.com" xr:uid="{622316AF-E07B-4790-9C43-5FF96636B509}"/>
    <hyperlink ref="D66" r:id="rId26" xr:uid="{77D88426-64B0-46D3-9F42-D0F92FEB95A5}"/>
    <hyperlink ref="D146" r:id="rId27" xr:uid="{B58FA2EE-C65E-48D4-B43A-CBF906FA2A39}"/>
    <hyperlink ref="D147" r:id="rId28" xr:uid="{3AC8BFC2-1434-4342-BDAA-26BA9D4C3EBA}"/>
    <hyperlink ref="D148" r:id="rId29" xr:uid="{2648E77B-CEB8-4AAC-995E-3E8284BE6AFF}"/>
    <hyperlink ref="D149" r:id="rId30" xr:uid="{BEF7A337-224C-43EA-8B9E-90721E888D55}"/>
    <hyperlink ref="D150" r:id="rId31" xr:uid="{9A8C467B-EA22-411F-8E95-B0F7500BF4C8}"/>
    <hyperlink ref="D151" r:id="rId32" xr:uid="{ADC335E3-E2EF-4C1D-8C8F-F6DF24526B4B}"/>
    <hyperlink ref="D152" r:id="rId33" xr:uid="{AE9C3993-7E4D-401D-BE2E-6C27BF679C2E}"/>
    <hyperlink ref="D153" r:id="rId34" xr:uid="{26A981F3-2CAE-40ED-9CBA-AEB1D796C575}"/>
    <hyperlink ref="D154" r:id="rId35" xr:uid="{BF088A13-6FD1-4F43-928E-49B242B85D41}"/>
    <hyperlink ref="D155" r:id="rId36" xr:uid="{855205F7-1466-4177-9AB5-A4250DBCFC0B}"/>
    <hyperlink ref="D156" r:id="rId37" xr:uid="{B1C0881A-1D06-45F3-AB3E-8229783A5B04}"/>
    <hyperlink ref="D92" r:id="rId38" xr:uid="{B9042BD9-1F9B-42DD-9F93-EFBD67E42FD9}"/>
    <hyperlink ref="E146" r:id="rId39" xr:uid="{293BB079-B523-4D72-AEBD-8F076760946A}"/>
    <hyperlink ref="D139" r:id="rId40" xr:uid="{1C6EEC32-5A02-41AB-8199-D108E018629F}"/>
    <hyperlink ref="D110" r:id="rId41" xr:uid="{8456C93E-B6BB-4C2B-BB66-4475ACAFDD09}"/>
    <hyperlink ref="D116" r:id="rId42" xr:uid="{EB4FD2CE-FE51-496A-88C4-355A9C9D3716}"/>
    <hyperlink ref="D123" r:id="rId43" xr:uid="{AD276FC1-4519-4953-8730-3C1633EECDF8}"/>
    <hyperlink ref="D187" r:id="rId44" xr:uid="{F44A4820-B387-40DF-8E5C-ACD5AB1D2B6D}"/>
    <hyperlink ref="D188" r:id="rId45" xr:uid="{634DD1D1-6770-4D65-9C59-76C9FB7F9BD1}"/>
    <hyperlink ref="D189" r:id="rId46" xr:uid="{F7923618-53F6-4FE2-B6F7-979DD542F9F7}"/>
    <hyperlink ref="D190" r:id="rId47" xr:uid="{3A5F4F41-8328-4568-85DF-7AF139AEA5B7}"/>
  </hyperlinks>
  <pageMargins left="0.7" right="0.7" top="0.75" bottom="0.75" header="0.3" footer="0.3"/>
  <pageSetup paperSize="9" orientation="portrait" horizontalDpi="300" verticalDpi="300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B006-D3E2-4631-8B3D-006615CE84E1}">
  <dimension ref="A1:BT10"/>
  <sheetViews>
    <sheetView workbookViewId="0">
      <selection activeCell="A3" sqref="A3"/>
    </sheetView>
  </sheetViews>
  <sheetFormatPr baseColWidth="10" defaultColWidth="11.453125" defaultRowHeight="14.5"/>
  <cols>
    <col min="1" max="1" width="25.6328125" bestFit="1" customWidth="1"/>
    <col min="2" max="2" width="21.90625" bestFit="1" customWidth="1"/>
    <col min="3" max="3" width="10.36328125" bestFit="1" customWidth="1"/>
    <col min="4" max="7" width="9.36328125" bestFit="1" customWidth="1"/>
    <col min="8" max="9" width="10.36328125" bestFit="1" customWidth="1"/>
    <col min="10" max="12" width="9.36328125" bestFit="1" customWidth="1"/>
    <col min="13" max="14" width="6.08984375" bestFit="1" customWidth="1"/>
    <col min="15" max="15" width="10.08984375" bestFit="1" customWidth="1"/>
    <col min="16" max="16" width="20" bestFit="1" customWidth="1"/>
    <col min="17" max="17" width="17.7265625" bestFit="1" customWidth="1"/>
    <col min="18" max="19" width="19.08984375" bestFit="1" customWidth="1"/>
    <col min="20" max="20" width="20.81640625" bestFit="1" customWidth="1"/>
    <col min="21" max="21" width="18.36328125" bestFit="1" customWidth="1"/>
    <col min="22" max="22" width="10.6328125" bestFit="1" customWidth="1"/>
    <col min="23" max="23" width="14.54296875" bestFit="1" customWidth="1"/>
    <col min="24" max="24" width="13.36328125" bestFit="1" customWidth="1"/>
    <col min="25" max="25" width="12.36328125" bestFit="1" customWidth="1"/>
    <col min="26" max="26" width="12.81640625" bestFit="1" customWidth="1"/>
    <col min="27" max="27" width="6.6328125" bestFit="1" customWidth="1"/>
    <col min="28" max="28" width="12.36328125" bestFit="1" customWidth="1"/>
    <col min="29" max="29" width="7.453125" bestFit="1" customWidth="1"/>
    <col min="30" max="31" width="6.54296875" bestFit="1" customWidth="1"/>
    <col min="32" max="32" width="7.453125" bestFit="1" customWidth="1"/>
    <col min="33" max="35" width="6.54296875" bestFit="1" customWidth="1"/>
    <col min="36" max="36" width="11" bestFit="1" customWidth="1"/>
    <col min="37" max="37" width="9.81640625" bestFit="1" customWidth="1"/>
    <col min="38" max="38" width="10.1796875" bestFit="1" customWidth="1"/>
    <col min="39" max="40" width="9.81640625" bestFit="1" customWidth="1"/>
    <col min="41" max="41" width="14.81640625" bestFit="1" customWidth="1"/>
    <col min="42" max="42" width="9.81640625" bestFit="1" customWidth="1"/>
    <col min="43" max="43" width="10.7265625" bestFit="1" customWidth="1"/>
    <col min="44" max="44" width="6.54296875" bestFit="1" customWidth="1"/>
    <col min="45" max="45" width="7.453125" bestFit="1" customWidth="1"/>
    <col min="46" max="46" width="9.81640625" bestFit="1" customWidth="1"/>
    <col min="47" max="48" width="9.90625" bestFit="1" customWidth="1"/>
    <col min="49" max="52" width="9" bestFit="1" customWidth="1"/>
    <col min="53" max="54" width="9.90625" bestFit="1" customWidth="1"/>
    <col min="55" max="55" width="9" bestFit="1" customWidth="1"/>
    <col min="56" max="56" width="9.36328125" bestFit="1" customWidth="1"/>
    <col min="57" max="57" width="6.6328125" bestFit="1" customWidth="1"/>
    <col min="58" max="58" width="9" bestFit="1" customWidth="1"/>
    <col min="59" max="60" width="12.26953125" bestFit="1" customWidth="1"/>
    <col min="61" max="61" width="9" bestFit="1" customWidth="1"/>
    <col min="62" max="62" width="6.26953125" bestFit="1" customWidth="1"/>
    <col min="63" max="63" width="9.36328125" bestFit="1" customWidth="1"/>
    <col min="64" max="65" width="9.81640625" bestFit="1" customWidth="1"/>
    <col min="66" max="67" width="10.7265625" bestFit="1" customWidth="1"/>
    <col min="68" max="71" width="9.81640625" bestFit="1" customWidth="1"/>
    <col min="72" max="72" width="12" bestFit="1" customWidth="1"/>
    <col min="73" max="73" width="10.26953125" bestFit="1" customWidth="1"/>
    <col min="74" max="74" width="12.54296875" bestFit="1" customWidth="1"/>
  </cols>
  <sheetData>
    <row r="1" spans="1:72">
      <c r="A1" s="92" t="s">
        <v>16</v>
      </c>
      <c r="B1" t="s">
        <v>752</v>
      </c>
    </row>
    <row r="3" spans="1:72">
      <c r="A3" s="92" t="s">
        <v>753</v>
      </c>
      <c r="B3" s="92" t="s">
        <v>754</v>
      </c>
    </row>
    <row r="4" spans="1:72">
      <c r="A4" s="92" t="s">
        <v>755</v>
      </c>
      <c r="B4" t="s">
        <v>756</v>
      </c>
      <c r="C4" t="s">
        <v>397</v>
      </c>
      <c r="D4" t="s">
        <v>216</v>
      </c>
      <c r="E4" t="s">
        <v>502</v>
      </c>
      <c r="F4" t="s">
        <v>345</v>
      </c>
      <c r="G4" t="s">
        <v>374</v>
      </c>
      <c r="H4" t="s">
        <v>379</v>
      </c>
      <c r="I4" t="s">
        <v>485</v>
      </c>
      <c r="J4" t="s">
        <v>160</v>
      </c>
      <c r="K4" t="s">
        <v>382</v>
      </c>
      <c r="L4" t="s">
        <v>201</v>
      </c>
      <c r="M4" t="s">
        <v>222</v>
      </c>
      <c r="N4" t="s">
        <v>226</v>
      </c>
      <c r="O4" t="s">
        <v>232</v>
      </c>
      <c r="P4" t="s">
        <v>99</v>
      </c>
      <c r="Q4" t="s">
        <v>32</v>
      </c>
      <c r="R4" t="s">
        <v>59</v>
      </c>
      <c r="S4" t="s">
        <v>105</v>
      </c>
      <c r="T4" t="s">
        <v>95</v>
      </c>
      <c r="U4" t="s">
        <v>757</v>
      </c>
      <c r="V4" t="s">
        <v>758</v>
      </c>
      <c r="W4" t="s">
        <v>759</v>
      </c>
      <c r="X4" t="s">
        <v>760</v>
      </c>
      <c r="Y4" t="s">
        <v>761</v>
      </c>
      <c r="Z4" t="s">
        <v>762</v>
      </c>
      <c r="AA4" t="s">
        <v>763</v>
      </c>
      <c r="AB4" t="s">
        <v>764</v>
      </c>
      <c r="AC4" t="s">
        <v>765</v>
      </c>
      <c r="AD4" t="s">
        <v>766</v>
      </c>
      <c r="AE4" t="s">
        <v>767</v>
      </c>
      <c r="AF4" t="s">
        <v>768</v>
      </c>
      <c r="AG4" t="s">
        <v>769</v>
      </c>
      <c r="AH4" t="s">
        <v>770</v>
      </c>
      <c r="AI4" t="s">
        <v>771</v>
      </c>
      <c r="AJ4" t="s">
        <v>772</v>
      </c>
      <c r="AK4" t="s">
        <v>774</v>
      </c>
      <c r="AL4" t="s">
        <v>775</v>
      </c>
      <c r="AM4" t="s">
        <v>776</v>
      </c>
      <c r="AN4" t="s">
        <v>777</v>
      </c>
      <c r="AO4" t="s">
        <v>778</v>
      </c>
      <c r="AP4" t="s">
        <v>779</v>
      </c>
      <c r="AQ4" t="s">
        <v>780</v>
      </c>
      <c r="AR4" t="s">
        <v>781</v>
      </c>
      <c r="AS4" t="s">
        <v>782</v>
      </c>
      <c r="AT4" t="s">
        <v>3266</v>
      </c>
      <c r="AU4" t="s">
        <v>3281</v>
      </c>
      <c r="AV4" t="s">
        <v>180</v>
      </c>
      <c r="AW4" t="s">
        <v>3288</v>
      </c>
      <c r="AX4" t="s">
        <v>165</v>
      </c>
      <c r="AY4" t="s">
        <v>172</v>
      </c>
      <c r="AZ4" t="s">
        <v>192</v>
      </c>
      <c r="BA4" t="s">
        <v>3387</v>
      </c>
      <c r="BB4" t="s">
        <v>3424</v>
      </c>
      <c r="BC4" t="s">
        <v>298</v>
      </c>
      <c r="BD4" t="s">
        <v>3487</v>
      </c>
      <c r="BE4" t="s">
        <v>3388</v>
      </c>
      <c r="BF4" t="s">
        <v>3485</v>
      </c>
      <c r="BG4" t="s">
        <v>3526</v>
      </c>
      <c r="BH4" t="s">
        <v>3527</v>
      </c>
      <c r="BI4" t="s">
        <v>318</v>
      </c>
      <c r="BJ4" t="s">
        <v>441</v>
      </c>
      <c r="BK4" t="s">
        <v>3617</v>
      </c>
      <c r="BL4" t="s">
        <v>3619</v>
      </c>
      <c r="BM4" t="s">
        <v>3620</v>
      </c>
      <c r="BN4" t="s">
        <v>3621</v>
      </c>
      <c r="BO4" t="s">
        <v>3622</v>
      </c>
      <c r="BP4" t="s">
        <v>3623</v>
      </c>
      <c r="BQ4" t="s">
        <v>3624</v>
      </c>
      <c r="BR4" t="s">
        <v>3625</v>
      </c>
      <c r="BS4" t="s">
        <v>3994</v>
      </c>
      <c r="BT4" t="s">
        <v>783</v>
      </c>
    </row>
    <row r="5" spans="1:72">
      <c r="A5" s="93" t="s">
        <v>784</v>
      </c>
      <c r="B5" s="156"/>
      <c r="C5" s="156"/>
      <c r="D5" s="156"/>
      <c r="E5" s="156"/>
      <c r="F5" s="156"/>
      <c r="G5" s="156"/>
      <c r="H5" s="156"/>
      <c r="I5" s="156"/>
      <c r="J5" s="156">
        <v>1</v>
      </c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>
        <v>1</v>
      </c>
    </row>
    <row r="6" spans="1:72">
      <c r="A6" s="93" t="s">
        <v>36</v>
      </c>
      <c r="B6" s="156">
        <v>4</v>
      </c>
      <c r="C6" s="156">
        <v>6</v>
      </c>
      <c r="D6" s="156">
        <v>27</v>
      </c>
      <c r="E6" s="156">
        <v>33</v>
      </c>
      <c r="F6" s="156">
        <v>9</v>
      </c>
      <c r="G6" s="156">
        <v>1</v>
      </c>
      <c r="H6" s="156">
        <v>17</v>
      </c>
      <c r="I6" s="156">
        <v>9</v>
      </c>
      <c r="J6" s="156">
        <v>189</v>
      </c>
      <c r="K6" s="156">
        <v>23</v>
      </c>
      <c r="L6" s="156">
        <v>31</v>
      </c>
      <c r="M6" s="156">
        <v>8</v>
      </c>
      <c r="N6" s="156">
        <v>1</v>
      </c>
      <c r="O6" s="156">
        <v>4</v>
      </c>
      <c r="P6" s="156">
        <v>1</v>
      </c>
      <c r="Q6" s="156">
        <v>4</v>
      </c>
      <c r="R6" s="156">
        <v>8</v>
      </c>
      <c r="S6" s="156">
        <v>1</v>
      </c>
      <c r="T6" s="156">
        <v>1</v>
      </c>
      <c r="U6" s="156">
        <v>1</v>
      </c>
      <c r="V6" s="156"/>
      <c r="W6" s="156">
        <v>2</v>
      </c>
      <c r="X6" s="156">
        <v>1</v>
      </c>
      <c r="Y6" s="156">
        <v>1</v>
      </c>
      <c r="Z6" s="156"/>
      <c r="AA6" s="156">
        <v>2</v>
      </c>
      <c r="AB6" s="156"/>
      <c r="AC6" s="156"/>
      <c r="AD6" s="156">
        <v>3</v>
      </c>
      <c r="AE6" s="156"/>
      <c r="AF6" s="156"/>
      <c r="AG6" s="156">
        <v>8</v>
      </c>
      <c r="AH6" s="156"/>
      <c r="AI6" s="156">
        <v>1</v>
      </c>
      <c r="AJ6" s="156">
        <v>2</v>
      </c>
      <c r="AK6" s="156">
        <v>1</v>
      </c>
      <c r="AL6" s="156">
        <v>3</v>
      </c>
      <c r="AM6" s="156">
        <v>1</v>
      </c>
      <c r="AN6" s="156"/>
      <c r="AO6" s="156"/>
      <c r="AP6" s="156"/>
      <c r="AQ6" s="156"/>
      <c r="AR6" s="156"/>
      <c r="AS6" s="156"/>
      <c r="AT6" s="156">
        <v>5</v>
      </c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>
        <v>408</v>
      </c>
    </row>
    <row r="7" spans="1:72">
      <c r="A7" s="93" t="s">
        <v>499</v>
      </c>
      <c r="B7" s="156">
        <v>12</v>
      </c>
      <c r="C7" s="156">
        <v>9</v>
      </c>
      <c r="D7" s="156">
        <v>6</v>
      </c>
      <c r="E7" s="156">
        <v>9</v>
      </c>
      <c r="F7" s="156">
        <v>2</v>
      </c>
      <c r="G7" s="156">
        <v>1</v>
      </c>
      <c r="H7" s="156">
        <v>26</v>
      </c>
      <c r="I7" s="156">
        <v>10</v>
      </c>
      <c r="J7" s="156">
        <v>43</v>
      </c>
      <c r="K7" s="156">
        <v>8</v>
      </c>
      <c r="L7" s="156">
        <v>30</v>
      </c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>
        <v>1</v>
      </c>
      <c r="Z7" s="156">
        <v>1</v>
      </c>
      <c r="AA7" s="156">
        <v>2</v>
      </c>
      <c r="AB7" s="156">
        <v>1</v>
      </c>
      <c r="AC7" s="156">
        <v>3</v>
      </c>
      <c r="AD7" s="156">
        <v>4</v>
      </c>
      <c r="AE7" s="156">
        <v>1</v>
      </c>
      <c r="AF7" s="156">
        <v>2</v>
      </c>
      <c r="AG7" s="156">
        <v>4</v>
      </c>
      <c r="AH7" s="156">
        <v>9</v>
      </c>
      <c r="AI7" s="156">
        <v>2</v>
      </c>
      <c r="AJ7" s="156">
        <v>2</v>
      </c>
      <c r="AK7" s="156"/>
      <c r="AL7" s="156"/>
      <c r="AM7" s="156">
        <v>2</v>
      </c>
      <c r="AN7" s="156">
        <v>1</v>
      </c>
      <c r="AO7" s="156">
        <v>1</v>
      </c>
      <c r="AP7" s="156">
        <v>4</v>
      </c>
      <c r="AQ7" s="156">
        <v>6</v>
      </c>
      <c r="AR7" s="156">
        <v>2</v>
      </c>
      <c r="AS7" s="156">
        <v>2</v>
      </c>
      <c r="AT7" s="156"/>
      <c r="AU7" s="156">
        <v>4</v>
      </c>
      <c r="AV7" s="156">
        <v>11</v>
      </c>
      <c r="AW7" s="156">
        <v>11</v>
      </c>
      <c r="AX7" s="156">
        <v>47</v>
      </c>
      <c r="AY7" s="156">
        <v>32</v>
      </c>
      <c r="AZ7" s="156">
        <v>12</v>
      </c>
      <c r="BA7" s="156">
        <v>2</v>
      </c>
      <c r="BB7" s="156">
        <v>2</v>
      </c>
      <c r="BC7" s="156">
        <v>1</v>
      </c>
      <c r="BD7" s="156">
        <v>1</v>
      </c>
      <c r="BE7" s="156">
        <v>1</v>
      </c>
      <c r="BF7" s="156">
        <v>2</v>
      </c>
      <c r="BG7" s="156">
        <v>3</v>
      </c>
      <c r="BH7" s="156">
        <v>5</v>
      </c>
      <c r="BI7" s="156">
        <v>1</v>
      </c>
      <c r="BJ7" s="156">
        <v>1</v>
      </c>
      <c r="BK7" s="156">
        <v>2</v>
      </c>
      <c r="BL7" s="156">
        <v>6</v>
      </c>
      <c r="BM7" s="156">
        <v>3</v>
      </c>
      <c r="BN7" s="156">
        <v>1</v>
      </c>
      <c r="BO7" s="156">
        <v>1</v>
      </c>
      <c r="BP7" s="156">
        <v>2</v>
      </c>
      <c r="BQ7" s="156">
        <v>3</v>
      </c>
      <c r="BR7" s="156">
        <v>1</v>
      </c>
      <c r="BS7" s="156">
        <v>1</v>
      </c>
      <c r="BT7" s="156">
        <v>362</v>
      </c>
    </row>
    <row r="8" spans="1:72">
      <c r="A8" s="93" t="s">
        <v>785</v>
      </c>
      <c r="B8" s="156"/>
      <c r="C8" s="156"/>
      <c r="D8" s="156"/>
      <c r="E8" s="156"/>
      <c r="F8" s="156"/>
      <c r="G8" s="156"/>
      <c r="H8" s="156"/>
      <c r="I8" s="156"/>
      <c r="J8" s="156">
        <v>2</v>
      </c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>
        <v>2</v>
      </c>
    </row>
    <row r="9" spans="1:72">
      <c r="A9" s="93" t="s">
        <v>758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</row>
    <row r="10" spans="1:72">
      <c r="A10" s="93" t="s">
        <v>783</v>
      </c>
      <c r="B10" s="156">
        <v>16</v>
      </c>
      <c r="C10" s="156">
        <v>15</v>
      </c>
      <c r="D10" s="156">
        <v>33</v>
      </c>
      <c r="E10" s="156">
        <v>42</v>
      </c>
      <c r="F10" s="156">
        <v>11</v>
      </c>
      <c r="G10" s="156">
        <v>2</v>
      </c>
      <c r="H10" s="156">
        <v>43</v>
      </c>
      <c r="I10" s="156">
        <v>19</v>
      </c>
      <c r="J10" s="156">
        <v>235</v>
      </c>
      <c r="K10" s="156">
        <v>31</v>
      </c>
      <c r="L10" s="156">
        <v>61</v>
      </c>
      <c r="M10" s="156">
        <v>8</v>
      </c>
      <c r="N10" s="156">
        <v>1</v>
      </c>
      <c r="O10" s="156">
        <v>4</v>
      </c>
      <c r="P10" s="156">
        <v>1</v>
      </c>
      <c r="Q10" s="156">
        <v>4</v>
      </c>
      <c r="R10" s="156">
        <v>8</v>
      </c>
      <c r="S10" s="156">
        <v>1</v>
      </c>
      <c r="T10" s="156">
        <v>1</v>
      </c>
      <c r="U10" s="156">
        <v>1</v>
      </c>
      <c r="V10" s="156"/>
      <c r="W10" s="156">
        <v>2</v>
      </c>
      <c r="X10" s="156">
        <v>1</v>
      </c>
      <c r="Y10" s="156">
        <v>2</v>
      </c>
      <c r="Z10" s="156">
        <v>1</v>
      </c>
      <c r="AA10" s="156">
        <v>4</v>
      </c>
      <c r="AB10" s="156">
        <v>1</v>
      </c>
      <c r="AC10" s="156">
        <v>3</v>
      </c>
      <c r="AD10" s="156">
        <v>7</v>
      </c>
      <c r="AE10" s="156">
        <v>1</v>
      </c>
      <c r="AF10" s="156">
        <v>2</v>
      </c>
      <c r="AG10" s="156">
        <v>12</v>
      </c>
      <c r="AH10" s="156">
        <v>9</v>
      </c>
      <c r="AI10" s="156">
        <v>3</v>
      </c>
      <c r="AJ10" s="156">
        <v>4</v>
      </c>
      <c r="AK10" s="156">
        <v>1</v>
      </c>
      <c r="AL10" s="156">
        <v>3</v>
      </c>
      <c r="AM10" s="156">
        <v>3</v>
      </c>
      <c r="AN10" s="156">
        <v>1</v>
      </c>
      <c r="AO10" s="156">
        <v>1</v>
      </c>
      <c r="AP10" s="156">
        <v>4</v>
      </c>
      <c r="AQ10" s="156">
        <v>6</v>
      </c>
      <c r="AR10" s="156">
        <v>2</v>
      </c>
      <c r="AS10" s="156">
        <v>2</v>
      </c>
      <c r="AT10" s="156">
        <v>5</v>
      </c>
      <c r="AU10" s="156">
        <v>4</v>
      </c>
      <c r="AV10" s="156">
        <v>11</v>
      </c>
      <c r="AW10" s="156">
        <v>11</v>
      </c>
      <c r="AX10" s="156">
        <v>47</v>
      </c>
      <c r="AY10" s="156">
        <v>32</v>
      </c>
      <c r="AZ10" s="156">
        <v>12</v>
      </c>
      <c r="BA10" s="156">
        <v>2</v>
      </c>
      <c r="BB10" s="156">
        <v>2</v>
      </c>
      <c r="BC10" s="156">
        <v>1</v>
      </c>
      <c r="BD10" s="156">
        <v>1</v>
      </c>
      <c r="BE10" s="156">
        <v>1</v>
      </c>
      <c r="BF10" s="156">
        <v>2</v>
      </c>
      <c r="BG10" s="156">
        <v>3</v>
      </c>
      <c r="BH10" s="156">
        <v>5</v>
      </c>
      <c r="BI10" s="156">
        <v>1</v>
      </c>
      <c r="BJ10" s="156">
        <v>1</v>
      </c>
      <c r="BK10" s="156">
        <v>2</v>
      </c>
      <c r="BL10" s="156">
        <v>6</v>
      </c>
      <c r="BM10" s="156">
        <v>3</v>
      </c>
      <c r="BN10" s="156">
        <v>1</v>
      </c>
      <c r="BO10" s="156">
        <v>1</v>
      </c>
      <c r="BP10" s="156">
        <v>2</v>
      </c>
      <c r="BQ10" s="156">
        <v>3</v>
      </c>
      <c r="BR10" s="156">
        <v>1</v>
      </c>
      <c r="BS10" s="156">
        <v>1</v>
      </c>
      <c r="BT10" s="156">
        <v>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38F9-1F6D-40A2-A357-53D112C07ED7}">
  <sheetPr>
    <tabColor rgb="FFFFC000"/>
  </sheetPr>
  <dimension ref="A1:X950"/>
  <sheetViews>
    <sheetView tabSelected="1" topLeftCell="O1" zoomScale="80" zoomScaleNormal="80" workbookViewId="0">
      <pane ySplit="1" topLeftCell="A733" activePane="bottomLeft" state="frozen"/>
      <selection pane="bottomLeft" activeCell="R762" sqref="R762"/>
    </sheetView>
  </sheetViews>
  <sheetFormatPr baseColWidth="10" defaultColWidth="11.453125" defaultRowHeight="14.5"/>
  <cols>
    <col min="1" max="1" width="21.1796875" customWidth="1"/>
    <col min="2" max="3" width="26.7265625" customWidth="1"/>
    <col min="4" max="4" width="65.7265625" customWidth="1"/>
    <col min="5" max="5" width="85.453125" customWidth="1"/>
    <col min="6" max="6" width="17.26953125" customWidth="1"/>
    <col min="7" max="7" width="13.7265625" style="3" customWidth="1"/>
    <col min="8" max="8" width="13.81640625" bestFit="1" customWidth="1"/>
    <col min="9" max="9" width="16.7265625" customWidth="1"/>
    <col min="10" max="10" width="20.81640625" bestFit="1" customWidth="1"/>
    <col min="11" max="11" width="17.26953125" customWidth="1"/>
    <col min="12" max="12" width="69.453125" bestFit="1" customWidth="1"/>
    <col min="13" max="13" width="94.453125" customWidth="1"/>
    <col min="14" max="14" width="27.1796875" bestFit="1" customWidth="1"/>
    <col min="15" max="15" width="14.81640625" bestFit="1" customWidth="1"/>
    <col min="16" max="16" width="145.1796875" customWidth="1"/>
    <col min="17" max="17" width="87.1796875" customWidth="1"/>
    <col min="18" max="18" width="30.26953125" customWidth="1"/>
    <col min="19" max="19" width="23" style="62" customWidth="1"/>
    <col min="20" max="20" width="29.453125" style="40" customWidth="1"/>
    <col min="21" max="21" width="22.453125" customWidth="1"/>
    <col min="22" max="23" width="43.54296875" customWidth="1"/>
    <col min="24" max="24" width="101" customWidth="1"/>
  </cols>
  <sheetData>
    <row r="1" spans="1:24" ht="41.25" customHeight="1">
      <c r="A1" s="150" t="s">
        <v>0</v>
      </c>
      <c r="B1" s="25" t="s">
        <v>1</v>
      </c>
      <c r="C1" s="25" t="s">
        <v>2</v>
      </c>
      <c r="D1" s="25" t="s">
        <v>3</v>
      </c>
      <c r="E1" s="150" t="s">
        <v>4</v>
      </c>
      <c r="F1" s="150" t="s">
        <v>5</v>
      </c>
      <c r="G1" s="154" t="s">
        <v>6</v>
      </c>
      <c r="H1" s="150" t="s">
        <v>7</v>
      </c>
      <c r="I1" s="150" t="s">
        <v>786</v>
      </c>
      <c r="J1" s="150" t="s">
        <v>9</v>
      </c>
      <c r="K1" s="1" t="s">
        <v>10</v>
      </c>
      <c r="L1" s="150" t="s">
        <v>11</v>
      </c>
      <c r="M1" s="150" t="s">
        <v>12</v>
      </c>
      <c r="N1" s="150" t="s">
        <v>13</v>
      </c>
      <c r="O1" s="150" t="s">
        <v>14</v>
      </c>
      <c r="P1" s="115" t="s">
        <v>15</v>
      </c>
      <c r="Q1" s="150" t="s">
        <v>16</v>
      </c>
      <c r="R1" s="150" t="s">
        <v>17</v>
      </c>
      <c r="S1" s="152" t="s">
        <v>18</v>
      </c>
      <c r="T1" s="97" t="s">
        <v>19</v>
      </c>
      <c r="U1" s="150" t="s">
        <v>20</v>
      </c>
      <c r="V1" s="150" t="s">
        <v>21</v>
      </c>
      <c r="W1" s="25" t="s">
        <v>787</v>
      </c>
      <c r="X1" s="150" t="s">
        <v>22</v>
      </c>
    </row>
    <row r="2" spans="1:24" ht="15.75" customHeight="1" thickBot="1">
      <c r="A2" s="151"/>
      <c r="B2" s="26"/>
      <c r="C2" s="26"/>
      <c r="D2" s="26"/>
      <c r="E2" s="151"/>
      <c r="F2" s="151"/>
      <c r="G2" s="155"/>
      <c r="H2" s="151"/>
      <c r="I2" s="151"/>
      <c r="J2" s="151"/>
      <c r="K2" s="2" t="s">
        <v>23</v>
      </c>
      <c r="L2" s="151"/>
      <c r="M2" s="151"/>
      <c r="N2" s="151"/>
      <c r="O2" s="151"/>
      <c r="P2" s="116"/>
      <c r="Q2" s="151"/>
      <c r="R2" s="151"/>
      <c r="S2" s="153" t="s">
        <v>24</v>
      </c>
      <c r="T2" s="91" t="s">
        <v>24</v>
      </c>
      <c r="U2" s="151"/>
      <c r="V2" s="151"/>
      <c r="W2" s="26"/>
      <c r="X2" s="151"/>
    </row>
    <row r="3" spans="1:24" ht="15" thickBot="1">
      <c r="A3" s="4" t="s">
        <v>25</v>
      </c>
      <c r="B3" s="4" t="s">
        <v>26</v>
      </c>
      <c r="C3" s="4" t="s">
        <v>27</v>
      </c>
      <c r="D3" s="4" t="s">
        <v>28</v>
      </c>
      <c r="E3" s="30" t="s">
        <v>29</v>
      </c>
      <c r="F3" s="31">
        <v>45674</v>
      </c>
      <c r="G3" s="32">
        <v>4982</v>
      </c>
      <c r="H3" s="4" t="s">
        <v>30</v>
      </c>
      <c r="I3" s="50" t="s">
        <v>31</v>
      </c>
      <c r="J3" s="33" t="s">
        <v>32</v>
      </c>
      <c r="K3" s="4" t="s">
        <v>33</v>
      </c>
      <c r="L3" s="41" t="s">
        <v>34</v>
      </c>
      <c r="M3" s="4" t="s">
        <v>35</v>
      </c>
      <c r="N3" s="4" t="s">
        <v>36</v>
      </c>
      <c r="O3" s="4">
        <v>1</v>
      </c>
      <c r="P3" s="112" t="s">
        <v>37</v>
      </c>
      <c r="Q3" s="4" t="s">
        <v>788</v>
      </c>
      <c r="R3" s="34">
        <v>45</v>
      </c>
      <c r="S3" s="34">
        <v>335</v>
      </c>
      <c r="T3" s="58">
        <f>SUM(R3:S3)</f>
        <v>380</v>
      </c>
      <c r="U3" s="30">
        <v>45720</v>
      </c>
      <c r="V3" s="34"/>
      <c r="W3" s="122" t="s">
        <v>789</v>
      </c>
      <c r="X3" s="45" t="s">
        <v>39</v>
      </c>
    </row>
    <row r="4" spans="1:24" ht="20.25" customHeight="1" thickBot="1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31">
        <v>45674</v>
      </c>
      <c r="G4" s="32" t="s">
        <v>40</v>
      </c>
      <c r="H4" s="4" t="s">
        <v>41</v>
      </c>
      <c r="I4" s="4" t="s">
        <v>42</v>
      </c>
      <c r="J4" s="33" t="s">
        <v>32</v>
      </c>
      <c r="K4" s="4" t="s">
        <v>33</v>
      </c>
      <c r="L4" s="4" t="s">
        <v>43</v>
      </c>
      <c r="M4" s="4" t="s">
        <v>44</v>
      </c>
      <c r="N4" s="4" t="s">
        <v>36</v>
      </c>
      <c r="O4" s="4">
        <v>1</v>
      </c>
      <c r="P4" s="112"/>
      <c r="Q4" s="4" t="s">
        <v>44</v>
      </c>
      <c r="R4" s="34">
        <v>45</v>
      </c>
      <c r="S4" s="34">
        <v>77</v>
      </c>
      <c r="T4" s="58">
        <f t="shared" ref="T4:T5" si="0">SUM(R4:S4)</f>
        <v>122</v>
      </c>
      <c r="U4" s="30">
        <v>45720</v>
      </c>
      <c r="V4" s="34"/>
      <c r="W4" s="122" t="s">
        <v>789</v>
      </c>
      <c r="X4" s="34"/>
    </row>
    <row r="5" spans="1:24" ht="15" thickBot="1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31">
        <v>45674</v>
      </c>
      <c r="G5" s="32" t="s">
        <v>45</v>
      </c>
      <c r="H5" s="4" t="s">
        <v>46</v>
      </c>
      <c r="I5" s="4" t="s">
        <v>47</v>
      </c>
      <c r="J5" s="33" t="s">
        <v>32</v>
      </c>
      <c r="K5" s="4" t="s">
        <v>48</v>
      </c>
      <c r="L5" s="4" t="s">
        <v>49</v>
      </c>
      <c r="M5" s="4" t="s">
        <v>50</v>
      </c>
      <c r="N5" s="4" t="s">
        <v>36</v>
      </c>
      <c r="O5" s="4">
        <v>1</v>
      </c>
      <c r="P5" s="112"/>
      <c r="Q5" s="4" t="s">
        <v>790</v>
      </c>
      <c r="R5" s="34">
        <v>45</v>
      </c>
      <c r="S5" s="37">
        <v>0</v>
      </c>
      <c r="T5" s="58">
        <f t="shared" si="0"/>
        <v>45</v>
      </c>
      <c r="U5" s="30">
        <v>45712</v>
      </c>
      <c r="V5" s="34"/>
      <c r="W5" s="122" t="s">
        <v>789</v>
      </c>
      <c r="X5" s="34"/>
    </row>
    <row r="6" spans="1:24" ht="15" thickBo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1">
        <v>45674</v>
      </c>
      <c r="G6" s="32" t="s">
        <v>51</v>
      </c>
      <c r="H6" s="4" t="s">
        <v>52</v>
      </c>
      <c r="I6" s="4" t="s">
        <v>53</v>
      </c>
      <c r="J6" s="33" t="s">
        <v>32</v>
      </c>
      <c r="K6" s="4" t="s">
        <v>33</v>
      </c>
      <c r="L6" s="4" t="s">
        <v>54</v>
      </c>
      <c r="M6" s="4" t="s">
        <v>55</v>
      </c>
      <c r="N6" s="4" t="s">
        <v>36</v>
      </c>
      <c r="O6" s="4">
        <v>1</v>
      </c>
      <c r="P6" s="112"/>
      <c r="Q6" s="4" t="s">
        <v>55</v>
      </c>
      <c r="R6" s="34">
        <v>45</v>
      </c>
      <c r="S6" s="34">
        <v>163.75</v>
      </c>
      <c r="T6" s="58">
        <f t="shared" ref="T6:T37" si="1">SUM(R6:S6)</f>
        <v>208.75</v>
      </c>
      <c r="U6" s="30">
        <v>45720</v>
      </c>
      <c r="V6" s="34"/>
      <c r="W6" s="122" t="s">
        <v>789</v>
      </c>
      <c r="X6" s="34"/>
    </row>
    <row r="7" spans="1:24" ht="15" thickBot="1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31">
        <v>45674</v>
      </c>
      <c r="G7" s="32" t="s">
        <v>56</v>
      </c>
      <c r="H7" s="4" t="s">
        <v>57</v>
      </c>
      <c r="I7" s="4" t="s">
        <v>58</v>
      </c>
      <c r="J7" s="33" t="s">
        <v>59</v>
      </c>
      <c r="K7" s="4" t="s">
        <v>48</v>
      </c>
      <c r="L7" s="4" t="s">
        <v>60</v>
      </c>
      <c r="M7" s="4" t="s">
        <v>61</v>
      </c>
      <c r="N7" s="4" t="s">
        <v>36</v>
      </c>
      <c r="O7" s="4">
        <v>1</v>
      </c>
      <c r="P7" s="112"/>
      <c r="Q7" s="4" t="s">
        <v>61</v>
      </c>
      <c r="R7" s="34">
        <v>45</v>
      </c>
      <c r="S7" s="37">
        <v>0</v>
      </c>
      <c r="T7" s="58">
        <f t="shared" si="1"/>
        <v>45</v>
      </c>
      <c r="U7" s="30">
        <v>45700</v>
      </c>
      <c r="V7" s="34"/>
      <c r="W7" s="122" t="s">
        <v>789</v>
      </c>
      <c r="X7" s="34"/>
    </row>
    <row r="8" spans="1:24" ht="15" thickBot="1">
      <c r="A8" s="4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31">
        <v>45674</v>
      </c>
      <c r="G8" s="32" t="s">
        <v>62</v>
      </c>
      <c r="H8" s="4" t="s">
        <v>63</v>
      </c>
      <c r="I8" s="4" t="s">
        <v>64</v>
      </c>
      <c r="J8" s="33" t="s">
        <v>59</v>
      </c>
      <c r="K8" s="4" t="s">
        <v>48</v>
      </c>
      <c r="L8" s="4" t="s">
        <v>65</v>
      </c>
      <c r="M8" s="4" t="s">
        <v>66</v>
      </c>
      <c r="N8" s="4" t="s">
        <v>36</v>
      </c>
      <c r="O8" s="4">
        <v>1</v>
      </c>
      <c r="P8" s="112"/>
      <c r="Q8" s="4" t="s">
        <v>66</v>
      </c>
      <c r="R8" s="34">
        <v>45</v>
      </c>
      <c r="S8" s="37">
        <v>0</v>
      </c>
      <c r="T8" s="58">
        <f t="shared" si="1"/>
        <v>45</v>
      </c>
      <c r="U8" s="30">
        <v>45700</v>
      </c>
      <c r="V8" s="34"/>
      <c r="W8" s="122" t="s">
        <v>789</v>
      </c>
      <c r="X8" s="34"/>
    </row>
    <row r="9" spans="1:24" ht="15" thickBot="1">
      <c r="A9" s="4" t="s">
        <v>25</v>
      </c>
      <c r="B9" s="4" t="s">
        <v>26</v>
      </c>
      <c r="C9" s="4" t="s">
        <v>27</v>
      </c>
      <c r="D9" s="4" t="s">
        <v>28</v>
      </c>
      <c r="E9" s="4" t="s">
        <v>29</v>
      </c>
      <c r="F9" s="31">
        <v>45674</v>
      </c>
      <c r="G9" s="32" t="s">
        <v>67</v>
      </c>
      <c r="H9" s="4" t="s">
        <v>68</v>
      </c>
      <c r="I9" s="4" t="s">
        <v>69</v>
      </c>
      <c r="J9" s="33" t="s">
        <v>59</v>
      </c>
      <c r="K9" s="4" t="s">
        <v>48</v>
      </c>
      <c r="L9" s="4" t="s">
        <v>70</v>
      </c>
      <c r="M9" s="4" t="s">
        <v>71</v>
      </c>
      <c r="N9" s="4" t="s">
        <v>36</v>
      </c>
      <c r="O9" s="4">
        <v>1</v>
      </c>
      <c r="P9" s="112"/>
      <c r="Q9" s="4" t="s">
        <v>71</v>
      </c>
      <c r="R9" s="34">
        <v>45</v>
      </c>
      <c r="S9" s="37">
        <v>0</v>
      </c>
      <c r="T9" s="58">
        <f t="shared" si="1"/>
        <v>45</v>
      </c>
      <c r="U9" s="30">
        <v>45700</v>
      </c>
      <c r="V9" s="34"/>
      <c r="W9" s="122" t="s">
        <v>789</v>
      </c>
      <c r="X9" s="34"/>
    </row>
    <row r="10" spans="1:24" ht="15" thickBot="1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31">
        <v>45674</v>
      </c>
      <c r="G10" s="32" t="s">
        <v>72</v>
      </c>
      <c r="H10" s="4" t="s">
        <v>73</v>
      </c>
      <c r="I10" s="4" t="s">
        <v>74</v>
      </c>
      <c r="J10" s="33" t="s">
        <v>59</v>
      </c>
      <c r="K10" s="4" t="s">
        <v>48</v>
      </c>
      <c r="L10" s="4" t="s">
        <v>70</v>
      </c>
      <c r="M10" s="4" t="s">
        <v>61</v>
      </c>
      <c r="N10" s="4" t="s">
        <v>36</v>
      </c>
      <c r="O10" s="4">
        <v>1</v>
      </c>
      <c r="P10" s="112"/>
      <c r="Q10" s="4" t="s">
        <v>61</v>
      </c>
      <c r="R10" s="34">
        <v>45</v>
      </c>
      <c r="S10" s="37">
        <v>0</v>
      </c>
      <c r="T10" s="58">
        <f t="shared" si="1"/>
        <v>45</v>
      </c>
      <c r="U10" s="30">
        <v>45714</v>
      </c>
      <c r="V10" s="34"/>
      <c r="W10" s="122" t="s">
        <v>789</v>
      </c>
      <c r="X10" s="34"/>
    </row>
    <row r="11" spans="1:24" ht="15" thickBot="1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31">
        <v>45674</v>
      </c>
      <c r="G11" s="32" t="s">
        <v>75</v>
      </c>
      <c r="H11" s="4" t="s">
        <v>76</v>
      </c>
      <c r="I11" s="4" t="s">
        <v>77</v>
      </c>
      <c r="J11" s="33" t="s">
        <v>59</v>
      </c>
      <c r="K11" s="4" t="s">
        <v>48</v>
      </c>
      <c r="L11" s="4" t="s">
        <v>60</v>
      </c>
      <c r="M11" s="4" t="s">
        <v>71</v>
      </c>
      <c r="N11" s="4" t="s">
        <v>36</v>
      </c>
      <c r="O11" s="4">
        <v>1</v>
      </c>
      <c r="P11" s="112"/>
      <c r="Q11" s="4" t="s">
        <v>71</v>
      </c>
      <c r="R11" s="34">
        <v>45</v>
      </c>
      <c r="S11" s="37">
        <v>0</v>
      </c>
      <c r="T11" s="58">
        <f t="shared" si="1"/>
        <v>45</v>
      </c>
      <c r="U11" s="30">
        <v>45700</v>
      </c>
      <c r="V11" s="34"/>
      <c r="W11" s="122" t="s">
        <v>789</v>
      </c>
      <c r="X11" s="34"/>
    </row>
    <row r="12" spans="1:24" ht="19.149999999999999" customHeight="1" thickBot="1">
      <c r="A12" s="4" t="s">
        <v>25</v>
      </c>
      <c r="B12" s="4" t="s">
        <v>26</v>
      </c>
      <c r="C12" s="4" t="s">
        <v>27</v>
      </c>
      <c r="D12" s="4" t="s">
        <v>28</v>
      </c>
      <c r="E12" s="4" t="s">
        <v>29</v>
      </c>
      <c r="F12" s="31">
        <v>45674</v>
      </c>
      <c r="G12" s="32" t="s">
        <v>78</v>
      </c>
      <c r="H12" s="4" t="s">
        <v>79</v>
      </c>
      <c r="I12" s="4" t="s">
        <v>80</v>
      </c>
      <c r="J12" s="33" t="s">
        <v>59</v>
      </c>
      <c r="K12" s="4" t="s">
        <v>33</v>
      </c>
      <c r="L12" s="4" t="s">
        <v>81</v>
      </c>
      <c r="M12" s="4" t="s">
        <v>82</v>
      </c>
      <c r="N12" s="4" t="s">
        <v>36</v>
      </c>
      <c r="O12" s="4">
        <v>1</v>
      </c>
      <c r="P12" s="112" t="s">
        <v>83</v>
      </c>
      <c r="Q12" s="4" t="s">
        <v>84</v>
      </c>
      <c r="R12" s="34">
        <v>45</v>
      </c>
      <c r="S12" s="34">
        <v>115</v>
      </c>
      <c r="T12" s="58">
        <f t="shared" si="1"/>
        <v>160</v>
      </c>
      <c r="U12" s="30">
        <v>45700</v>
      </c>
      <c r="V12" s="34"/>
      <c r="W12" s="122" t="s">
        <v>789</v>
      </c>
      <c r="X12" s="34"/>
    </row>
    <row r="13" spans="1:24" ht="24.75" customHeight="1" thickBot="1">
      <c r="A13" s="4" t="s">
        <v>25</v>
      </c>
      <c r="B13" s="4" t="s">
        <v>26</v>
      </c>
      <c r="C13" s="4" t="s">
        <v>27</v>
      </c>
      <c r="D13" s="4" t="s">
        <v>28</v>
      </c>
      <c r="E13" s="4" t="s">
        <v>29</v>
      </c>
      <c r="F13" s="31">
        <v>45674</v>
      </c>
      <c r="G13" s="32" t="s">
        <v>85</v>
      </c>
      <c r="H13" s="4" t="s">
        <v>86</v>
      </c>
      <c r="I13" s="4" t="s">
        <v>87</v>
      </c>
      <c r="J13" s="33" t="s">
        <v>59</v>
      </c>
      <c r="K13" s="4" t="s">
        <v>48</v>
      </c>
      <c r="L13" s="4" t="s">
        <v>88</v>
      </c>
      <c r="M13" s="4" t="s">
        <v>71</v>
      </c>
      <c r="N13" s="4" t="s">
        <v>36</v>
      </c>
      <c r="O13" s="4">
        <v>1</v>
      </c>
      <c r="P13" s="112"/>
      <c r="Q13" s="4" t="s">
        <v>71</v>
      </c>
      <c r="R13" s="34">
        <v>45</v>
      </c>
      <c r="S13" s="37">
        <v>0</v>
      </c>
      <c r="T13" s="58">
        <f t="shared" si="1"/>
        <v>45</v>
      </c>
      <c r="U13" s="30">
        <v>45700</v>
      </c>
      <c r="V13" s="34"/>
      <c r="W13" s="122" t="s">
        <v>789</v>
      </c>
      <c r="X13" s="34"/>
    </row>
    <row r="14" spans="1:24" ht="24.75" customHeight="1" thickBot="1">
      <c r="A14" s="4" t="s">
        <v>25</v>
      </c>
      <c r="B14" s="4" t="s">
        <v>26</v>
      </c>
      <c r="C14" s="4" t="s">
        <v>27</v>
      </c>
      <c r="D14" s="4" t="s">
        <v>28</v>
      </c>
      <c r="E14" s="4" t="s">
        <v>29</v>
      </c>
      <c r="F14" s="31">
        <v>45674</v>
      </c>
      <c r="G14" s="32" t="s">
        <v>89</v>
      </c>
      <c r="H14" s="4" t="s">
        <v>90</v>
      </c>
      <c r="I14" s="4" t="s">
        <v>91</v>
      </c>
      <c r="J14" s="33" t="s">
        <v>59</v>
      </c>
      <c r="K14" s="4" t="s">
        <v>48</v>
      </c>
      <c r="L14" s="4" t="s">
        <v>70</v>
      </c>
      <c r="M14" s="4" t="s">
        <v>61</v>
      </c>
      <c r="N14" s="4" t="s">
        <v>36</v>
      </c>
      <c r="O14" s="4">
        <v>1</v>
      </c>
      <c r="P14" s="112"/>
      <c r="Q14" s="4" t="s">
        <v>61</v>
      </c>
      <c r="R14" s="34">
        <v>45</v>
      </c>
      <c r="S14" s="37">
        <v>0</v>
      </c>
      <c r="T14" s="58">
        <f t="shared" si="1"/>
        <v>45</v>
      </c>
      <c r="U14" s="30">
        <v>45700</v>
      </c>
      <c r="V14" s="34"/>
      <c r="W14" s="122" t="s">
        <v>789</v>
      </c>
      <c r="X14" s="34"/>
    </row>
    <row r="15" spans="1:24" ht="35.25" customHeight="1" thickBot="1">
      <c r="A15" s="4" t="s">
        <v>25</v>
      </c>
      <c r="B15" s="4" t="s">
        <v>26</v>
      </c>
      <c r="C15" s="4" t="s">
        <v>27</v>
      </c>
      <c r="D15" s="4" t="s">
        <v>28</v>
      </c>
      <c r="E15" s="4" t="s">
        <v>29</v>
      </c>
      <c r="F15" s="31">
        <v>45674</v>
      </c>
      <c r="G15" s="32" t="s">
        <v>92</v>
      </c>
      <c r="H15" s="4" t="s">
        <v>93</v>
      </c>
      <c r="I15" s="4" t="s">
        <v>94</v>
      </c>
      <c r="J15" s="33" t="s">
        <v>95</v>
      </c>
      <c r="K15" s="4" t="s">
        <v>33</v>
      </c>
      <c r="L15" s="4" t="s">
        <v>60</v>
      </c>
      <c r="M15" s="4" t="s">
        <v>82</v>
      </c>
      <c r="N15" s="4" t="s">
        <v>36</v>
      </c>
      <c r="O15" s="4">
        <v>1</v>
      </c>
      <c r="P15" s="112" t="s">
        <v>96</v>
      </c>
      <c r="Q15" s="4" t="s">
        <v>96</v>
      </c>
      <c r="R15" s="34">
        <v>45</v>
      </c>
      <c r="S15" s="34">
        <v>115</v>
      </c>
      <c r="T15" s="58">
        <f t="shared" si="1"/>
        <v>160</v>
      </c>
      <c r="U15" s="30">
        <v>45700</v>
      </c>
      <c r="V15" s="34"/>
      <c r="W15" s="122" t="s">
        <v>789</v>
      </c>
      <c r="X15" s="34"/>
    </row>
    <row r="16" spans="1:24" ht="19.5" customHeight="1" thickBot="1">
      <c r="A16" s="4" t="s">
        <v>25</v>
      </c>
      <c r="B16" s="4" t="s">
        <v>26</v>
      </c>
      <c r="C16" s="4" t="s">
        <v>27</v>
      </c>
      <c r="D16" s="4" t="s">
        <v>28</v>
      </c>
      <c r="E16" s="4" t="s">
        <v>29</v>
      </c>
      <c r="F16" s="31">
        <v>45674</v>
      </c>
      <c r="G16" s="32"/>
      <c r="H16" s="4" t="s">
        <v>97</v>
      </c>
      <c r="I16" s="4" t="s">
        <v>98</v>
      </c>
      <c r="J16" s="33" t="s">
        <v>99</v>
      </c>
      <c r="K16" s="4" t="s">
        <v>48</v>
      </c>
      <c r="L16" s="4" t="s">
        <v>100</v>
      </c>
      <c r="M16" s="4" t="s">
        <v>101</v>
      </c>
      <c r="N16" s="4" t="s">
        <v>36</v>
      </c>
      <c r="O16" s="4">
        <v>1</v>
      </c>
      <c r="P16" s="112"/>
      <c r="Q16" s="4" t="s">
        <v>101</v>
      </c>
      <c r="R16" s="34">
        <v>45</v>
      </c>
      <c r="S16" s="37">
        <v>0</v>
      </c>
      <c r="T16" s="58">
        <f t="shared" si="1"/>
        <v>45</v>
      </c>
      <c r="U16" s="30">
        <v>45712</v>
      </c>
      <c r="V16" s="34"/>
      <c r="W16" s="122" t="s">
        <v>789</v>
      </c>
      <c r="X16" s="34"/>
    </row>
    <row r="17" spans="1:24" ht="34.5" customHeight="1" thickBot="1">
      <c r="A17" s="4" t="s">
        <v>25</v>
      </c>
      <c r="B17" s="4" t="s">
        <v>26</v>
      </c>
      <c r="C17" s="4" t="s">
        <v>27</v>
      </c>
      <c r="D17" s="4" t="s">
        <v>28</v>
      </c>
      <c r="E17" s="4" t="s">
        <v>29</v>
      </c>
      <c r="F17" s="31">
        <v>45674</v>
      </c>
      <c r="G17" s="32" t="s">
        <v>102</v>
      </c>
      <c r="H17" s="4" t="s">
        <v>103</v>
      </c>
      <c r="I17" s="4" t="s">
        <v>104</v>
      </c>
      <c r="J17" s="33" t="s">
        <v>105</v>
      </c>
      <c r="K17" s="4" t="s">
        <v>33</v>
      </c>
      <c r="L17" s="4" t="s">
        <v>106</v>
      </c>
      <c r="M17" s="4" t="s">
        <v>82</v>
      </c>
      <c r="N17" s="4" t="s">
        <v>36</v>
      </c>
      <c r="O17" s="4">
        <v>1</v>
      </c>
      <c r="P17" s="112"/>
      <c r="Q17" s="4" t="s">
        <v>790</v>
      </c>
      <c r="R17" s="34">
        <v>45</v>
      </c>
      <c r="S17" s="34">
        <v>115</v>
      </c>
      <c r="T17" s="58">
        <f t="shared" si="1"/>
        <v>160</v>
      </c>
      <c r="U17" s="30">
        <v>45700</v>
      </c>
      <c r="V17" s="34"/>
      <c r="W17" s="122" t="s">
        <v>789</v>
      </c>
      <c r="X17" s="34"/>
    </row>
    <row r="18" spans="1:24" ht="15" thickBot="1">
      <c r="A18" s="4" t="s">
        <v>25</v>
      </c>
      <c r="B18" s="4" t="s">
        <v>26</v>
      </c>
      <c r="C18" s="4" t="s">
        <v>27</v>
      </c>
      <c r="D18" s="64" t="s">
        <v>28</v>
      </c>
      <c r="E18" s="4" t="s">
        <v>29</v>
      </c>
      <c r="F18" s="31">
        <v>45716</v>
      </c>
      <c r="G18" s="32">
        <v>4016</v>
      </c>
      <c r="H18" s="4" t="s">
        <v>108</v>
      </c>
      <c r="I18" s="4" t="s">
        <v>109</v>
      </c>
      <c r="J18" s="4" t="s">
        <v>201</v>
      </c>
      <c r="K18" s="4" t="s">
        <v>48</v>
      </c>
      <c r="L18" s="4" t="s">
        <v>111</v>
      </c>
      <c r="M18" s="4" t="s">
        <v>112</v>
      </c>
      <c r="N18" s="4" t="s">
        <v>36</v>
      </c>
      <c r="O18" s="4">
        <v>1</v>
      </c>
      <c r="P18" s="112"/>
      <c r="Q18" s="4" t="s">
        <v>112</v>
      </c>
      <c r="R18" s="34">
        <v>45</v>
      </c>
      <c r="S18" s="37">
        <v>0</v>
      </c>
      <c r="T18" s="58">
        <f t="shared" si="1"/>
        <v>45</v>
      </c>
      <c r="U18" s="30">
        <v>45742</v>
      </c>
      <c r="V18" s="34"/>
      <c r="W18" s="122" t="s">
        <v>789</v>
      </c>
      <c r="X18" s="34"/>
    </row>
    <row r="19" spans="1:24" ht="14.25" customHeight="1" thickBot="1">
      <c r="A19" s="66" t="s">
        <v>25</v>
      </c>
      <c r="B19" s="66" t="s">
        <v>26</v>
      </c>
      <c r="C19" s="66" t="s">
        <v>27</v>
      </c>
      <c r="D19" s="66" t="s">
        <v>28</v>
      </c>
      <c r="E19" s="66" t="s">
        <v>29</v>
      </c>
      <c r="F19" s="66">
        <v>45716</v>
      </c>
      <c r="G19" s="66">
        <v>4029</v>
      </c>
      <c r="H19" s="66" t="s">
        <v>113</v>
      </c>
      <c r="I19" s="66" t="s">
        <v>114</v>
      </c>
      <c r="J19" s="66" t="s">
        <v>160</v>
      </c>
      <c r="K19" s="66" t="s">
        <v>33</v>
      </c>
      <c r="L19" s="66" t="s">
        <v>116</v>
      </c>
      <c r="M19" s="66" t="s">
        <v>117</v>
      </c>
      <c r="N19" s="65" t="s">
        <v>785</v>
      </c>
      <c r="O19" s="4">
        <v>1</v>
      </c>
      <c r="P19" s="117" t="s">
        <v>119</v>
      </c>
      <c r="Q19" s="66"/>
      <c r="R19" s="34">
        <v>45</v>
      </c>
      <c r="S19" s="58">
        <f t="shared" ref="S19" si="2">SUM(Q19:R19)</f>
        <v>45</v>
      </c>
      <c r="T19" s="58">
        <f t="shared" si="1"/>
        <v>90</v>
      </c>
      <c r="U19" s="60"/>
      <c r="V19" s="60" t="s">
        <v>120</v>
      </c>
      <c r="W19" s="60"/>
      <c r="X19" s="39"/>
    </row>
    <row r="20" spans="1:24" ht="15" thickBot="1">
      <c r="A20" s="4" t="s">
        <v>25</v>
      </c>
      <c r="B20" s="4" t="s">
        <v>26</v>
      </c>
      <c r="C20" s="4" t="s">
        <v>27</v>
      </c>
      <c r="D20" s="4" t="s">
        <v>28</v>
      </c>
      <c r="E20" s="4" t="s">
        <v>29</v>
      </c>
      <c r="F20" s="31">
        <v>45716</v>
      </c>
      <c r="G20" s="32">
        <v>4020</v>
      </c>
      <c r="H20" s="4" t="s">
        <v>121</v>
      </c>
      <c r="I20" s="4" t="s">
        <v>122</v>
      </c>
      <c r="J20" s="4" t="s">
        <v>201</v>
      </c>
      <c r="K20" s="4" t="s">
        <v>48</v>
      </c>
      <c r="L20" s="4" t="s">
        <v>123</v>
      </c>
      <c r="M20" s="4" t="s">
        <v>112</v>
      </c>
      <c r="N20" s="4" t="s">
        <v>36</v>
      </c>
      <c r="O20" s="4">
        <v>1</v>
      </c>
      <c r="P20" s="112"/>
      <c r="Q20" s="4" t="s">
        <v>112</v>
      </c>
      <c r="R20" s="34">
        <v>45</v>
      </c>
      <c r="S20" s="37">
        <v>0</v>
      </c>
      <c r="T20" s="58">
        <f t="shared" si="1"/>
        <v>45</v>
      </c>
      <c r="U20" s="30">
        <v>45793</v>
      </c>
      <c r="V20" s="34"/>
      <c r="W20" s="122" t="s">
        <v>789</v>
      </c>
      <c r="X20" s="34"/>
    </row>
    <row r="21" spans="1:24" ht="15" thickBot="1">
      <c r="A21" s="4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31">
        <v>45716</v>
      </c>
      <c r="G21" s="32">
        <v>4027</v>
      </c>
      <c r="H21" s="4" t="s">
        <v>124</v>
      </c>
      <c r="I21" s="4" t="s">
        <v>125</v>
      </c>
      <c r="J21" s="4" t="s">
        <v>160</v>
      </c>
      <c r="K21" s="4" t="s">
        <v>33</v>
      </c>
      <c r="L21" s="4" t="s">
        <v>127</v>
      </c>
      <c r="M21" s="4" t="s">
        <v>55</v>
      </c>
      <c r="N21" s="4" t="s">
        <v>36</v>
      </c>
      <c r="O21" s="4">
        <v>1</v>
      </c>
      <c r="P21" s="112"/>
      <c r="Q21" s="4" t="s">
        <v>55</v>
      </c>
      <c r="R21" s="34">
        <v>45</v>
      </c>
      <c r="S21" s="34">
        <v>163.75</v>
      </c>
      <c r="T21" s="58">
        <f t="shared" si="1"/>
        <v>208.75</v>
      </c>
      <c r="U21" s="30">
        <v>45793</v>
      </c>
      <c r="V21" s="34"/>
      <c r="W21" s="122" t="s">
        <v>789</v>
      </c>
      <c r="X21" s="34"/>
    </row>
    <row r="22" spans="1:24" ht="15" thickBot="1">
      <c r="A22" s="4" t="s">
        <v>25</v>
      </c>
      <c r="B22" s="4" t="s">
        <v>26</v>
      </c>
      <c r="C22" s="4" t="s">
        <v>27</v>
      </c>
      <c r="D22" s="4" t="s">
        <v>28</v>
      </c>
      <c r="E22" s="4" t="s">
        <v>29</v>
      </c>
      <c r="F22" s="31">
        <v>45716</v>
      </c>
      <c r="G22" s="32">
        <v>4019</v>
      </c>
      <c r="H22" s="4" t="s">
        <v>128</v>
      </c>
      <c r="I22" s="4" t="s">
        <v>129</v>
      </c>
      <c r="J22" s="4" t="s">
        <v>201</v>
      </c>
      <c r="K22" s="4" t="s">
        <v>48</v>
      </c>
      <c r="L22" s="4" t="s">
        <v>123</v>
      </c>
      <c r="M22" s="4" t="s">
        <v>112</v>
      </c>
      <c r="N22" s="4" t="s">
        <v>36</v>
      </c>
      <c r="O22" s="4">
        <v>1</v>
      </c>
      <c r="P22" s="112"/>
      <c r="Q22" s="4" t="s">
        <v>112</v>
      </c>
      <c r="R22" s="34">
        <v>45</v>
      </c>
      <c r="S22" s="37">
        <v>0</v>
      </c>
      <c r="T22" s="58">
        <f t="shared" si="1"/>
        <v>45</v>
      </c>
      <c r="U22" s="30">
        <v>45742</v>
      </c>
      <c r="V22" s="34"/>
      <c r="W22" s="122" t="s">
        <v>789</v>
      </c>
      <c r="X22" s="34"/>
    </row>
    <row r="23" spans="1:24" ht="15" thickBot="1">
      <c r="A23" s="4" t="s">
        <v>25</v>
      </c>
      <c r="B23" s="4" t="s">
        <v>26</v>
      </c>
      <c r="C23" s="4" t="s">
        <v>27</v>
      </c>
      <c r="D23" s="4" t="s">
        <v>28</v>
      </c>
      <c r="E23" s="4" t="s">
        <v>29</v>
      </c>
      <c r="F23" s="31">
        <v>45716</v>
      </c>
      <c r="G23" s="32">
        <v>4026</v>
      </c>
      <c r="H23" s="4" t="s">
        <v>130</v>
      </c>
      <c r="I23" s="4" t="s">
        <v>131</v>
      </c>
      <c r="J23" s="4" t="s">
        <v>382</v>
      </c>
      <c r="K23" s="4" t="s">
        <v>33</v>
      </c>
      <c r="L23" s="4" t="s">
        <v>133</v>
      </c>
      <c r="M23" s="4" t="s">
        <v>134</v>
      </c>
      <c r="N23" s="4" t="s">
        <v>36</v>
      </c>
      <c r="O23" s="4">
        <v>1</v>
      </c>
      <c r="P23" s="112"/>
      <c r="Q23" s="4" t="s">
        <v>134</v>
      </c>
      <c r="R23" s="34">
        <v>45</v>
      </c>
      <c r="S23" s="34">
        <v>77</v>
      </c>
      <c r="T23" s="58">
        <f t="shared" si="1"/>
        <v>122</v>
      </c>
      <c r="U23" s="30">
        <v>45742</v>
      </c>
      <c r="V23" s="34"/>
      <c r="W23" s="122" t="s">
        <v>789</v>
      </c>
      <c r="X23" s="34"/>
    </row>
    <row r="24" spans="1:24" ht="15" thickBot="1">
      <c r="A24" s="4" t="s">
        <v>25</v>
      </c>
      <c r="B24" s="4" t="s">
        <v>26</v>
      </c>
      <c r="C24" s="4" t="s">
        <v>27</v>
      </c>
      <c r="D24" s="4" t="s">
        <v>28</v>
      </c>
      <c r="E24" s="4" t="s">
        <v>29</v>
      </c>
      <c r="F24" s="31">
        <v>45716</v>
      </c>
      <c r="G24" s="32">
        <v>4028</v>
      </c>
      <c r="H24" s="4" t="s">
        <v>135</v>
      </c>
      <c r="I24" s="50" t="s">
        <v>136</v>
      </c>
      <c r="J24" s="4" t="s">
        <v>502</v>
      </c>
      <c r="K24" s="4" t="s">
        <v>33</v>
      </c>
      <c r="L24" s="4" t="s">
        <v>111</v>
      </c>
      <c r="M24" s="4" t="s">
        <v>138</v>
      </c>
      <c r="N24" s="4" t="s">
        <v>36</v>
      </c>
      <c r="O24" s="4">
        <v>1</v>
      </c>
      <c r="P24" s="112"/>
      <c r="Q24" s="4" t="s">
        <v>791</v>
      </c>
      <c r="R24" s="34">
        <v>45</v>
      </c>
      <c r="S24" s="34">
        <v>215</v>
      </c>
      <c r="T24" s="58">
        <f>SUM(R24:S24)</f>
        <v>260</v>
      </c>
      <c r="U24" s="30">
        <v>45793</v>
      </c>
      <c r="V24" s="34"/>
      <c r="W24" s="122" t="s">
        <v>789</v>
      </c>
      <c r="X24" s="34"/>
    </row>
    <row r="25" spans="1:24" ht="15" thickBot="1">
      <c r="A25" s="4" t="s">
        <v>25</v>
      </c>
      <c r="B25" s="4" t="s">
        <v>26</v>
      </c>
      <c r="C25" s="4" t="s">
        <v>27</v>
      </c>
      <c r="D25" s="4" t="s">
        <v>28</v>
      </c>
      <c r="E25" s="4" t="s">
        <v>29</v>
      </c>
      <c r="F25" s="31">
        <v>45716</v>
      </c>
      <c r="G25" s="32">
        <v>4022</v>
      </c>
      <c r="H25" s="4" t="s">
        <v>140</v>
      </c>
      <c r="I25" s="4" t="s">
        <v>141</v>
      </c>
      <c r="J25" s="4" t="s">
        <v>160</v>
      </c>
      <c r="K25" s="4" t="s">
        <v>33</v>
      </c>
      <c r="L25" s="4" t="s">
        <v>142</v>
      </c>
      <c r="M25" s="4" t="s">
        <v>55</v>
      </c>
      <c r="N25" s="4" t="s">
        <v>36</v>
      </c>
      <c r="O25" s="4">
        <v>1</v>
      </c>
      <c r="P25" s="112"/>
      <c r="Q25" s="4" t="s">
        <v>55</v>
      </c>
      <c r="R25" s="34">
        <v>45</v>
      </c>
      <c r="S25" s="34">
        <v>163.75</v>
      </c>
      <c r="T25" s="58">
        <f t="shared" si="1"/>
        <v>208.75</v>
      </c>
      <c r="U25" s="30">
        <v>45793</v>
      </c>
      <c r="V25" s="34"/>
      <c r="W25" s="122" t="s">
        <v>789</v>
      </c>
      <c r="X25" s="34"/>
    </row>
    <row r="26" spans="1:24" ht="30.75" customHeight="1" thickBot="1">
      <c r="A26" s="4" t="s">
        <v>25</v>
      </c>
      <c r="B26" s="4" t="s">
        <v>26</v>
      </c>
      <c r="C26" s="4" t="s">
        <v>27</v>
      </c>
      <c r="D26" s="4" t="s">
        <v>28</v>
      </c>
      <c r="E26" s="4" t="s">
        <v>29</v>
      </c>
      <c r="F26" s="31">
        <v>45716</v>
      </c>
      <c r="G26" s="32">
        <v>4021</v>
      </c>
      <c r="H26" s="4" t="s">
        <v>143</v>
      </c>
      <c r="I26" s="4" t="s">
        <v>144</v>
      </c>
      <c r="J26" s="4" t="s">
        <v>160</v>
      </c>
      <c r="K26" s="4" t="s">
        <v>33</v>
      </c>
      <c r="L26" s="4" t="s">
        <v>145</v>
      </c>
      <c r="M26" s="4" t="s">
        <v>82</v>
      </c>
      <c r="N26" s="4" t="s">
        <v>36</v>
      </c>
      <c r="O26" s="4">
        <v>1</v>
      </c>
      <c r="P26" s="112"/>
      <c r="Q26" s="4" t="s">
        <v>790</v>
      </c>
      <c r="R26" s="34">
        <v>45</v>
      </c>
      <c r="S26" s="34">
        <v>115</v>
      </c>
      <c r="T26" s="58">
        <f t="shared" si="1"/>
        <v>160</v>
      </c>
      <c r="U26" s="30">
        <v>45742</v>
      </c>
      <c r="V26" s="34"/>
      <c r="W26" s="122" t="s">
        <v>789</v>
      </c>
      <c r="X26" s="34"/>
    </row>
    <row r="27" spans="1:24" ht="15" thickBot="1">
      <c r="A27" s="4" t="s">
        <v>25</v>
      </c>
      <c r="B27" s="4" t="s">
        <v>26</v>
      </c>
      <c r="C27" s="4" t="s">
        <v>27</v>
      </c>
      <c r="D27" s="4" t="s">
        <v>28</v>
      </c>
      <c r="E27" s="4" t="s">
        <v>29</v>
      </c>
      <c r="F27" s="31">
        <v>45716</v>
      </c>
      <c r="G27" s="32">
        <v>4018</v>
      </c>
      <c r="H27" s="4" t="s">
        <v>93</v>
      </c>
      <c r="I27" s="4" t="s">
        <v>94</v>
      </c>
      <c r="J27" s="4" t="s">
        <v>160</v>
      </c>
      <c r="K27" s="4" t="s">
        <v>48</v>
      </c>
      <c r="L27" s="4" t="s">
        <v>60</v>
      </c>
      <c r="M27" s="4" t="s">
        <v>117</v>
      </c>
      <c r="N27" s="4" t="s">
        <v>36</v>
      </c>
      <c r="O27" s="4">
        <v>1</v>
      </c>
      <c r="P27" s="112"/>
      <c r="Q27" s="4" t="s">
        <v>117</v>
      </c>
      <c r="R27" s="34">
        <v>45</v>
      </c>
      <c r="S27" s="37">
        <v>0</v>
      </c>
      <c r="T27" s="58">
        <f t="shared" si="1"/>
        <v>45</v>
      </c>
      <c r="U27" s="30">
        <v>45742</v>
      </c>
      <c r="V27" s="34"/>
      <c r="W27" s="122" t="s">
        <v>789</v>
      </c>
      <c r="X27" s="34"/>
    </row>
    <row r="28" spans="1:24" ht="29.5" thickBot="1">
      <c r="A28" s="4" t="s">
        <v>25</v>
      </c>
      <c r="B28" s="4" t="s">
        <v>26</v>
      </c>
      <c r="C28" s="4" t="s">
        <v>27</v>
      </c>
      <c r="D28" s="4" t="s">
        <v>28</v>
      </c>
      <c r="E28" s="4" t="s">
        <v>29</v>
      </c>
      <c r="F28" s="31">
        <v>45716</v>
      </c>
      <c r="G28" s="32">
        <v>4017</v>
      </c>
      <c r="H28" s="4" t="s">
        <v>147</v>
      </c>
      <c r="I28" s="4" t="s">
        <v>91</v>
      </c>
      <c r="J28" s="4" t="s">
        <v>201</v>
      </c>
      <c r="K28" s="4" t="s">
        <v>48</v>
      </c>
      <c r="L28" s="4" t="s">
        <v>148</v>
      </c>
      <c r="M28" s="4" t="s">
        <v>117</v>
      </c>
      <c r="N28" s="4" t="s">
        <v>36</v>
      </c>
      <c r="O28" s="4">
        <v>1</v>
      </c>
      <c r="P28" s="112"/>
      <c r="Q28" s="4" t="s">
        <v>117</v>
      </c>
      <c r="R28" s="34">
        <v>45</v>
      </c>
      <c r="S28" s="37">
        <v>0</v>
      </c>
      <c r="T28" s="58">
        <f t="shared" si="1"/>
        <v>45</v>
      </c>
      <c r="U28" s="30">
        <v>45742</v>
      </c>
      <c r="V28" s="34"/>
      <c r="W28" s="122" t="s">
        <v>789</v>
      </c>
      <c r="X28" s="34"/>
    </row>
    <row r="29" spans="1:24" ht="15" thickBot="1">
      <c r="A29" s="4" t="s">
        <v>25</v>
      </c>
      <c r="B29" s="4" t="s">
        <v>26</v>
      </c>
      <c r="C29" s="4" t="s">
        <v>27</v>
      </c>
      <c r="D29" s="4" t="s">
        <v>28</v>
      </c>
      <c r="E29" s="4" t="s">
        <v>29</v>
      </c>
      <c r="F29" s="31">
        <v>45716</v>
      </c>
      <c r="G29" s="32">
        <v>4024</v>
      </c>
      <c r="H29" s="4" t="s">
        <v>149</v>
      </c>
      <c r="I29" s="4" t="s">
        <v>150</v>
      </c>
      <c r="J29" s="4" t="s">
        <v>160</v>
      </c>
      <c r="K29" s="4" t="s">
        <v>33</v>
      </c>
      <c r="L29" s="4" t="s">
        <v>145</v>
      </c>
      <c r="M29" s="4" t="s">
        <v>66</v>
      </c>
      <c r="N29" s="4" t="s">
        <v>36</v>
      </c>
      <c r="O29" s="4">
        <v>1</v>
      </c>
      <c r="P29" s="112" t="s">
        <v>792</v>
      </c>
      <c r="Q29" s="4" t="s">
        <v>66</v>
      </c>
      <c r="R29" s="34">
        <v>45</v>
      </c>
      <c r="S29" s="34">
        <v>120</v>
      </c>
      <c r="T29" s="58">
        <f t="shared" si="1"/>
        <v>165</v>
      </c>
      <c r="U29" s="30">
        <v>45742</v>
      </c>
      <c r="V29" s="34"/>
      <c r="W29" s="122" t="s">
        <v>789</v>
      </c>
      <c r="X29" s="34"/>
    </row>
    <row r="30" spans="1:24" ht="26.25" customHeight="1" thickBot="1">
      <c r="A30" s="4" t="s">
        <v>154</v>
      </c>
      <c r="B30" s="4" t="s">
        <v>155</v>
      </c>
      <c r="C30" s="4">
        <v>616866669</v>
      </c>
      <c r="D30" s="4" t="s">
        <v>156</v>
      </c>
      <c r="E30" s="4" t="s">
        <v>157</v>
      </c>
      <c r="F30" s="31">
        <v>45728</v>
      </c>
      <c r="G30" s="32">
        <v>4041</v>
      </c>
      <c r="H30" s="4" t="s">
        <v>158</v>
      </c>
      <c r="I30" s="4" t="s">
        <v>159</v>
      </c>
      <c r="J30" s="4" t="s">
        <v>160</v>
      </c>
      <c r="K30" s="4" t="s">
        <v>33</v>
      </c>
      <c r="L30" s="4" t="s">
        <v>161</v>
      </c>
      <c r="M30" s="4" t="s">
        <v>82</v>
      </c>
      <c r="N30" s="4" t="s">
        <v>36</v>
      </c>
      <c r="O30" s="4">
        <v>1</v>
      </c>
      <c r="P30" s="112"/>
      <c r="Q30" s="4" t="s">
        <v>162</v>
      </c>
      <c r="R30" s="34">
        <v>45</v>
      </c>
      <c r="S30" s="37">
        <v>0</v>
      </c>
      <c r="T30" s="58">
        <f t="shared" si="1"/>
        <v>45</v>
      </c>
      <c r="U30" s="30">
        <v>45742</v>
      </c>
      <c r="V30" s="34"/>
      <c r="W30" s="122" t="s">
        <v>789</v>
      </c>
      <c r="X30" s="34"/>
    </row>
    <row r="31" spans="1:24" ht="15.75" customHeight="1" thickBot="1">
      <c r="A31" s="4" t="s">
        <v>154</v>
      </c>
      <c r="B31" s="4" t="s">
        <v>155</v>
      </c>
      <c r="C31" s="4">
        <v>616866669</v>
      </c>
      <c r="D31" s="4" t="s">
        <v>156</v>
      </c>
      <c r="E31" s="4" t="s">
        <v>157</v>
      </c>
      <c r="F31" s="31">
        <v>45728</v>
      </c>
      <c r="G31" s="32">
        <v>4035</v>
      </c>
      <c r="H31" s="4" t="s">
        <v>163</v>
      </c>
      <c r="I31" s="4" t="s">
        <v>164</v>
      </c>
      <c r="J31" s="4" t="s">
        <v>160</v>
      </c>
      <c r="K31" s="4" t="s">
        <v>33</v>
      </c>
      <c r="L31" s="4" t="s">
        <v>166</v>
      </c>
      <c r="M31" s="4" t="s">
        <v>55</v>
      </c>
      <c r="N31" s="4" t="s">
        <v>36</v>
      </c>
      <c r="O31" s="4">
        <v>1</v>
      </c>
      <c r="P31" s="112" t="s">
        <v>167</v>
      </c>
      <c r="Q31" s="4" t="s">
        <v>168</v>
      </c>
      <c r="R31" s="34">
        <v>45</v>
      </c>
      <c r="S31" s="34">
        <v>163.75</v>
      </c>
      <c r="T31" s="58">
        <f t="shared" si="1"/>
        <v>208.75</v>
      </c>
      <c r="U31" s="30">
        <v>45805</v>
      </c>
      <c r="V31" s="34"/>
      <c r="W31" s="122" t="s">
        <v>789</v>
      </c>
      <c r="X31" s="45" t="s">
        <v>169</v>
      </c>
    </row>
    <row r="32" spans="1:24" ht="18.75" customHeight="1" thickBot="1">
      <c r="A32" s="4" t="s">
        <v>154</v>
      </c>
      <c r="B32" s="4" t="s">
        <v>155</v>
      </c>
      <c r="C32" s="4">
        <v>616866669</v>
      </c>
      <c r="D32" s="4" t="s">
        <v>156</v>
      </c>
      <c r="E32" s="4" t="s">
        <v>157</v>
      </c>
      <c r="F32" s="31">
        <v>45728</v>
      </c>
      <c r="G32" s="32">
        <v>4036</v>
      </c>
      <c r="H32" s="4" t="s">
        <v>170</v>
      </c>
      <c r="I32" s="4" t="s">
        <v>171</v>
      </c>
      <c r="J32" s="4" t="s">
        <v>201</v>
      </c>
      <c r="K32" s="4" t="s">
        <v>48</v>
      </c>
      <c r="L32" s="4" t="s">
        <v>173</v>
      </c>
      <c r="M32" s="4" t="s">
        <v>117</v>
      </c>
      <c r="N32" s="4" t="s">
        <v>36</v>
      </c>
      <c r="O32" s="4">
        <v>1</v>
      </c>
      <c r="P32" s="112" t="s">
        <v>174</v>
      </c>
      <c r="Q32" s="4" t="s">
        <v>61</v>
      </c>
      <c r="R32" s="34">
        <v>45</v>
      </c>
      <c r="S32" s="37">
        <v>0</v>
      </c>
      <c r="T32" s="58">
        <f t="shared" si="1"/>
        <v>45</v>
      </c>
      <c r="U32" s="30">
        <v>45793</v>
      </c>
      <c r="V32" s="34"/>
      <c r="W32" s="122" t="s">
        <v>789</v>
      </c>
      <c r="X32" s="34"/>
    </row>
    <row r="33" spans="1:24" ht="21" customHeight="1" thickBot="1">
      <c r="A33" s="4" t="s">
        <v>154</v>
      </c>
      <c r="B33" s="4" t="s">
        <v>155</v>
      </c>
      <c r="C33" s="4">
        <v>616866669</v>
      </c>
      <c r="D33" s="4" t="s">
        <v>156</v>
      </c>
      <c r="E33" s="4" t="s">
        <v>157</v>
      </c>
      <c r="F33" s="31">
        <v>45728</v>
      </c>
      <c r="G33" s="32">
        <v>4040</v>
      </c>
      <c r="H33" s="4" t="s">
        <v>175</v>
      </c>
      <c r="I33" s="4" t="s">
        <v>176</v>
      </c>
      <c r="J33" s="4" t="s">
        <v>160</v>
      </c>
      <c r="K33" s="4" t="s">
        <v>33</v>
      </c>
      <c r="L33" s="112" t="s">
        <v>177</v>
      </c>
      <c r="M33" s="4" t="s">
        <v>55</v>
      </c>
      <c r="N33" s="4" t="s">
        <v>36</v>
      </c>
      <c r="O33" s="4">
        <v>1</v>
      </c>
      <c r="P33" s="112"/>
      <c r="Q33" s="4" t="s">
        <v>55</v>
      </c>
      <c r="R33" s="34">
        <v>45</v>
      </c>
      <c r="S33" s="34">
        <v>163.75</v>
      </c>
      <c r="T33" s="58">
        <f t="shared" si="1"/>
        <v>208.75</v>
      </c>
      <c r="U33" s="30">
        <v>45742</v>
      </c>
      <c r="V33" s="34"/>
      <c r="W33" s="122" t="s">
        <v>789</v>
      </c>
      <c r="X33" s="34"/>
    </row>
    <row r="34" spans="1:24" ht="18" customHeight="1" thickBot="1">
      <c r="A34" s="4" t="s">
        <v>154</v>
      </c>
      <c r="B34" s="4" t="s">
        <v>155</v>
      </c>
      <c r="C34" s="4">
        <v>616866669</v>
      </c>
      <c r="D34" s="4" t="s">
        <v>156</v>
      </c>
      <c r="E34" s="4" t="s">
        <v>157</v>
      </c>
      <c r="F34" s="31">
        <v>45728</v>
      </c>
      <c r="G34" s="32">
        <v>4030</v>
      </c>
      <c r="H34" s="4" t="s">
        <v>178</v>
      </c>
      <c r="I34" s="4" t="s">
        <v>179</v>
      </c>
      <c r="J34" s="4" t="s">
        <v>379</v>
      </c>
      <c r="K34" s="4" t="s">
        <v>48</v>
      </c>
      <c r="L34" s="4" t="s">
        <v>181</v>
      </c>
      <c r="M34" s="4" t="s">
        <v>134</v>
      </c>
      <c r="N34" s="4" t="s">
        <v>36</v>
      </c>
      <c r="O34" s="4">
        <v>1</v>
      </c>
      <c r="P34" s="112"/>
      <c r="Q34" s="4" t="s">
        <v>134</v>
      </c>
      <c r="R34" s="34">
        <v>45</v>
      </c>
      <c r="S34" s="37">
        <v>0</v>
      </c>
      <c r="T34" s="58">
        <f t="shared" si="1"/>
        <v>45</v>
      </c>
      <c r="U34" s="30">
        <v>45742</v>
      </c>
      <c r="V34" s="34"/>
      <c r="W34" s="122" t="s">
        <v>789</v>
      </c>
      <c r="X34" s="34"/>
    </row>
    <row r="35" spans="1:24" ht="19.5" customHeight="1" thickBot="1">
      <c r="A35" s="4" t="s">
        <v>154</v>
      </c>
      <c r="B35" s="4" t="s">
        <v>155</v>
      </c>
      <c r="C35" s="4">
        <v>616866669</v>
      </c>
      <c r="D35" s="4" t="s">
        <v>156</v>
      </c>
      <c r="E35" s="4" t="s">
        <v>157</v>
      </c>
      <c r="F35" s="31">
        <v>45728</v>
      </c>
      <c r="G35" s="32">
        <v>4039</v>
      </c>
      <c r="H35" s="4" t="s">
        <v>182</v>
      </c>
      <c r="I35" s="50" t="s">
        <v>183</v>
      </c>
      <c r="J35" s="4" t="s">
        <v>216</v>
      </c>
      <c r="K35" s="4" t="s">
        <v>33</v>
      </c>
      <c r="L35" s="4" t="s">
        <v>173</v>
      </c>
      <c r="M35" s="4" t="s">
        <v>117</v>
      </c>
      <c r="N35" s="4" t="s">
        <v>36</v>
      </c>
      <c r="O35" s="4">
        <v>1</v>
      </c>
      <c r="P35" s="112"/>
      <c r="Q35" s="4" t="s">
        <v>791</v>
      </c>
      <c r="R35" s="34">
        <v>45</v>
      </c>
      <c r="S35" s="34">
        <v>215</v>
      </c>
      <c r="T35" s="58">
        <f t="shared" si="1"/>
        <v>260</v>
      </c>
      <c r="U35" s="30">
        <v>45742</v>
      </c>
      <c r="V35" s="34"/>
      <c r="W35" s="122" t="s">
        <v>789</v>
      </c>
      <c r="X35" s="34"/>
    </row>
    <row r="36" spans="1:24" ht="15.75" customHeight="1" thickBot="1">
      <c r="A36" s="4" t="s">
        <v>154</v>
      </c>
      <c r="B36" s="4" t="s">
        <v>155</v>
      </c>
      <c r="C36" s="4">
        <v>616866669</v>
      </c>
      <c r="D36" s="4" t="s">
        <v>156</v>
      </c>
      <c r="E36" s="4" t="s">
        <v>157</v>
      </c>
      <c r="F36" s="31">
        <v>45728</v>
      </c>
      <c r="G36" s="32">
        <v>4034</v>
      </c>
      <c r="H36" s="4" t="s">
        <v>186</v>
      </c>
      <c r="I36" s="4" t="s">
        <v>187</v>
      </c>
      <c r="J36" s="4" t="s">
        <v>160</v>
      </c>
      <c r="K36" s="4" t="s">
        <v>33</v>
      </c>
      <c r="L36" s="4" t="s">
        <v>188</v>
      </c>
      <c r="M36" s="4" t="s">
        <v>71</v>
      </c>
      <c r="N36" s="4" t="s">
        <v>36</v>
      </c>
      <c r="O36" s="4">
        <v>1</v>
      </c>
      <c r="P36" s="112" t="s">
        <v>189</v>
      </c>
      <c r="Q36" s="4" t="s">
        <v>71</v>
      </c>
      <c r="R36" s="34">
        <v>45</v>
      </c>
      <c r="S36" s="34">
        <v>120</v>
      </c>
      <c r="T36" s="58">
        <f t="shared" si="1"/>
        <v>165</v>
      </c>
      <c r="U36" s="30">
        <v>45793</v>
      </c>
      <c r="V36" s="34"/>
      <c r="W36" s="122" t="s">
        <v>789</v>
      </c>
      <c r="X36" s="45" t="s">
        <v>169</v>
      </c>
    </row>
    <row r="37" spans="1:24" ht="18" customHeight="1" thickBot="1">
      <c r="A37" s="4" t="s">
        <v>154</v>
      </c>
      <c r="B37" s="4" t="s">
        <v>155</v>
      </c>
      <c r="C37" s="4">
        <v>616866669</v>
      </c>
      <c r="D37" s="4" t="s">
        <v>156</v>
      </c>
      <c r="E37" s="4" t="s">
        <v>157</v>
      </c>
      <c r="F37" s="31">
        <v>45728</v>
      </c>
      <c r="G37" s="32">
        <v>4032</v>
      </c>
      <c r="H37" s="4" t="s">
        <v>190</v>
      </c>
      <c r="I37" s="4" t="s">
        <v>191</v>
      </c>
      <c r="J37" s="4" t="s">
        <v>216</v>
      </c>
      <c r="K37" s="4" t="s">
        <v>33</v>
      </c>
      <c r="L37" s="4" t="s">
        <v>193</v>
      </c>
      <c r="M37" s="4" t="s">
        <v>194</v>
      </c>
      <c r="N37" s="4" t="s">
        <v>36</v>
      </c>
      <c r="O37" s="4">
        <v>1</v>
      </c>
      <c r="P37" s="112"/>
      <c r="Q37" s="4" t="s">
        <v>194</v>
      </c>
      <c r="R37" s="34">
        <v>45</v>
      </c>
      <c r="S37" s="34">
        <v>100</v>
      </c>
      <c r="T37" s="58">
        <f t="shared" si="1"/>
        <v>145</v>
      </c>
      <c r="U37" s="30">
        <v>45742</v>
      </c>
      <c r="V37" s="34"/>
      <c r="W37" s="122" t="s">
        <v>789</v>
      </c>
      <c r="X37" s="34"/>
    </row>
    <row r="38" spans="1:24" ht="17.25" customHeight="1" thickBot="1">
      <c r="A38" s="4" t="s">
        <v>25</v>
      </c>
      <c r="B38" s="4" t="s">
        <v>26</v>
      </c>
      <c r="C38" s="4" t="s">
        <v>27</v>
      </c>
      <c r="D38" s="4" t="s">
        <v>28</v>
      </c>
      <c r="E38" s="4" t="s">
        <v>195</v>
      </c>
      <c r="F38" s="31">
        <v>45733</v>
      </c>
      <c r="G38" s="32">
        <v>4068</v>
      </c>
      <c r="H38" s="4" t="s">
        <v>196</v>
      </c>
      <c r="I38" s="4" t="s">
        <v>197</v>
      </c>
      <c r="J38" s="4" t="s">
        <v>160</v>
      </c>
      <c r="K38" s="4" t="s">
        <v>33</v>
      </c>
      <c r="L38" s="4" t="s">
        <v>198</v>
      </c>
      <c r="M38" s="4" t="s">
        <v>55</v>
      </c>
      <c r="N38" s="4" t="s">
        <v>36</v>
      </c>
      <c r="O38" s="4">
        <v>1</v>
      </c>
      <c r="P38" s="112"/>
      <c r="Q38" s="4" t="s">
        <v>55</v>
      </c>
      <c r="R38" s="34">
        <v>45</v>
      </c>
      <c r="S38" s="34">
        <v>163.75</v>
      </c>
      <c r="T38" s="58">
        <f t="shared" ref="T38:T69" si="3">SUM(R38:S38)</f>
        <v>208.75</v>
      </c>
      <c r="U38" s="30">
        <v>45793</v>
      </c>
      <c r="V38" s="34"/>
      <c r="W38" s="122" t="s">
        <v>789</v>
      </c>
      <c r="X38" s="34"/>
    </row>
    <row r="39" spans="1:24" ht="15.75" customHeight="1" thickBot="1">
      <c r="A39" s="4" t="s">
        <v>25</v>
      </c>
      <c r="B39" s="4" t="s">
        <v>26</v>
      </c>
      <c r="C39" s="4" t="s">
        <v>27</v>
      </c>
      <c r="D39" s="4" t="s">
        <v>28</v>
      </c>
      <c r="E39" s="4" t="s">
        <v>195</v>
      </c>
      <c r="F39" s="31">
        <v>45733</v>
      </c>
      <c r="G39" s="32">
        <v>4067</v>
      </c>
      <c r="H39" s="4" t="s">
        <v>199</v>
      </c>
      <c r="I39" s="4" t="s">
        <v>200</v>
      </c>
      <c r="J39" s="4" t="s">
        <v>201</v>
      </c>
      <c r="K39" s="4" t="s">
        <v>48</v>
      </c>
      <c r="L39" s="4" t="s">
        <v>202</v>
      </c>
      <c r="M39" s="4" t="s">
        <v>203</v>
      </c>
      <c r="N39" s="4" t="s">
        <v>36</v>
      </c>
      <c r="O39" s="4">
        <v>1</v>
      </c>
      <c r="P39" s="112"/>
      <c r="Q39" s="4" t="s">
        <v>203</v>
      </c>
      <c r="R39" s="34">
        <v>45</v>
      </c>
      <c r="S39" s="37">
        <v>0</v>
      </c>
      <c r="T39" s="58">
        <f t="shared" si="3"/>
        <v>45</v>
      </c>
      <c r="U39" s="30">
        <v>45793</v>
      </c>
      <c r="V39" s="34"/>
      <c r="W39" s="122" t="s">
        <v>789</v>
      </c>
      <c r="X39" s="34"/>
    </row>
    <row r="40" spans="1:24" ht="24.65" customHeight="1" thickBot="1">
      <c r="A40" s="39" t="s">
        <v>25</v>
      </c>
      <c r="B40" s="65" t="s">
        <v>26</v>
      </c>
      <c r="C40" s="65" t="s">
        <v>27</v>
      </c>
      <c r="D40" s="65" t="s">
        <v>28</v>
      </c>
      <c r="E40" s="39" t="s">
        <v>195</v>
      </c>
      <c r="F40" s="39">
        <v>45733</v>
      </c>
      <c r="G40" s="39"/>
      <c r="H40" s="65" t="s">
        <v>204</v>
      </c>
      <c r="I40" s="50" t="s">
        <v>205</v>
      </c>
      <c r="J40" s="65" t="s">
        <v>160</v>
      </c>
      <c r="K40" s="65" t="s">
        <v>33</v>
      </c>
      <c r="L40" s="65" t="s">
        <v>206</v>
      </c>
      <c r="M40" s="65" t="s">
        <v>117</v>
      </c>
      <c r="N40" s="65" t="s">
        <v>785</v>
      </c>
      <c r="O40" s="4">
        <v>1</v>
      </c>
      <c r="P40" s="118" t="s">
        <v>207</v>
      </c>
      <c r="Q40" s="65"/>
      <c r="R40" s="34">
        <v>45</v>
      </c>
      <c r="S40" s="58">
        <f t="shared" ref="S40" si="4">SUM(Q40:R40)</f>
        <v>45</v>
      </c>
      <c r="T40" s="58">
        <f t="shared" si="3"/>
        <v>90</v>
      </c>
      <c r="U40" s="39"/>
      <c r="V40" s="61" t="s">
        <v>120</v>
      </c>
      <c r="W40" s="61"/>
      <c r="X40" s="39"/>
    </row>
    <row r="41" spans="1:24" ht="15" thickBot="1">
      <c r="A41" s="4" t="s">
        <v>25</v>
      </c>
      <c r="B41" s="4" t="s">
        <v>26</v>
      </c>
      <c r="C41" s="4" t="s">
        <v>27</v>
      </c>
      <c r="D41" s="64" t="s">
        <v>28</v>
      </c>
      <c r="E41" s="4" t="s">
        <v>195</v>
      </c>
      <c r="F41" s="31">
        <v>45733</v>
      </c>
      <c r="G41" s="32">
        <v>4125</v>
      </c>
      <c r="H41" s="4" t="s">
        <v>208</v>
      </c>
      <c r="I41" s="4" t="s">
        <v>209</v>
      </c>
      <c r="J41" s="4" t="s">
        <v>160</v>
      </c>
      <c r="K41" s="4" t="s">
        <v>33</v>
      </c>
      <c r="L41" s="4" t="s">
        <v>210</v>
      </c>
      <c r="M41" s="4" t="s">
        <v>194</v>
      </c>
      <c r="N41" s="4" t="s">
        <v>36</v>
      </c>
      <c r="O41" s="4">
        <v>1</v>
      </c>
      <c r="P41" s="112"/>
      <c r="Q41" s="4" t="s">
        <v>194</v>
      </c>
      <c r="R41" s="34">
        <v>45</v>
      </c>
      <c r="S41" s="34">
        <v>100</v>
      </c>
      <c r="T41" s="58">
        <f t="shared" si="3"/>
        <v>145</v>
      </c>
      <c r="U41" s="30">
        <v>45742</v>
      </c>
      <c r="V41" s="34"/>
      <c r="W41" s="122" t="s">
        <v>789</v>
      </c>
      <c r="X41" s="34"/>
    </row>
    <row r="42" spans="1:24" ht="15" thickBot="1">
      <c r="A42" s="4" t="s">
        <v>25</v>
      </c>
      <c r="B42" s="4" t="s">
        <v>26</v>
      </c>
      <c r="C42" s="4" t="s">
        <v>27</v>
      </c>
      <c r="D42" s="4" t="s">
        <v>28</v>
      </c>
      <c r="E42" s="4" t="s">
        <v>195</v>
      </c>
      <c r="F42" s="31">
        <v>45733</v>
      </c>
      <c r="G42" s="32">
        <v>4069</v>
      </c>
      <c r="H42" s="4" t="s">
        <v>211</v>
      </c>
      <c r="I42" s="4" t="s">
        <v>212</v>
      </c>
      <c r="J42" s="4" t="s">
        <v>160</v>
      </c>
      <c r="K42" s="4" t="s">
        <v>33</v>
      </c>
      <c r="L42" s="4" t="s">
        <v>213</v>
      </c>
      <c r="M42" s="4" t="s">
        <v>55</v>
      </c>
      <c r="N42" s="4" t="s">
        <v>36</v>
      </c>
      <c r="O42" s="4">
        <v>1</v>
      </c>
      <c r="P42" s="112"/>
      <c r="Q42" s="4" t="s">
        <v>55</v>
      </c>
      <c r="R42" s="34">
        <v>45</v>
      </c>
      <c r="S42" s="34">
        <v>163.75</v>
      </c>
      <c r="T42" s="58">
        <f t="shared" si="3"/>
        <v>208.75</v>
      </c>
      <c r="U42" s="30">
        <v>45793</v>
      </c>
      <c r="V42" s="34"/>
      <c r="W42" s="122" t="s">
        <v>789</v>
      </c>
      <c r="X42" s="34"/>
    </row>
    <row r="43" spans="1:24" ht="24.75" customHeight="1" thickBot="1">
      <c r="A43" s="4" t="s">
        <v>25</v>
      </c>
      <c r="B43" s="4" t="s">
        <v>26</v>
      </c>
      <c r="C43" s="4" t="s">
        <v>27</v>
      </c>
      <c r="D43" s="4" t="s">
        <v>28</v>
      </c>
      <c r="E43" s="4" t="s">
        <v>195</v>
      </c>
      <c r="F43" s="31">
        <v>45733</v>
      </c>
      <c r="G43" s="32">
        <v>4084</v>
      </c>
      <c r="H43" s="4" t="s">
        <v>214</v>
      </c>
      <c r="I43" s="50" t="s">
        <v>215</v>
      </c>
      <c r="J43" s="4" t="s">
        <v>216</v>
      </c>
      <c r="K43" s="4" t="s">
        <v>33</v>
      </c>
      <c r="L43" s="4" t="s">
        <v>217</v>
      </c>
      <c r="M43" s="4" t="s">
        <v>218</v>
      </c>
      <c r="N43" s="4" t="s">
        <v>36</v>
      </c>
      <c r="O43" s="4">
        <v>1</v>
      </c>
      <c r="P43" s="112"/>
      <c r="Q43" s="4" t="s">
        <v>793</v>
      </c>
      <c r="R43" s="34">
        <v>45</v>
      </c>
      <c r="S43" s="37" t="s">
        <v>794</v>
      </c>
      <c r="T43" s="58">
        <f t="shared" si="3"/>
        <v>45</v>
      </c>
      <c r="U43" s="30">
        <v>45793</v>
      </c>
      <c r="V43" s="34"/>
      <c r="W43" s="122" t="s">
        <v>789</v>
      </c>
      <c r="X43" s="34"/>
    </row>
    <row r="44" spans="1:24" ht="15" thickBot="1">
      <c r="A44" s="4" t="s">
        <v>25</v>
      </c>
      <c r="B44" s="4" t="s">
        <v>26</v>
      </c>
      <c r="C44" s="4" t="s">
        <v>27</v>
      </c>
      <c r="D44" s="4" t="s">
        <v>28</v>
      </c>
      <c r="E44" s="4" t="s">
        <v>29</v>
      </c>
      <c r="F44" s="31">
        <v>45744</v>
      </c>
      <c r="G44" s="32">
        <v>4100</v>
      </c>
      <c r="H44" s="4" t="s">
        <v>220</v>
      </c>
      <c r="I44" s="4" t="s">
        <v>221</v>
      </c>
      <c r="J44" s="4" t="s">
        <v>222</v>
      </c>
      <c r="K44" s="4" t="s">
        <v>33</v>
      </c>
      <c r="L44" s="4" t="s">
        <v>223</v>
      </c>
      <c r="M44" s="4" t="s">
        <v>55</v>
      </c>
      <c r="N44" s="4" t="s">
        <v>36</v>
      </c>
      <c r="O44" s="4">
        <v>1</v>
      </c>
      <c r="P44" s="112"/>
      <c r="Q44" s="4" t="s">
        <v>55</v>
      </c>
      <c r="R44" s="34">
        <v>45</v>
      </c>
      <c r="S44" s="34">
        <v>163.75</v>
      </c>
      <c r="T44" s="58">
        <f t="shared" si="3"/>
        <v>208.75</v>
      </c>
      <c r="U44" s="36">
        <v>45793</v>
      </c>
      <c r="V44" s="34"/>
      <c r="W44" s="122" t="s">
        <v>789</v>
      </c>
      <c r="X44" s="34"/>
    </row>
    <row r="45" spans="1:24" ht="15" thickBot="1">
      <c r="A45" s="4" t="s">
        <v>25</v>
      </c>
      <c r="B45" s="4" t="s">
        <v>26</v>
      </c>
      <c r="C45" s="4" t="s">
        <v>27</v>
      </c>
      <c r="D45" s="4" t="s">
        <v>28</v>
      </c>
      <c r="E45" s="4" t="s">
        <v>29</v>
      </c>
      <c r="F45" s="31">
        <v>45744</v>
      </c>
      <c r="G45" s="32">
        <v>4120</v>
      </c>
      <c r="H45" s="4" t="s">
        <v>224</v>
      </c>
      <c r="I45" s="4" t="s">
        <v>225</v>
      </c>
      <c r="J45" s="4" t="s">
        <v>226</v>
      </c>
      <c r="K45" s="4" t="s">
        <v>33</v>
      </c>
      <c r="L45" s="4" t="s">
        <v>227</v>
      </c>
      <c r="M45" s="4" t="s">
        <v>138</v>
      </c>
      <c r="N45" s="4" t="s">
        <v>36</v>
      </c>
      <c r="O45" s="4">
        <v>1</v>
      </c>
      <c r="P45" s="112"/>
      <c r="Q45" s="4" t="s">
        <v>791</v>
      </c>
      <c r="R45" s="34">
        <v>45</v>
      </c>
      <c r="S45" s="34">
        <v>215</v>
      </c>
      <c r="T45" s="58">
        <f t="shared" si="3"/>
        <v>260</v>
      </c>
      <c r="U45" s="36">
        <v>45793</v>
      </c>
      <c r="V45" s="34"/>
      <c r="W45" s="122" t="s">
        <v>789</v>
      </c>
      <c r="X45" s="34"/>
    </row>
    <row r="46" spans="1:24" ht="15" thickBot="1">
      <c r="A46" s="4" t="s">
        <v>25</v>
      </c>
      <c r="B46" s="4" t="s">
        <v>26</v>
      </c>
      <c r="C46" s="4" t="s">
        <v>27</v>
      </c>
      <c r="D46" s="4" t="s">
        <v>28</v>
      </c>
      <c r="E46" s="4" t="s">
        <v>29</v>
      </c>
      <c r="F46" s="31">
        <v>45744</v>
      </c>
      <c r="G46" s="32">
        <v>4119</v>
      </c>
      <c r="H46" s="4" t="s">
        <v>228</v>
      </c>
      <c r="I46" s="50" t="s">
        <v>229</v>
      </c>
      <c r="J46" s="4" t="s">
        <v>222</v>
      </c>
      <c r="K46" s="4" t="s">
        <v>33</v>
      </c>
      <c r="L46" s="4" t="s">
        <v>223</v>
      </c>
      <c r="M46" s="4" t="s">
        <v>55</v>
      </c>
      <c r="N46" s="4" t="s">
        <v>36</v>
      </c>
      <c r="O46" s="4">
        <v>1</v>
      </c>
      <c r="P46" s="112"/>
      <c r="Q46" s="4" t="s">
        <v>55</v>
      </c>
      <c r="R46" s="34">
        <v>45</v>
      </c>
      <c r="S46" s="34">
        <v>163.75</v>
      </c>
      <c r="T46" s="58">
        <f t="shared" si="3"/>
        <v>208.75</v>
      </c>
      <c r="U46" s="36">
        <v>45793</v>
      </c>
      <c r="V46" s="34"/>
      <c r="W46" s="122" t="s">
        <v>789</v>
      </c>
      <c r="X46" s="34"/>
    </row>
    <row r="47" spans="1:24" ht="21.65" customHeight="1" thickBot="1">
      <c r="A47" s="4" t="s">
        <v>25</v>
      </c>
      <c r="B47" s="4" t="s">
        <v>26</v>
      </c>
      <c r="C47" s="4" t="s">
        <v>27</v>
      </c>
      <c r="D47" s="4" t="s">
        <v>28</v>
      </c>
      <c r="E47" s="4" t="s">
        <v>29</v>
      </c>
      <c r="F47" s="31">
        <v>45744</v>
      </c>
      <c r="G47" s="32">
        <v>4118</v>
      </c>
      <c r="H47" s="4" t="s">
        <v>230</v>
      </c>
      <c r="I47" s="50" t="s">
        <v>231</v>
      </c>
      <c r="J47" s="4" t="s">
        <v>232</v>
      </c>
      <c r="K47" s="4" t="s">
        <v>48</v>
      </c>
      <c r="L47" s="4" t="s">
        <v>233</v>
      </c>
      <c r="M47" s="4" t="s">
        <v>71</v>
      </c>
      <c r="N47" s="4" t="s">
        <v>36</v>
      </c>
      <c r="O47" s="4">
        <v>1</v>
      </c>
      <c r="P47" s="112"/>
      <c r="Q47" s="4" t="s">
        <v>234</v>
      </c>
      <c r="R47" s="34">
        <v>45</v>
      </c>
      <c r="S47" s="37">
        <v>0</v>
      </c>
      <c r="T47" s="58">
        <f t="shared" si="3"/>
        <v>45</v>
      </c>
      <c r="U47" s="36">
        <v>45793</v>
      </c>
      <c r="V47" s="34"/>
      <c r="W47" s="122" t="s">
        <v>789</v>
      </c>
      <c r="X47" s="34" t="s">
        <v>235</v>
      </c>
    </row>
    <row r="48" spans="1:24" ht="15" thickBot="1">
      <c r="A48" s="4" t="s">
        <v>25</v>
      </c>
      <c r="B48" s="4" t="s">
        <v>26</v>
      </c>
      <c r="C48" s="4" t="s">
        <v>27</v>
      </c>
      <c r="D48" s="4" t="s">
        <v>28</v>
      </c>
      <c r="E48" s="4" t="s">
        <v>29</v>
      </c>
      <c r="F48" s="31">
        <v>45744</v>
      </c>
      <c r="G48" s="32">
        <v>4116</v>
      </c>
      <c r="H48" s="4" t="s">
        <v>236</v>
      </c>
      <c r="I48" s="50" t="s">
        <v>237</v>
      </c>
      <c r="J48" s="4" t="s">
        <v>222</v>
      </c>
      <c r="K48" s="4" t="s">
        <v>33</v>
      </c>
      <c r="L48" s="4" t="s">
        <v>238</v>
      </c>
      <c r="M48" s="4" t="s">
        <v>66</v>
      </c>
      <c r="N48" s="4" t="s">
        <v>36</v>
      </c>
      <c r="O48" s="4">
        <v>1</v>
      </c>
      <c r="P48" s="112"/>
      <c r="Q48" s="4" t="s">
        <v>66</v>
      </c>
      <c r="R48" s="34">
        <v>45</v>
      </c>
      <c r="S48" s="34">
        <v>120</v>
      </c>
      <c r="T48" s="58">
        <f t="shared" si="3"/>
        <v>165</v>
      </c>
      <c r="U48" s="36">
        <v>45793</v>
      </c>
      <c r="V48" s="34"/>
      <c r="W48" s="122" t="s">
        <v>789</v>
      </c>
      <c r="X48" s="34"/>
    </row>
    <row r="49" spans="1:24" ht="15" thickBot="1">
      <c r="A49" s="4" t="s">
        <v>25</v>
      </c>
      <c r="B49" s="4" t="s">
        <v>26</v>
      </c>
      <c r="C49" s="4" t="s">
        <v>27</v>
      </c>
      <c r="D49" s="4" t="s">
        <v>28</v>
      </c>
      <c r="E49" s="4" t="s">
        <v>29</v>
      </c>
      <c r="F49" s="31">
        <v>45744</v>
      </c>
      <c r="G49" s="32">
        <v>4115</v>
      </c>
      <c r="H49" s="4" t="s">
        <v>239</v>
      </c>
      <c r="I49" s="50" t="s">
        <v>240</v>
      </c>
      <c r="J49" s="4" t="s">
        <v>222</v>
      </c>
      <c r="K49" s="4" t="s">
        <v>33</v>
      </c>
      <c r="L49" s="4" t="s">
        <v>241</v>
      </c>
      <c r="M49" s="4" t="s">
        <v>55</v>
      </c>
      <c r="N49" s="4" t="s">
        <v>36</v>
      </c>
      <c r="O49" s="4">
        <v>1</v>
      </c>
      <c r="P49" s="112"/>
      <c r="Q49" s="4" t="s">
        <v>55</v>
      </c>
      <c r="R49" s="34">
        <v>45</v>
      </c>
      <c r="S49" s="34">
        <v>163.75</v>
      </c>
      <c r="T49" s="58">
        <f t="shared" si="3"/>
        <v>208.75</v>
      </c>
      <c r="U49" s="36">
        <v>45793</v>
      </c>
      <c r="V49" s="34"/>
      <c r="W49" s="122" t="s">
        <v>789</v>
      </c>
      <c r="X49" s="34"/>
    </row>
    <row r="50" spans="1:24" ht="15" thickBot="1">
      <c r="A50" s="4" t="s">
        <v>25</v>
      </c>
      <c r="B50" s="4" t="s">
        <v>26</v>
      </c>
      <c r="C50" s="4" t="s">
        <v>27</v>
      </c>
      <c r="D50" s="4" t="s">
        <v>28</v>
      </c>
      <c r="E50" s="4" t="s">
        <v>29</v>
      </c>
      <c r="F50" s="31">
        <v>45744</v>
      </c>
      <c r="G50" s="32">
        <v>4114</v>
      </c>
      <c r="H50" s="4" t="s">
        <v>79</v>
      </c>
      <c r="I50" s="50" t="s">
        <v>80</v>
      </c>
      <c r="J50" s="4" t="s">
        <v>232</v>
      </c>
      <c r="K50" s="4" t="s">
        <v>48</v>
      </c>
      <c r="L50" s="4" t="s">
        <v>227</v>
      </c>
      <c r="M50" s="4" t="s">
        <v>117</v>
      </c>
      <c r="N50" s="4" t="s">
        <v>36</v>
      </c>
      <c r="O50" s="4">
        <v>1</v>
      </c>
      <c r="P50" s="112"/>
      <c r="Q50" s="4" t="s">
        <v>117</v>
      </c>
      <c r="R50" s="34">
        <v>45</v>
      </c>
      <c r="S50" s="37">
        <v>0</v>
      </c>
      <c r="T50" s="58">
        <f t="shared" si="3"/>
        <v>45</v>
      </c>
      <c r="U50" s="36">
        <v>45793</v>
      </c>
      <c r="V50" s="34"/>
      <c r="W50" s="122" t="s">
        <v>789</v>
      </c>
      <c r="X50" s="34"/>
    </row>
    <row r="51" spans="1:24" ht="15" thickBot="1">
      <c r="A51" s="4" t="s">
        <v>25</v>
      </c>
      <c r="B51" s="4" t="s">
        <v>26</v>
      </c>
      <c r="C51" s="4" t="s">
        <v>27</v>
      </c>
      <c r="D51" s="4" t="s">
        <v>28</v>
      </c>
      <c r="E51" s="4" t="s">
        <v>29</v>
      </c>
      <c r="F51" s="31">
        <v>45744</v>
      </c>
      <c r="G51" s="32">
        <v>4113</v>
      </c>
      <c r="H51" s="4" t="s">
        <v>242</v>
      </c>
      <c r="I51" s="50" t="s">
        <v>243</v>
      </c>
      <c r="J51" s="4" t="s">
        <v>232</v>
      </c>
      <c r="K51" s="4" t="s">
        <v>48</v>
      </c>
      <c r="L51" s="4" t="s">
        <v>227</v>
      </c>
      <c r="M51" s="4" t="s">
        <v>117</v>
      </c>
      <c r="N51" s="4" t="s">
        <v>36</v>
      </c>
      <c r="O51" s="4">
        <v>1</v>
      </c>
      <c r="P51" s="112"/>
      <c r="Q51" s="4" t="s">
        <v>117</v>
      </c>
      <c r="R51" s="34">
        <v>45</v>
      </c>
      <c r="S51" s="37">
        <v>0</v>
      </c>
      <c r="T51" s="58">
        <f t="shared" si="3"/>
        <v>45</v>
      </c>
      <c r="U51" s="36">
        <v>45793</v>
      </c>
      <c r="V51" s="34"/>
      <c r="W51" s="122" t="s">
        <v>789</v>
      </c>
      <c r="X51" s="34"/>
    </row>
    <row r="52" spans="1:24" ht="15" thickBot="1">
      <c r="A52" s="4" t="s">
        <v>25</v>
      </c>
      <c r="B52" s="4" t="s">
        <v>26</v>
      </c>
      <c r="C52" s="4" t="s">
        <v>27</v>
      </c>
      <c r="D52" s="4" t="s">
        <v>28</v>
      </c>
      <c r="E52" s="4" t="s">
        <v>29</v>
      </c>
      <c r="F52" s="31">
        <v>45744</v>
      </c>
      <c r="G52" s="32">
        <v>4112</v>
      </c>
      <c r="H52" s="4" t="s">
        <v>244</v>
      </c>
      <c r="I52" s="50" t="s">
        <v>245</v>
      </c>
      <c r="J52" s="4" t="s">
        <v>345</v>
      </c>
      <c r="K52" s="4" t="s">
        <v>48</v>
      </c>
      <c r="L52" s="4" t="s">
        <v>247</v>
      </c>
      <c r="M52" s="4" t="s">
        <v>71</v>
      </c>
      <c r="N52" s="4" t="s">
        <v>36</v>
      </c>
      <c r="O52" s="4">
        <v>1</v>
      </c>
      <c r="P52" s="112"/>
      <c r="Q52" s="4" t="s">
        <v>71</v>
      </c>
      <c r="R52" s="34">
        <v>45</v>
      </c>
      <c r="S52" s="37">
        <v>0</v>
      </c>
      <c r="T52" s="58">
        <f t="shared" si="3"/>
        <v>45</v>
      </c>
      <c r="U52" s="36">
        <v>45793</v>
      </c>
      <c r="V52" s="34"/>
      <c r="W52" s="122" t="s">
        <v>789</v>
      </c>
      <c r="X52" s="34"/>
    </row>
    <row r="53" spans="1:24" ht="15" thickBot="1">
      <c r="A53" s="4" t="s">
        <v>25</v>
      </c>
      <c r="B53" s="4" t="s">
        <v>26</v>
      </c>
      <c r="C53" s="4" t="s">
        <v>27</v>
      </c>
      <c r="D53" s="4" t="s">
        <v>28</v>
      </c>
      <c r="E53" s="4" t="s">
        <v>29</v>
      </c>
      <c r="F53" s="31">
        <v>45744</v>
      </c>
      <c r="G53" s="32">
        <v>4111</v>
      </c>
      <c r="H53" s="4" t="s">
        <v>248</v>
      </c>
      <c r="I53" s="50" t="s">
        <v>795</v>
      </c>
      <c r="J53" s="4" t="s">
        <v>222</v>
      </c>
      <c r="K53" s="4" t="s">
        <v>33</v>
      </c>
      <c r="L53" s="4" t="s">
        <v>250</v>
      </c>
      <c r="M53" s="4" t="s">
        <v>251</v>
      </c>
      <c r="N53" s="4" t="s">
        <v>36</v>
      </c>
      <c r="O53" s="4">
        <v>1</v>
      </c>
      <c r="P53" s="112"/>
      <c r="Q53" s="4" t="s">
        <v>791</v>
      </c>
      <c r="R53" s="34">
        <v>45</v>
      </c>
      <c r="S53" s="59">
        <v>215</v>
      </c>
      <c r="T53" s="58">
        <f t="shared" si="3"/>
        <v>260</v>
      </c>
      <c r="U53" s="36">
        <v>45814</v>
      </c>
      <c r="V53" s="34"/>
      <c r="W53" s="34"/>
      <c r="X53" s="34"/>
    </row>
    <row r="54" spans="1:24" ht="15" thickBot="1">
      <c r="A54" s="4" t="s">
        <v>25</v>
      </c>
      <c r="B54" s="4" t="s">
        <v>26</v>
      </c>
      <c r="C54" s="4" t="s">
        <v>27</v>
      </c>
      <c r="D54" s="4" t="s">
        <v>28</v>
      </c>
      <c r="E54" s="4" t="s">
        <v>29</v>
      </c>
      <c r="F54" s="31">
        <v>45744</v>
      </c>
      <c r="G54" s="32">
        <v>4110</v>
      </c>
      <c r="H54" s="4" t="s">
        <v>253</v>
      </c>
      <c r="I54" s="50" t="s">
        <v>254</v>
      </c>
      <c r="J54" s="4" t="s">
        <v>222</v>
      </c>
      <c r="K54" s="4" t="s">
        <v>33</v>
      </c>
      <c r="L54" s="4" t="s">
        <v>227</v>
      </c>
      <c r="M54" s="4" t="s">
        <v>71</v>
      </c>
      <c r="N54" s="4" t="s">
        <v>36</v>
      </c>
      <c r="O54" s="4">
        <v>1</v>
      </c>
      <c r="P54" s="112"/>
      <c r="Q54" s="4" t="s">
        <v>71</v>
      </c>
      <c r="R54" s="34">
        <v>45</v>
      </c>
      <c r="S54" s="34">
        <v>120</v>
      </c>
      <c r="T54" s="58">
        <f t="shared" si="3"/>
        <v>165</v>
      </c>
      <c r="U54" s="36">
        <v>45805</v>
      </c>
      <c r="V54" s="34"/>
      <c r="W54" s="122" t="s">
        <v>789</v>
      </c>
      <c r="X54" s="34"/>
    </row>
    <row r="55" spans="1:24" ht="15" thickBot="1">
      <c r="A55" s="4" t="s">
        <v>25</v>
      </c>
      <c r="B55" s="4" t="s">
        <v>26</v>
      </c>
      <c r="C55" s="4" t="s">
        <v>27</v>
      </c>
      <c r="D55" s="4" t="s">
        <v>28</v>
      </c>
      <c r="E55" s="4" t="s">
        <v>29</v>
      </c>
      <c r="F55" s="31">
        <v>45744</v>
      </c>
      <c r="G55" s="32">
        <v>4109</v>
      </c>
      <c r="H55" s="4" t="s">
        <v>255</v>
      </c>
      <c r="I55" s="50" t="s">
        <v>256</v>
      </c>
      <c r="J55" s="4" t="s">
        <v>502</v>
      </c>
      <c r="K55" s="4" t="s">
        <v>33</v>
      </c>
      <c r="L55" s="4" t="s">
        <v>227</v>
      </c>
      <c r="M55" s="4" t="s">
        <v>258</v>
      </c>
      <c r="N55" s="4" t="s">
        <v>36</v>
      </c>
      <c r="O55" s="4">
        <v>1</v>
      </c>
      <c r="P55" s="112"/>
      <c r="Q55" s="4" t="s">
        <v>259</v>
      </c>
      <c r="R55" s="34">
        <v>45</v>
      </c>
      <c r="S55" s="59">
        <v>320</v>
      </c>
      <c r="T55" s="58">
        <f t="shared" si="3"/>
        <v>365</v>
      </c>
      <c r="U55" s="36">
        <v>45814</v>
      </c>
      <c r="V55" s="34"/>
      <c r="W55" s="122" t="s">
        <v>789</v>
      </c>
      <c r="X55" s="34"/>
    </row>
    <row r="56" spans="1:24" ht="15" thickBot="1">
      <c r="A56" s="4" t="s">
        <v>25</v>
      </c>
      <c r="B56" s="4" t="s">
        <v>26</v>
      </c>
      <c r="C56" s="4" t="s">
        <v>27</v>
      </c>
      <c r="D56" s="4" t="s">
        <v>28</v>
      </c>
      <c r="E56" s="4" t="s">
        <v>29</v>
      </c>
      <c r="F56" s="31">
        <v>45744</v>
      </c>
      <c r="G56" s="4">
        <v>4107</v>
      </c>
      <c r="H56" s="4" t="s">
        <v>30</v>
      </c>
      <c r="I56" s="50" t="s">
        <v>31</v>
      </c>
      <c r="J56" s="4" t="s">
        <v>160</v>
      </c>
      <c r="K56" s="4" t="s">
        <v>33</v>
      </c>
      <c r="L56" s="4" t="s">
        <v>260</v>
      </c>
      <c r="M56" s="4" t="s">
        <v>261</v>
      </c>
      <c r="N56" s="4" t="s">
        <v>36</v>
      </c>
      <c r="O56" s="4">
        <v>1</v>
      </c>
      <c r="P56" s="112" t="s">
        <v>263</v>
      </c>
      <c r="Q56" s="4" t="s">
        <v>791</v>
      </c>
      <c r="R56" s="34">
        <v>45</v>
      </c>
      <c r="S56" s="59">
        <v>215</v>
      </c>
      <c r="T56" s="58">
        <f t="shared" si="3"/>
        <v>260</v>
      </c>
      <c r="U56" s="36">
        <v>45898</v>
      </c>
      <c r="V56" s="34"/>
      <c r="W56" s="122" t="s">
        <v>789</v>
      </c>
      <c r="X56" s="34"/>
    </row>
    <row r="57" spans="1:24" ht="15" thickBot="1">
      <c r="A57" s="4" t="s">
        <v>25</v>
      </c>
      <c r="B57" s="4" t="s">
        <v>26</v>
      </c>
      <c r="C57" s="4" t="s">
        <v>27</v>
      </c>
      <c r="D57" s="4" t="s">
        <v>28</v>
      </c>
      <c r="E57" s="4" t="s">
        <v>29</v>
      </c>
      <c r="F57" s="31">
        <v>45744</v>
      </c>
      <c r="G57" s="4">
        <v>4105</v>
      </c>
      <c r="H57" s="4" t="s">
        <v>264</v>
      </c>
      <c r="I57" s="4" t="s">
        <v>265</v>
      </c>
      <c r="J57" s="4" t="s">
        <v>222</v>
      </c>
      <c r="K57" s="4" t="s">
        <v>33</v>
      </c>
      <c r="L57" s="4" t="s">
        <v>266</v>
      </c>
      <c r="M57" s="4" t="s">
        <v>55</v>
      </c>
      <c r="N57" s="4" t="s">
        <v>36</v>
      </c>
      <c r="O57" s="4">
        <v>1</v>
      </c>
      <c r="P57" s="112" t="s">
        <v>267</v>
      </c>
      <c r="Q57" s="4" t="s">
        <v>55</v>
      </c>
      <c r="R57" s="34">
        <v>45</v>
      </c>
      <c r="S57" s="59">
        <v>109.09</v>
      </c>
      <c r="T57" s="58">
        <f t="shared" si="3"/>
        <v>154.09</v>
      </c>
      <c r="U57" s="36">
        <v>45821</v>
      </c>
      <c r="V57" s="34"/>
      <c r="W57" s="122" t="s">
        <v>789</v>
      </c>
      <c r="X57" s="34"/>
    </row>
    <row r="58" spans="1:24" ht="15" thickBot="1">
      <c r="A58" s="4" t="s">
        <v>25</v>
      </c>
      <c r="B58" s="4" t="s">
        <v>26</v>
      </c>
      <c r="C58" s="4" t="s">
        <v>27</v>
      </c>
      <c r="D58" s="4" t="s">
        <v>28</v>
      </c>
      <c r="E58" s="4" t="s">
        <v>29</v>
      </c>
      <c r="F58" s="31">
        <v>45744</v>
      </c>
      <c r="G58" s="4">
        <v>4104</v>
      </c>
      <c r="H58" s="4" t="s">
        <v>268</v>
      </c>
      <c r="I58" s="4" t="s">
        <v>269</v>
      </c>
      <c r="J58" s="4" t="s">
        <v>502</v>
      </c>
      <c r="K58" s="4" t="s">
        <v>33</v>
      </c>
      <c r="L58" s="4" t="s">
        <v>227</v>
      </c>
      <c r="M58" s="4" t="s">
        <v>271</v>
      </c>
      <c r="N58" s="4" t="s">
        <v>36</v>
      </c>
      <c r="O58" s="4">
        <v>1</v>
      </c>
      <c r="P58" s="112"/>
      <c r="Q58" s="4" t="s">
        <v>271</v>
      </c>
      <c r="R58" s="34">
        <v>45</v>
      </c>
      <c r="S58" s="63" t="s">
        <v>272</v>
      </c>
      <c r="T58" s="58">
        <f t="shared" si="3"/>
        <v>45</v>
      </c>
      <c r="U58" s="36">
        <v>45805</v>
      </c>
      <c r="V58" s="34"/>
      <c r="W58" s="122" t="s">
        <v>789</v>
      </c>
      <c r="X58" s="34"/>
    </row>
    <row r="59" spans="1:24" ht="15" thickBot="1">
      <c r="A59" s="4" t="s">
        <v>25</v>
      </c>
      <c r="B59" s="4" t="s">
        <v>26</v>
      </c>
      <c r="C59" s="4" t="s">
        <v>27</v>
      </c>
      <c r="D59" s="4" t="s">
        <v>28</v>
      </c>
      <c r="E59" s="4" t="s">
        <v>29</v>
      </c>
      <c r="F59" s="31">
        <v>45744</v>
      </c>
      <c r="G59" s="4">
        <v>4103</v>
      </c>
      <c r="H59" s="4" t="s">
        <v>273</v>
      </c>
      <c r="I59" s="4" t="s">
        <v>274</v>
      </c>
      <c r="J59" s="4" t="s">
        <v>232</v>
      </c>
      <c r="K59" s="4" t="s">
        <v>48</v>
      </c>
      <c r="L59" s="4" t="s">
        <v>275</v>
      </c>
      <c r="M59" s="4" t="s">
        <v>276</v>
      </c>
      <c r="N59" s="4" t="s">
        <v>36</v>
      </c>
      <c r="O59" s="4">
        <v>1</v>
      </c>
      <c r="P59" s="112" t="s">
        <v>277</v>
      </c>
      <c r="Q59" s="4" t="s">
        <v>278</v>
      </c>
      <c r="R59" s="34">
        <v>45</v>
      </c>
      <c r="S59" s="37">
        <v>0</v>
      </c>
      <c r="T59" s="58">
        <f t="shared" si="3"/>
        <v>45</v>
      </c>
      <c r="U59" s="36">
        <v>45805</v>
      </c>
      <c r="V59" s="34"/>
      <c r="W59" s="122" t="s">
        <v>789</v>
      </c>
      <c r="X59" s="34"/>
    </row>
    <row r="60" spans="1:24" ht="15" thickBot="1">
      <c r="A60" s="4" t="s">
        <v>25</v>
      </c>
      <c r="B60" s="4" t="s">
        <v>26</v>
      </c>
      <c r="C60" s="4" t="s">
        <v>27</v>
      </c>
      <c r="D60" s="4" t="s">
        <v>28</v>
      </c>
      <c r="E60" s="4" t="s">
        <v>29</v>
      </c>
      <c r="F60" s="31">
        <v>45744</v>
      </c>
      <c r="G60" s="4">
        <v>4102</v>
      </c>
      <c r="H60" s="4" t="s">
        <v>279</v>
      </c>
      <c r="I60" s="4" t="s">
        <v>280</v>
      </c>
      <c r="J60" s="4" t="s">
        <v>222</v>
      </c>
      <c r="K60" s="4" t="s">
        <v>33</v>
      </c>
      <c r="L60" s="4" t="s">
        <v>227</v>
      </c>
      <c r="M60" s="4" t="s">
        <v>281</v>
      </c>
      <c r="N60" s="4" t="s">
        <v>36</v>
      </c>
      <c r="O60" s="4">
        <v>1</v>
      </c>
      <c r="P60" s="112"/>
      <c r="Q60" s="4" t="s">
        <v>281</v>
      </c>
      <c r="R60" s="34">
        <v>45</v>
      </c>
      <c r="S60" s="63" t="s">
        <v>282</v>
      </c>
      <c r="T60" s="58">
        <f t="shared" si="3"/>
        <v>45</v>
      </c>
      <c r="U60" s="36">
        <v>45805</v>
      </c>
      <c r="V60" s="34"/>
      <c r="W60" s="122" t="s">
        <v>789</v>
      </c>
      <c r="X60" s="34"/>
    </row>
    <row r="61" spans="1:24" ht="15" thickBot="1">
      <c r="A61" s="4" t="s">
        <v>154</v>
      </c>
      <c r="B61" s="4" t="s">
        <v>155</v>
      </c>
      <c r="C61" s="4">
        <v>616866669</v>
      </c>
      <c r="D61" s="4" t="s">
        <v>156</v>
      </c>
      <c r="E61" s="4" t="s">
        <v>283</v>
      </c>
      <c r="F61" s="31">
        <v>45757</v>
      </c>
      <c r="G61" s="4">
        <v>4626</v>
      </c>
      <c r="H61" s="4" t="s">
        <v>284</v>
      </c>
      <c r="I61" s="4" t="s">
        <v>285</v>
      </c>
      <c r="J61" s="4" t="s">
        <v>160</v>
      </c>
      <c r="K61" s="4" t="s">
        <v>33</v>
      </c>
      <c r="L61" s="4" t="s">
        <v>286</v>
      </c>
      <c r="M61" s="4" t="s">
        <v>287</v>
      </c>
      <c r="N61" s="4" t="s">
        <v>36</v>
      </c>
      <c r="O61" s="4">
        <v>1</v>
      </c>
      <c r="P61" s="112"/>
      <c r="Q61" s="4" t="s">
        <v>287</v>
      </c>
      <c r="R61" s="34">
        <v>45</v>
      </c>
      <c r="S61" s="59">
        <v>115</v>
      </c>
      <c r="T61" s="58">
        <f t="shared" si="3"/>
        <v>160</v>
      </c>
      <c r="U61" s="36">
        <v>45814</v>
      </c>
      <c r="V61" s="34"/>
      <c r="W61" s="122" t="s">
        <v>789</v>
      </c>
      <c r="X61" s="34"/>
    </row>
    <row r="62" spans="1:24" ht="15" thickBot="1">
      <c r="A62" s="4" t="s">
        <v>154</v>
      </c>
      <c r="B62" s="4" t="s">
        <v>155</v>
      </c>
      <c r="C62" s="4">
        <v>616866669</v>
      </c>
      <c r="D62" s="4" t="s">
        <v>156</v>
      </c>
      <c r="E62" s="4" t="s">
        <v>283</v>
      </c>
      <c r="F62" s="31">
        <v>45757</v>
      </c>
      <c r="G62" s="4">
        <v>4627</v>
      </c>
      <c r="H62" s="4" t="s">
        <v>288</v>
      </c>
      <c r="I62" s="4" t="s">
        <v>289</v>
      </c>
      <c r="J62" s="4" t="s">
        <v>160</v>
      </c>
      <c r="K62" s="4" t="s">
        <v>33</v>
      </c>
      <c r="L62" s="4" t="s">
        <v>290</v>
      </c>
      <c r="M62" s="4" t="s">
        <v>291</v>
      </c>
      <c r="N62" s="4" t="s">
        <v>36</v>
      </c>
      <c r="O62" s="4">
        <v>1</v>
      </c>
      <c r="P62" s="112"/>
      <c r="Q62" s="4" t="s">
        <v>84</v>
      </c>
      <c r="R62" s="34">
        <v>45</v>
      </c>
      <c r="S62" s="63" t="s">
        <v>272</v>
      </c>
      <c r="T62" s="58">
        <f t="shared" si="3"/>
        <v>45</v>
      </c>
      <c r="U62" s="36">
        <v>45805</v>
      </c>
      <c r="V62" s="34"/>
      <c r="W62" s="122" t="s">
        <v>789</v>
      </c>
      <c r="X62" s="34"/>
    </row>
    <row r="63" spans="1:24" ht="15" thickBot="1">
      <c r="A63" s="4" t="s">
        <v>154</v>
      </c>
      <c r="B63" s="4" t="s">
        <v>155</v>
      </c>
      <c r="C63" s="4">
        <v>616866669</v>
      </c>
      <c r="D63" s="4" t="s">
        <v>156</v>
      </c>
      <c r="E63" s="4" t="s">
        <v>283</v>
      </c>
      <c r="F63" s="31">
        <v>45757</v>
      </c>
      <c r="G63" s="4">
        <v>4628</v>
      </c>
      <c r="H63" s="4" t="s">
        <v>292</v>
      </c>
      <c r="I63" s="50" t="s">
        <v>293</v>
      </c>
      <c r="J63" s="4" t="s">
        <v>160</v>
      </c>
      <c r="K63" s="4" t="s">
        <v>33</v>
      </c>
      <c r="L63" s="4" t="s">
        <v>294</v>
      </c>
      <c r="M63" s="4" t="s">
        <v>295</v>
      </c>
      <c r="N63" s="4" t="s">
        <v>36</v>
      </c>
      <c r="O63" s="4">
        <v>1</v>
      </c>
      <c r="P63" s="112"/>
      <c r="Q63" s="4" t="s">
        <v>788</v>
      </c>
      <c r="R63" s="34">
        <v>45</v>
      </c>
      <c r="S63" s="37">
        <v>335</v>
      </c>
      <c r="T63" s="58">
        <f t="shared" si="3"/>
        <v>380</v>
      </c>
      <c r="U63" s="36">
        <v>45805</v>
      </c>
      <c r="V63" s="34"/>
      <c r="W63" s="122" t="s">
        <v>789</v>
      </c>
      <c r="X63" s="34"/>
    </row>
    <row r="64" spans="1:24" ht="15" thickBot="1">
      <c r="A64" s="4" t="s">
        <v>154</v>
      </c>
      <c r="B64" s="4" t="s">
        <v>155</v>
      </c>
      <c r="C64" s="4">
        <v>616866669</v>
      </c>
      <c r="D64" s="4" t="s">
        <v>156</v>
      </c>
      <c r="E64" s="4" t="s">
        <v>283</v>
      </c>
      <c r="F64" s="31">
        <v>45757</v>
      </c>
      <c r="G64" s="4">
        <v>4629</v>
      </c>
      <c r="H64" s="4" t="s">
        <v>296</v>
      </c>
      <c r="I64" s="4" t="s">
        <v>297</v>
      </c>
      <c r="J64" s="4" t="s">
        <v>502</v>
      </c>
      <c r="K64" s="4" t="s">
        <v>33</v>
      </c>
      <c r="L64" s="4" t="s">
        <v>227</v>
      </c>
      <c r="M64" s="4" t="s">
        <v>66</v>
      </c>
      <c r="N64" s="4" t="s">
        <v>36</v>
      </c>
      <c r="O64" s="4">
        <v>1</v>
      </c>
      <c r="P64" s="112"/>
      <c r="Q64" s="4" t="s">
        <v>66</v>
      </c>
      <c r="R64" s="34">
        <v>45</v>
      </c>
      <c r="S64" s="37">
        <v>120</v>
      </c>
      <c r="T64" s="58">
        <f t="shared" si="3"/>
        <v>165</v>
      </c>
      <c r="U64" s="36">
        <v>45805</v>
      </c>
      <c r="V64" s="34"/>
      <c r="W64" s="122" t="s">
        <v>789</v>
      </c>
      <c r="X64" s="34"/>
    </row>
    <row r="65" spans="1:24" ht="15" thickBot="1">
      <c r="A65" s="4" t="s">
        <v>154</v>
      </c>
      <c r="B65" s="4" t="s">
        <v>155</v>
      </c>
      <c r="C65" s="4">
        <v>616866669</v>
      </c>
      <c r="D65" s="4" t="s">
        <v>156</v>
      </c>
      <c r="E65" s="4" t="s">
        <v>283</v>
      </c>
      <c r="F65" s="31">
        <v>45757</v>
      </c>
      <c r="G65" s="4">
        <v>4630</v>
      </c>
      <c r="H65" s="4" t="s">
        <v>299</v>
      </c>
      <c r="I65" s="4" t="s">
        <v>300</v>
      </c>
      <c r="J65" s="4" t="s">
        <v>160</v>
      </c>
      <c r="K65" s="4" t="s">
        <v>33</v>
      </c>
      <c r="L65" s="4" t="s">
        <v>301</v>
      </c>
      <c r="M65" s="4" t="s">
        <v>71</v>
      </c>
      <c r="N65" s="4" t="s">
        <v>36</v>
      </c>
      <c r="O65" s="4">
        <v>1</v>
      </c>
      <c r="P65" s="112"/>
      <c r="Q65" s="4" t="s">
        <v>71</v>
      </c>
      <c r="R65" s="34">
        <v>45</v>
      </c>
      <c r="S65" s="37">
        <v>120</v>
      </c>
      <c r="T65" s="58">
        <f t="shared" si="3"/>
        <v>165</v>
      </c>
      <c r="U65" s="36">
        <v>45805</v>
      </c>
      <c r="V65" s="34"/>
      <c r="W65" s="122" t="s">
        <v>789</v>
      </c>
      <c r="X65" s="34"/>
    </row>
    <row r="66" spans="1:24" ht="15" thickBot="1">
      <c r="A66" s="4" t="s">
        <v>154</v>
      </c>
      <c r="B66" s="4" t="s">
        <v>155</v>
      </c>
      <c r="C66" s="4">
        <v>616866669</v>
      </c>
      <c r="D66" s="4" t="s">
        <v>156</v>
      </c>
      <c r="E66" s="4" t="s">
        <v>283</v>
      </c>
      <c r="F66" s="31">
        <v>45757</v>
      </c>
      <c r="G66" s="4">
        <v>4631</v>
      </c>
      <c r="H66" s="4" t="s">
        <v>309</v>
      </c>
      <c r="I66" s="51" t="s">
        <v>310</v>
      </c>
      <c r="J66" s="4" t="s">
        <v>216</v>
      </c>
      <c r="K66" s="4" t="s">
        <v>33</v>
      </c>
      <c r="L66" s="4" t="s">
        <v>311</v>
      </c>
      <c r="M66" s="4" t="s">
        <v>71</v>
      </c>
      <c r="N66" s="4" t="s">
        <v>36</v>
      </c>
      <c r="O66" s="4">
        <v>1</v>
      </c>
      <c r="P66" s="112"/>
      <c r="Q66" s="4" t="s">
        <v>71</v>
      </c>
      <c r="R66" s="34">
        <v>45</v>
      </c>
      <c r="S66" s="63" t="s">
        <v>282</v>
      </c>
      <c r="T66" s="58">
        <f t="shared" si="3"/>
        <v>45</v>
      </c>
      <c r="U66" s="36">
        <v>45793</v>
      </c>
      <c r="V66" s="34"/>
      <c r="W66" s="122" t="s">
        <v>789</v>
      </c>
      <c r="X66" s="34"/>
    </row>
    <row r="67" spans="1:24" ht="15.75" customHeight="1" thickBot="1">
      <c r="A67" s="4" t="s">
        <v>154</v>
      </c>
      <c r="B67" s="4" t="s">
        <v>155</v>
      </c>
      <c r="C67" s="4">
        <v>616866669</v>
      </c>
      <c r="D67" s="4" t="s">
        <v>156</v>
      </c>
      <c r="E67" s="4" t="s">
        <v>283</v>
      </c>
      <c r="F67" s="31">
        <v>45757</v>
      </c>
      <c r="G67" s="4">
        <v>4632</v>
      </c>
      <c r="H67" s="4" t="s">
        <v>312</v>
      </c>
      <c r="I67" s="4" t="s">
        <v>313</v>
      </c>
      <c r="J67" s="4" t="s">
        <v>201</v>
      </c>
      <c r="K67" s="4" t="s">
        <v>48</v>
      </c>
      <c r="L67" s="4" t="s">
        <v>314</v>
      </c>
      <c r="M67" s="4" t="s">
        <v>34</v>
      </c>
      <c r="N67" s="4" t="s">
        <v>36</v>
      </c>
      <c r="O67" s="4">
        <v>1</v>
      </c>
      <c r="P67" s="112" t="s">
        <v>315</v>
      </c>
      <c r="Q67" s="4" t="s">
        <v>34</v>
      </c>
      <c r="R67" s="34">
        <v>45</v>
      </c>
      <c r="S67" s="37">
        <v>0</v>
      </c>
      <c r="T67" s="58">
        <f t="shared" si="3"/>
        <v>45</v>
      </c>
      <c r="U67" s="36">
        <v>45821</v>
      </c>
      <c r="V67" s="34"/>
      <c r="W67" s="122" t="s">
        <v>789</v>
      </c>
      <c r="X67" s="34"/>
    </row>
    <row r="68" spans="1:24" ht="15" thickBot="1">
      <c r="A68" s="4" t="s">
        <v>154</v>
      </c>
      <c r="B68" s="4" t="s">
        <v>155</v>
      </c>
      <c r="C68" s="4">
        <v>616866669</v>
      </c>
      <c r="D68" s="4" t="s">
        <v>156</v>
      </c>
      <c r="E68" s="4" t="s">
        <v>283</v>
      </c>
      <c r="F68" s="31">
        <v>45757</v>
      </c>
      <c r="G68" s="4">
        <v>4387</v>
      </c>
      <c r="H68" s="4" t="s">
        <v>316</v>
      </c>
      <c r="I68" s="4" t="s">
        <v>317</v>
      </c>
      <c r="J68" s="4" t="s">
        <v>345</v>
      </c>
      <c r="K68" s="4" t="s">
        <v>48</v>
      </c>
      <c r="L68" s="4" t="s">
        <v>319</v>
      </c>
      <c r="M68" s="4" t="s">
        <v>320</v>
      </c>
      <c r="N68" s="4" t="s">
        <v>36</v>
      </c>
      <c r="O68" s="4">
        <v>1</v>
      </c>
      <c r="P68" s="112"/>
      <c r="Q68" s="4" t="s">
        <v>320</v>
      </c>
      <c r="R68" s="34">
        <v>45</v>
      </c>
      <c r="S68" s="37">
        <v>0</v>
      </c>
      <c r="T68" s="58">
        <f t="shared" si="3"/>
        <v>45</v>
      </c>
      <c r="U68" s="36">
        <v>45805</v>
      </c>
      <c r="V68" s="34"/>
      <c r="W68" s="122" t="s">
        <v>789</v>
      </c>
      <c r="X68" s="34"/>
    </row>
    <row r="69" spans="1:24" ht="15" thickBot="1">
      <c r="A69" s="4" t="s">
        <v>154</v>
      </c>
      <c r="B69" s="4" t="s">
        <v>155</v>
      </c>
      <c r="C69" s="4">
        <v>616866669</v>
      </c>
      <c r="D69" s="4" t="s">
        <v>156</v>
      </c>
      <c r="E69" s="4" t="s">
        <v>283</v>
      </c>
      <c r="F69" s="31">
        <v>45757</v>
      </c>
      <c r="G69" s="4">
        <v>4633</v>
      </c>
      <c r="H69" s="4" t="s">
        <v>321</v>
      </c>
      <c r="I69" s="4" t="s">
        <v>322</v>
      </c>
      <c r="J69" s="4" t="s">
        <v>160</v>
      </c>
      <c r="K69" s="4" t="s">
        <v>33</v>
      </c>
      <c r="L69" s="4" t="s">
        <v>323</v>
      </c>
      <c r="M69" s="4" t="s">
        <v>66</v>
      </c>
      <c r="N69" s="4" t="s">
        <v>36</v>
      </c>
      <c r="O69" s="4">
        <v>1</v>
      </c>
      <c r="P69" s="112"/>
      <c r="Q69" s="4" t="s">
        <v>324</v>
      </c>
      <c r="R69" s="34">
        <v>45</v>
      </c>
      <c r="S69" s="59">
        <v>320</v>
      </c>
      <c r="T69" s="58">
        <f t="shared" si="3"/>
        <v>365</v>
      </c>
      <c r="U69" s="36">
        <v>45805</v>
      </c>
      <c r="V69" s="34"/>
      <c r="W69" s="122" t="s">
        <v>789</v>
      </c>
      <c r="X69" s="34"/>
    </row>
    <row r="70" spans="1:24" ht="15" thickBot="1">
      <c r="A70" s="4" t="s">
        <v>154</v>
      </c>
      <c r="B70" s="4" t="s">
        <v>155</v>
      </c>
      <c r="C70" s="4">
        <v>616866669</v>
      </c>
      <c r="D70" s="4" t="s">
        <v>156</v>
      </c>
      <c r="E70" s="4" t="s">
        <v>283</v>
      </c>
      <c r="F70" s="31">
        <v>45757</v>
      </c>
      <c r="G70" s="4">
        <v>4634</v>
      </c>
      <c r="H70" s="4" t="s">
        <v>325</v>
      </c>
      <c r="I70" s="50" t="s">
        <v>796</v>
      </c>
      <c r="J70" s="4" t="s">
        <v>160</v>
      </c>
      <c r="K70" s="4" t="s">
        <v>33</v>
      </c>
      <c r="L70" s="4" t="s">
        <v>327</v>
      </c>
      <c r="M70" s="4" t="s">
        <v>328</v>
      </c>
      <c r="N70" s="4" t="s">
        <v>36</v>
      </c>
      <c r="O70" s="4">
        <v>1</v>
      </c>
      <c r="P70" s="112"/>
      <c r="Q70" s="4" t="s">
        <v>797</v>
      </c>
      <c r="R70" s="34">
        <v>45</v>
      </c>
      <c r="S70" s="59">
        <v>535</v>
      </c>
      <c r="T70" s="58">
        <f t="shared" ref="T70:T101" si="5">SUM(R70:S70)</f>
        <v>580</v>
      </c>
      <c r="U70" s="36">
        <v>45814</v>
      </c>
      <c r="V70" s="34"/>
      <c r="W70" s="34"/>
      <c r="X70" s="34"/>
    </row>
    <row r="71" spans="1:24" ht="15" thickBot="1">
      <c r="A71" s="4" t="s">
        <v>154</v>
      </c>
      <c r="B71" s="4" t="s">
        <v>155</v>
      </c>
      <c r="C71" s="4">
        <v>616866669</v>
      </c>
      <c r="D71" s="4" t="s">
        <v>156</v>
      </c>
      <c r="E71" s="4" t="s">
        <v>283</v>
      </c>
      <c r="F71" s="31">
        <v>45757</v>
      </c>
      <c r="G71" s="4">
        <v>4635</v>
      </c>
      <c r="H71" s="4" t="s">
        <v>329</v>
      </c>
      <c r="I71" s="50" t="s">
        <v>798</v>
      </c>
      <c r="J71" s="4" t="s">
        <v>160</v>
      </c>
      <c r="K71" s="4" t="s">
        <v>33</v>
      </c>
      <c r="L71" s="4" t="s">
        <v>319</v>
      </c>
      <c r="M71" s="4" t="s">
        <v>331</v>
      </c>
      <c r="N71" s="4" t="s">
        <v>36</v>
      </c>
      <c r="O71" s="4">
        <v>1</v>
      </c>
      <c r="P71" s="112"/>
      <c r="Q71" s="4" t="s">
        <v>791</v>
      </c>
      <c r="R71" s="34">
        <v>45</v>
      </c>
      <c r="S71" s="59">
        <v>215</v>
      </c>
      <c r="T71" s="58">
        <f t="shared" si="5"/>
        <v>260</v>
      </c>
      <c r="U71" s="36">
        <v>45814</v>
      </c>
      <c r="V71" s="34"/>
      <c r="W71" s="34"/>
      <c r="X71" s="34"/>
    </row>
    <row r="72" spans="1:24" ht="15" thickBot="1">
      <c r="A72" s="4" t="s">
        <v>154</v>
      </c>
      <c r="B72" s="4" t="s">
        <v>155</v>
      </c>
      <c r="C72" s="4">
        <v>616866669</v>
      </c>
      <c r="D72" s="4" t="s">
        <v>156</v>
      </c>
      <c r="E72" s="4" t="s">
        <v>283</v>
      </c>
      <c r="F72" s="31">
        <v>45757</v>
      </c>
      <c r="G72" s="4">
        <v>4636</v>
      </c>
      <c r="H72" s="4" t="s">
        <v>333</v>
      </c>
      <c r="I72" s="50" t="s">
        <v>334</v>
      </c>
      <c r="J72" s="4" t="s">
        <v>160</v>
      </c>
      <c r="K72" s="4" t="s">
        <v>33</v>
      </c>
      <c r="L72" s="4" t="s">
        <v>335</v>
      </c>
      <c r="M72" s="4" t="s">
        <v>55</v>
      </c>
      <c r="N72" s="4" t="s">
        <v>36</v>
      </c>
      <c r="O72" s="4">
        <v>1</v>
      </c>
      <c r="P72" s="112"/>
      <c r="Q72" s="4" t="s">
        <v>55</v>
      </c>
      <c r="R72" s="34">
        <v>45</v>
      </c>
      <c r="S72" s="59">
        <v>163.75</v>
      </c>
      <c r="T72" s="58">
        <f t="shared" si="5"/>
        <v>208.75</v>
      </c>
      <c r="U72" s="36">
        <v>45814</v>
      </c>
      <c r="V72" s="34"/>
      <c r="W72" s="122" t="s">
        <v>789</v>
      </c>
      <c r="X72" s="34"/>
    </row>
    <row r="73" spans="1:24" ht="15" thickBot="1">
      <c r="A73" s="4" t="s">
        <v>154</v>
      </c>
      <c r="B73" s="4" t="s">
        <v>155</v>
      </c>
      <c r="C73" s="4">
        <v>616866669</v>
      </c>
      <c r="D73" s="4" t="s">
        <v>156</v>
      </c>
      <c r="E73" s="4" t="s">
        <v>283</v>
      </c>
      <c r="F73" s="31">
        <v>45757</v>
      </c>
      <c r="G73" s="4">
        <v>4637</v>
      </c>
      <c r="H73" s="4" t="s">
        <v>336</v>
      </c>
      <c r="I73" s="50" t="s">
        <v>337</v>
      </c>
      <c r="J73" s="4" t="s">
        <v>160</v>
      </c>
      <c r="K73" s="4" t="s">
        <v>33</v>
      </c>
      <c r="L73" s="4" t="s">
        <v>338</v>
      </c>
      <c r="M73" s="4" t="s">
        <v>66</v>
      </c>
      <c r="N73" s="4" t="s">
        <v>36</v>
      </c>
      <c r="O73" s="4">
        <v>1</v>
      </c>
      <c r="P73" s="112"/>
      <c r="Q73" s="4" t="s">
        <v>66</v>
      </c>
      <c r="R73" s="34">
        <v>45</v>
      </c>
      <c r="S73" s="59">
        <v>120</v>
      </c>
      <c r="T73" s="58">
        <f t="shared" si="5"/>
        <v>165</v>
      </c>
      <c r="U73" s="36">
        <v>45805</v>
      </c>
      <c r="V73" s="34"/>
      <c r="W73" s="122" t="s">
        <v>789</v>
      </c>
      <c r="X73" s="34"/>
    </row>
    <row r="74" spans="1:24" ht="15" thickBot="1">
      <c r="A74" s="4" t="s">
        <v>154</v>
      </c>
      <c r="B74" s="4" t="s">
        <v>155</v>
      </c>
      <c r="C74" s="4">
        <v>616866669</v>
      </c>
      <c r="D74" s="4" t="s">
        <v>156</v>
      </c>
      <c r="E74" s="4" t="s">
        <v>283</v>
      </c>
      <c r="F74" s="31">
        <v>45757</v>
      </c>
      <c r="G74" s="4">
        <v>4638</v>
      </c>
      <c r="H74" s="4" t="s">
        <v>339</v>
      </c>
      <c r="I74" s="50" t="s">
        <v>340</v>
      </c>
      <c r="J74" s="4" t="s">
        <v>160</v>
      </c>
      <c r="K74" s="4" t="s">
        <v>33</v>
      </c>
      <c r="L74" s="4" t="s">
        <v>341</v>
      </c>
      <c r="M74" s="4" t="s">
        <v>342</v>
      </c>
      <c r="N74" s="4" t="s">
        <v>36</v>
      </c>
      <c r="O74" s="4">
        <v>1</v>
      </c>
      <c r="P74" s="112"/>
      <c r="Q74" s="4" t="s">
        <v>342</v>
      </c>
      <c r="R74" s="34">
        <v>45</v>
      </c>
      <c r="S74" s="59">
        <v>115</v>
      </c>
      <c r="T74" s="58">
        <f t="shared" si="5"/>
        <v>160</v>
      </c>
      <c r="U74" s="36">
        <v>45814</v>
      </c>
      <c r="V74" s="34"/>
      <c r="W74" s="122" t="s">
        <v>789</v>
      </c>
      <c r="X74" s="34"/>
    </row>
    <row r="75" spans="1:24" ht="15" thickBot="1">
      <c r="A75" s="4" t="s">
        <v>154</v>
      </c>
      <c r="B75" s="4" t="s">
        <v>155</v>
      </c>
      <c r="C75" s="4">
        <v>616866669</v>
      </c>
      <c r="D75" s="4" t="s">
        <v>156</v>
      </c>
      <c r="E75" s="4" t="s">
        <v>283</v>
      </c>
      <c r="F75" s="31">
        <v>45757</v>
      </c>
      <c r="G75" s="4">
        <v>4639</v>
      </c>
      <c r="H75" s="4" t="s">
        <v>343</v>
      </c>
      <c r="I75" s="50" t="s">
        <v>344</v>
      </c>
      <c r="J75" s="4" t="s">
        <v>345</v>
      </c>
      <c r="K75" s="4" t="s">
        <v>48</v>
      </c>
      <c r="L75" s="4" t="s">
        <v>346</v>
      </c>
      <c r="M75" s="4" t="s">
        <v>55</v>
      </c>
      <c r="N75" s="4" t="s">
        <v>36</v>
      </c>
      <c r="O75" s="4">
        <v>1</v>
      </c>
      <c r="P75" s="112" t="s">
        <v>347</v>
      </c>
      <c r="Q75" s="4" t="s">
        <v>348</v>
      </c>
      <c r="R75" s="34">
        <v>45</v>
      </c>
      <c r="S75" s="37">
        <v>0</v>
      </c>
      <c r="T75" s="58">
        <f t="shared" si="5"/>
        <v>45</v>
      </c>
      <c r="U75" s="36">
        <v>45821</v>
      </c>
      <c r="V75" s="34"/>
      <c r="W75" s="122" t="s">
        <v>789</v>
      </c>
      <c r="X75" s="34"/>
    </row>
    <row r="76" spans="1:24" ht="15" thickBot="1">
      <c r="A76" s="4" t="s">
        <v>154</v>
      </c>
      <c r="B76" s="4" t="s">
        <v>155</v>
      </c>
      <c r="C76" s="4">
        <v>616866669</v>
      </c>
      <c r="D76" s="4" t="s">
        <v>156</v>
      </c>
      <c r="E76" s="4" t="s">
        <v>283</v>
      </c>
      <c r="F76" s="31">
        <v>45757</v>
      </c>
      <c r="G76" s="4">
        <v>4640</v>
      </c>
      <c r="H76" s="4" t="s">
        <v>349</v>
      </c>
      <c r="I76" s="50" t="s">
        <v>350</v>
      </c>
      <c r="J76" s="4" t="s">
        <v>160</v>
      </c>
      <c r="K76" s="4" t="s">
        <v>33</v>
      </c>
      <c r="L76" s="4" t="s">
        <v>351</v>
      </c>
      <c r="M76" s="4" t="s">
        <v>352</v>
      </c>
      <c r="N76" s="4" t="s">
        <v>36</v>
      </c>
      <c r="O76" s="4">
        <v>1</v>
      </c>
      <c r="P76" s="112" t="s">
        <v>262</v>
      </c>
      <c r="Q76" s="4" t="s">
        <v>352</v>
      </c>
      <c r="R76" s="34">
        <v>45</v>
      </c>
      <c r="S76" s="59">
        <v>78.5</v>
      </c>
      <c r="T76" s="58">
        <f t="shared" si="5"/>
        <v>123.5</v>
      </c>
      <c r="U76" s="36">
        <v>45821</v>
      </c>
      <c r="V76" s="34"/>
      <c r="W76" s="122" t="s">
        <v>789</v>
      </c>
      <c r="X76" s="34"/>
    </row>
    <row r="77" spans="1:24" ht="15" thickBot="1">
      <c r="A77" s="4" t="s">
        <v>154</v>
      </c>
      <c r="B77" s="4" t="s">
        <v>155</v>
      </c>
      <c r="C77" s="4">
        <v>616866669</v>
      </c>
      <c r="D77" s="4" t="s">
        <v>156</v>
      </c>
      <c r="E77" s="4" t="s">
        <v>283</v>
      </c>
      <c r="F77" s="31">
        <v>45757</v>
      </c>
      <c r="G77" s="4">
        <v>4641</v>
      </c>
      <c r="H77" s="4" t="s">
        <v>353</v>
      </c>
      <c r="I77" s="50" t="s">
        <v>354</v>
      </c>
      <c r="J77" s="4" t="s">
        <v>160</v>
      </c>
      <c r="K77" s="4" t="s">
        <v>33</v>
      </c>
      <c r="L77" s="4" t="s">
        <v>355</v>
      </c>
      <c r="M77" s="4" t="s">
        <v>66</v>
      </c>
      <c r="N77" s="4" t="s">
        <v>36</v>
      </c>
      <c r="O77" s="4">
        <v>1</v>
      </c>
      <c r="P77" s="112" t="s">
        <v>356</v>
      </c>
      <c r="Q77" s="4" t="s">
        <v>357</v>
      </c>
      <c r="R77" s="34">
        <v>45</v>
      </c>
      <c r="S77" s="59">
        <v>120</v>
      </c>
      <c r="T77" s="58">
        <f t="shared" si="5"/>
        <v>165</v>
      </c>
      <c r="U77" s="36">
        <v>45805</v>
      </c>
      <c r="V77" s="34"/>
      <c r="W77" s="122" t="s">
        <v>789</v>
      </c>
      <c r="X77" s="34"/>
    </row>
    <row r="78" spans="1:24" ht="15" customHeight="1" thickBot="1">
      <c r="A78" s="4" t="s">
        <v>154</v>
      </c>
      <c r="B78" s="4" t="s">
        <v>155</v>
      </c>
      <c r="C78" s="4">
        <v>616866669</v>
      </c>
      <c r="D78" s="4" t="s">
        <v>156</v>
      </c>
      <c r="E78" s="4" t="s">
        <v>283</v>
      </c>
      <c r="F78" s="31">
        <v>45757</v>
      </c>
      <c r="G78" s="4">
        <v>4642</v>
      </c>
      <c r="H78" s="4" t="s">
        <v>358</v>
      </c>
      <c r="I78" s="50" t="s">
        <v>3748</v>
      </c>
      <c r="J78" s="4" t="s">
        <v>502</v>
      </c>
      <c r="K78" s="4" t="s">
        <v>33</v>
      </c>
      <c r="L78" s="4" t="s">
        <v>360</v>
      </c>
      <c r="M78" s="4" t="s">
        <v>66</v>
      </c>
      <c r="N78" s="4" t="s">
        <v>36</v>
      </c>
      <c r="O78" s="4">
        <v>1</v>
      </c>
      <c r="P78" s="112"/>
      <c r="Q78" s="4" t="s">
        <v>799</v>
      </c>
      <c r="R78" s="34">
        <v>45</v>
      </c>
      <c r="S78" s="59">
        <v>778.75</v>
      </c>
      <c r="T78" s="58">
        <f t="shared" si="5"/>
        <v>823.75</v>
      </c>
      <c r="U78" s="36">
        <v>45814</v>
      </c>
      <c r="V78" s="34"/>
      <c r="W78" s="34"/>
      <c r="X78" s="34"/>
    </row>
    <row r="79" spans="1:24" ht="15" thickBot="1">
      <c r="A79" s="4" t="s">
        <v>154</v>
      </c>
      <c r="B79" s="4" t="s">
        <v>155</v>
      </c>
      <c r="C79" s="4">
        <v>616866669</v>
      </c>
      <c r="D79" s="4" t="s">
        <v>156</v>
      </c>
      <c r="E79" s="4" t="s">
        <v>283</v>
      </c>
      <c r="F79" s="31">
        <v>45757</v>
      </c>
      <c r="G79" s="4">
        <v>4643</v>
      </c>
      <c r="H79" s="4" t="s">
        <v>362</v>
      </c>
      <c r="I79" s="50" t="s">
        <v>363</v>
      </c>
      <c r="J79" s="4" t="s">
        <v>160</v>
      </c>
      <c r="K79" s="4" t="s">
        <v>33</v>
      </c>
      <c r="L79" s="4" t="s">
        <v>364</v>
      </c>
      <c r="M79" s="4" t="s">
        <v>365</v>
      </c>
      <c r="N79" s="4" t="s">
        <v>36</v>
      </c>
      <c r="O79" s="4">
        <v>1</v>
      </c>
      <c r="P79" s="112" t="s">
        <v>366</v>
      </c>
      <c r="Q79" s="4" t="s">
        <v>800</v>
      </c>
      <c r="R79" s="34">
        <v>45</v>
      </c>
      <c r="S79" s="59">
        <v>335</v>
      </c>
      <c r="T79" s="58">
        <f t="shared" si="5"/>
        <v>380</v>
      </c>
      <c r="U79" s="36">
        <v>45898</v>
      </c>
      <c r="V79" s="34"/>
      <c r="W79" s="122" t="s">
        <v>789</v>
      </c>
      <c r="X79" s="45" t="s">
        <v>169</v>
      </c>
    </row>
    <row r="80" spans="1:24" ht="15" thickBot="1">
      <c r="A80" s="4" t="s">
        <v>25</v>
      </c>
      <c r="B80" s="4" t="s">
        <v>26</v>
      </c>
      <c r="C80" s="4" t="s">
        <v>27</v>
      </c>
      <c r="D80" s="4" t="s">
        <v>28</v>
      </c>
      <c r="E80" s="4" t="s">
        <v>195</v>
      </c>
      <c r="F80" s="31">
        <v>45757</v>
      </c>
      <c r="G80" s="4">
        <v>4644</v>
      </c>
      <c r="H80" s="4" t="s">
        <v>368</v>
      </c>
      <c r="I80" s="50" t="s">
        <v>369</v>
      </c>
      <c r="J80" s="4" t="s">
        <v>201</v>
      </c>
      <c r="K80" s="4" t="s">
        <v>48</v>
      </c>
      <c r="L80" s="4" t="s">
        <v>351</v>
      </c>
      <c r="M80" s="4" t="s">
        <v>352</v>
      </c>
      <c r="N80" s="4" t="s">
        <v>36</v>
      </c>
      <c r="O80" s="4">
        <v>1</v>
      </c>
      <c r="P80" s="112" t="s">
        <v>262</v>
      </c>
      <c r="Q80" s="4" t="s">
        <v>352</v>
      </c>
      <c r="R80" s="34">
        <v>45</v>
      </c>
      <c r="S80" s="59">
        <v>119</v>
      </c>
      <c r="T80" s="58">
        <f t="shared" si="5"/>
        <v>164</v>
      </c>
      <c r="U80" s="36">
        <v>45821</v>
      </c>
      <c r="V80" s="34"/>
      <c r="W80" s="122" t="s">
        <v>789</v>
      </c>
      <c r="X80" s="34"/>
    </row>
    <row r="81" spans="1:24" ht="15" thickBot="1">
      <c r="A81" s="4" t="s">
        <v>25</v>
      </c>
      <c r="B81" s="4" t="s">
        <v>26</v>
      </c>
      <c r="C81" s="4" t="s">
        <v>27</v>
      </c>
      <c r="D81" s="4" t="s">
        <v>28</v>
      </c>
      <c r="E81" s="4" t="s">
        <v>195</v>
      </c>
      <c r="F81" s="31">
        <v>45757</v>
      </c>
      <c r="G81" s="4">
        <v>4645</v>
      </c>
      <c r="H81" s="4" t="s">
        <v>370</v>
      </c>
      <c r="I81" s="50" t="s">
        <v>371</v>
      </c>
      <c r="J81" s="4" t="s">
        <v>160</v>
      </c>
      <c r="K81" s="4" t="s">
        <v>33</v>
      </c>
      <c r="L81" s="4" t="s">
        <v>241</v>
      </c>
      <c r="M81" s="4" t="s">
        <v>55</v>
      </c>
      <c r="N81" s="4" t="s">
        <v>36</v>
      </c>
      <c r="O81" s="4">
        <v>1</v>
      </c>
      <c r="P81" s="112"/>
      <c r="Q81" s="4" t="s">
        <v>55</v>
      </c>
      <c r="R81" s="34">
        <v>45</v>
      </c>
      <c r="S81" s="59">
        <v>335</v>
      </c>
      <c r="T81" s="58">
        <f t="shared" si="5"/>
        <v>380</v>
      </c>
      <c r="U81" s="36">
        <v>45805</v>
      </c>
      <c r="V81" s="34"/>
      <c r="W81" s="122" t="s">
        <v>789</v>
      </c>
      <c r="X81" s="34"/>
    </row>
    <row r="82" spans="1:24" ht="15" thickBot="1">
      <c r="A82" s="4" t="s">
        <v>25</v>
      </c>
      <c r="B82" s="4" t="s">
        <v>26</v>
      </c>
      <c r="C82" s="4" t="s">
        <v>27</v>
      </c>
      <c r="D82" s="4" t="s">
        <v>28</v>
      </c>
      <c r="E82" s="4" t="s">
        <v>195</v>
      </c>
      <c r="F82" s="31">
        <v>45757</v>
      </c>
      <c r="G82" s="4">
        <v>4646</v>
      </c>
      <c r="H82" s="4" t="s">
        <v>372</v>
      </c>
      <c r="I82" s="50" t="s">
        <v>373</v>
      </c>
      <c r="J82" s="4" t="s">
        <v>374</v>
      </c>
      <c r="K82" s="4" t="s">
        <v>33</v>
      </c>
      <c r="L82" s="4" t="s">
        <v>375</v>
      </c>
      <c r="M82" s="4" t="s">
        <v>376</v>
      </c>
      <c r="N82" s="4" t="s">
        <v>36</v>
      </c>
      <c r="O82" s="4">
        <v>1</v>
      </c>
      <c r="P82" s="112"/>
      <c r="Q82" s="4" t="s">
        <v>376</v>
      </c>
      <c r="R82" s="34">
        <v>45</v>
      </c>
      <c r="S82" s="59">
        <v>220</v>
      </c>
      <c r="T82" s="58">
        <f t="shared" si="5"/>
        <v>265</v>
      </c>
      <c r="U82" s="36">
        <v>45805</v>
      </c>
      <c r="V82" s="34"/>
      <c r="W82" s="122" t="s">
        <v>789</v>
      </c>
      <c r="X82" s="34"/>
    </row>
    <row r="83" spans="1:24" ht="15" thickBot="1">
      <c r="A83" s="4" t="s">
        <v>25</v>
      </c>
      <c r="B83" s="4" t="s">
        <v>26</v>
      </c>
      <c r="C83" s="4" t="s">
        <v>27</v>
      </c>
      <c r="D83" s="4" t="s">
        <v>28</v>
      </c>
      <c r="E83" s="4" t="s">
        <v>195</v>
      </c>
      <c r="F83" s="31">
        <v>45757</v>
      </c>
      <c r="G83" s="4">
        <v>4647</v>
      </c>
      <c r="H83" s="4" t="s">
        <v>377</v>
      </c>
      <c r="I83" s="50" t="s">
        <v>378</v>
      </c>
      <c r="J83" s="4" t="s">
        <v>379</v>
      </c>
      <c r="K83" s="4" t="s">
        <v>48</v>
      </c>
      <c r="L83" s="4" t="s">
        <v>241</v>
      </c>
      <c r="M83" s="4" t="s">
        <v>55</v>
      </c>
      <c r="N83" s="4" t="s">
        <v>36</v>
      </c>
      <c r="O83" s="4">
        <v>1</v>
      </c>
      <c r="P83" s="112"/>
      <c r="Q83" s="4" t="s">
        <v>55</v>
      </c>
      <c r="R83" s="34">
        <v>45</v>
      </c>
      <c r="S83" s="37">
        <v>0</v>
      </c>
      <c r="T83" s="58">
        <f t="shared" si="5"/>
        <v>45</v>
      </c>
      <c r="U83" s="36">
        <v>45805</v>
      </c>
      <c r="V83" s="34"/>
      <c r="W83" s="122" t="s">
        <v>789</v>
      </c>
      <c r="X83" s="34"/>
    </row>
    <row r="84" spans="1:24" ht="15" thickBot="1">
      <c r="A84" s="4" t="s">
        <v>25</v>
      </c>
      <c r="B84" s="4" t="s">
        <v>26</v>
      </c>
      <c r="C84" s="4" t="s">
        <v>27</v>
      </c>
      <c r="D84" s="4" t="s">
        <v>28</v>
      </c>
      <c r="E84" s="4" t="s">
        <v>195</v>
      </c>
      <c r="F84" s="31">
        <v>45757</v>
      </c>
      <c r="G84" s="4">
        <v>4648</v>
      </c>
      <c r="H84" s="4" t="s">
        <v>380</v>
      </c>
      <c r="I84" s="50" t="s">
        <v>381</v>
      </c>
      <c r="J84" s="4" t="s">
        <v>382</v>
      </c>
      <c r="K84" s="4" t="s">
        <v>33</v>
      </c>
      <c r="L84" s="4" t="s">
        <v>383</v>
      </c>
      <c r="M84" s="4" t="s">
        <v>384</v>
      </c>
      <c r="N84" s="4" t="s">
        <v>36</v>
      </c>
      <c r="O84" s="4">
        <v>1</v>
      </c>
      <c r="P84" s="112"/>
      <c r="Q84" s="4" t="s">
        <v>385</v>
      </c>
      <c r="R84" s="34">
        <v>45</v>
      </c>
      <c r="S84" s="59">
        <v>115</v>
      </c>
      <c r="T84" s="58">
        <f t="shared" si="5"/>
        <v>160</v>
      </c>
      <c r="U84" s="36">
        <v>45805</v>
      </c>
      <c r="V84" s="34"/>
      <c r="W84" s="122" t="s">
        <v>789</v>
      </c>
      <c r="X84" s="34"/>
    </row>
    <row r="85" spans="1:24" ht="15" thickBot="1">
      <c r="A85" s="4" t="s">
        <v>25</v>
      </c>
      <c r="B85" s="4" t="s">
        <v>26</v>
      </c>
      <c r="C85" s="4" t="s">
        <v>27</v>
      </c>
      <c r="D85" s="4" t="s">
        <v>28</v>
      </c>
      <c r="E85" s="4" t="s">
        <v>195</v>
      </c>
      <c r="F85" s="31">
        <v>45757</v>
      </c>
      <c r="G85" s="4">
        <v>4649</v>
      </c>
      <c r="H85" s="4" t="s">
        <v>386</v>
      </c>
      <c r="I85" s="50" t="s">
        <v>387</v>
      </c>
      <c r="J85" s="4" t="s">
        <v>382</v>
      </c>
      <c r="K85" s="4" t="s">
        <v>33</v>
      </c>
      <c r="L85" s="4" t="s">
        <v>213</v>
      </c>
      <c r="M85" s="4" t="s">
        <v>55</v>
      </c>
      <c r="N85" s="4" t="s">
        <v>36</v>
      </c>
      <c r="O85" s="4">
        <v>1</v>
      </c>
      <c r="P85" s="112" t="s">
        <v>267</v>
      </c>
      <c r="Q85" s="4" t="s">
        <v>55</v>
      </c>
      <c r="R85" s="34">
        <v>45</v>
      </c>
      <c r="S85" s="59">
        <v>106.61</v>
      </c>
      <c r="T85" s="58">
        <f t="shared" si="5"/>
        <v>151.61000000000001</v>
      </c>
      <c r="U85" s="36">
        <v>45821</v>
      </c>
      <c r="V85" s="34"/>
      <c r="W85" s="122" t="s">
        <v>789</v>
      </c>
      <c r="X85" s="34"/>
    </row>
    <row r="86" spans="1:24" ht="15" thickBot="1">
      <c r="A86" s="4" t="s">
        <v>25</v>
      </c>
      <c r="B86" s="4" t="s">
        <v>26</v>
      </c>
      <c r="C86" s="4" t="s">
        <v>27</v>
      </c>
      <c r="D86" s="4" t="s">
        <v>28</v>
      </c>
      <c r="E86" s="4" t="s">
        <v>195</v>
      </c>
      <c r="F86" s="31">
        <v>45757</v>
      </c>
      <c r="G86" s="4">
        <v>4650</v>
      </c>
      <c r="H86" s="4" t="s">
        <v>388</v>
      </c>
      <c r="I86" s="50" t="s">
        <v>389</v>
      </c>
      <c r="J86" s="4" t="s">
        <v>382</v>
      </c>
      <c r="K86" s="4" t="s">
        <v>33</v>
      </c>
      <c r="L86" s="4" t="s">
        <v>213</v>
      </c>
      <c r="M86" s="4" t="s">
        <v>390</v>
      </c>
      <c r="N86" s="4" t="s">
        <v>36</v>
      </c>
      <c r="O86" s="4">
        <v>1</v>
      </c>
      <c r="P86" s="112"/>
      <c r="Q86" s="4" t="s">
        <v>390</v>
      </c>
      <c r="R86" s="34">
        <v>45</v>
      </c>
      <c r="S86" s="59">
        <v>283.75</v>
      </c>
      <c r="T86" s="58">
        <f t="shared" si="5"/>
        <v>328.75</v>
      </c>
      <c r="U86" s="36">
        <v>45805</v>
      </c>
      <c r="V86" s="34"/>
      <c r="W86" s="122" t="s">
        <v>789</v>
      </c>
      <c r="X86" s="34"/>
    </row>
    <row r="87" spans="1:24" ht="15" thickBot="1">
      <c r="A87" s="4" t="s">
        <v>25</v>
      </c>
      <c r="B87" s="4" t="s">
        <v>26</v>
      </c>
      <c r="C87" s="4" t="s">
        <v>27</v>
      </c>
      <c r="D87" s="4" t="s">
        <v>28</v>
      </c>
      <c r="E87" s="4" t="s">
        <v>195</v>
      </c>
      <c r="F87" s="31">
        <v>45757</v>
      </c>
      <c r="G87" s="4">
        <v>4651</v>
      </c>
      <c r="H87" s="4" t="s">
        <v>391</v>
      </c>
      <c r="I87" s="50" t="s">
        <v>392</v>
      </c>
      <c r="J87" s="4" t="s">
        <v>345</v>
      </c>
      <c r="K87" s="4" t="s">
        <v>48</v>
      </c>
      <c r="L87" s="4" t="s">
        <v>393</v>
      </c>
      <c r="M87" s="4" t="s">
        <v>66</v>
      </c>
      <c r="N87" s="4" t="s">
        <v>36</v>
      </c>
      <c r="O87" s="4">
        <v>1</v>
      </c>
      <c r="P87" s="112"/>
      <c r="Q87" s="4" t="s">
        <v>66</v>
      </c>
      <c r="R87" s="34">
        <v>45</v>
      </c>
      <c r="S87" s="37">
        <v>0</v>
      </c>
      <c r="T87" s="58">
        <f t="shared" si="5"/>
        <v>45</v>
      </c>
      <c r="U87" s="36">
        <v>45805</v>
      </c>
      <c r="V87" s="34"/>
      <c r="W87" s="122" t="s">
        <v>789</v>
      </c>
      <c r="X87" s="34"/>
    </row>
    <row r="88" spans="1:24" ht="19.5" customHeight="1" thickBot="1">
      <c r="A88" s="4" t="s">
        <v>25</v>
      </c>
      <c r="B88" s="4" t="s">
        <v>26</v>
      </c>
      <c r="C88" s="4" t="s">
        <v>27</v>
      </c>
      <c r="D88" s="64" t="s">
        <v>28</v>
      </c>
      <c r="E88" s="4" t="s">
        <v>195</v>
      </c>
      <c r="F88" s="31">
        <v>45839</v>
      </c>
      <c r="G88" s="4" t="s">
        <v>394</v>
      </c>
      <c r="H88" s="4" t="s">
        <v>395</v>
      </c>
      <c r="I88" s="50" t="s">
        <v>396</v>
      </c>
      <c r="J88" s="4" t="s">
        <v>397</v>
      </c>
      <c r="K88" s="4" t="s">
        <v>48</v>
      </c>
      <c r="L88" s="4" t="s">
        <v>210</v>
      </c>
      <c r="M88" s="4" t="s">
        <v>194</v>
      </c>
      <c r="N88" s="4" t="s">
        <v>36</v>
      </c>
      <c r="O88" s="4">
        <v>1</v>
      </c>
      <c r="P88" s="112" t="s">
        <v>398</v>
      </c>
      <c r="Q88" s="4" t="s">
        <v>194</v>
      </c>
      <c r="R88" s="34">
        <v>45</v>
      </c>
      <c r="S88" s="37">
        <v>0</v>
      </c>
      <c r="T88" s="58">
        <f t="shared" si="5"/>
        <v>45</v>
      </c>
      <c r="U88" s="36">
        <v>45805</v>
      </c>
      <c r="V88" s="34"/>
      <c r="W88" s="122" t="s">
        <v>789</v>
      </c>
      <c r="X88" s="34" t="s">
        <v>399</v>
      </c>
    </row>
    <row r="89" spans="1:24" ht="15" thickBot="1">
      <c r="A89" s="4" t="s">
        <v>25</v>
      </c>
      <c r="B89" s="4" t="s">
        <v>26</v>
      </c>
      <c r="C89" s="4" t="s">
        <v>27</v>
      </c>
      <c r="D89" s="4" t="s">
        <v>28</v>
      </c>
      <c r="E89" s="4" t="s">
        <v>195</v>
      </c>
      <c r="F89" s="31">
        <v>45757</v>
      </c>
      <c r="G89" s="4">
        <v>4653</v>
      </c>
      <c r="H89" s="4" t="s">
        <v>400</v>
      </c>
      <c r="I89" s="50" t="s">
        <v>401</v>
      </c>
      <c r="J89" s="4" t="s">
        <v>160</v>
      </c>
      <c r="K89" s="4" t="s">
        <v>33</v>
      </c>
      <c r="L89" s="4" t="s">
        <v>402</v>
      </c>
      <c r="M89" s="4" t="s">
        <v>55</v>
      </c>
      <c r="N89" s="4" t="s">
        <v>36</v>
      </c>
      <c r="O89" s="4">
        <v>1</v>
      </c>
      <c r="P89" s="112" t="s">
        <v>262</v>
      </c>
      <c r="Q89" s="4" t="s">
        <v>55</v>
      </c>
      <c r="R89" s="34">
        <v>45</v>
      </c>
      <c r="S89" s="59">
        <v>132</v>
      </c>
      <c r="T89" s="58">
        <f t="shared" si="5"/>
        <v>177</v>
      </c>
      <c r="U89" s="36">
        <v>45821</v>
      </c>
      <c r="V89" s="34"/>
      <c r="W89" s="122" t="s">
        <v>789</v>
      </c>
      <c r="X89" s="34"/>
    </row>
    <row r="90" spans="1:24" ht="15" thickBot="1">
      <c r="A90" s="4" t="s">
        <v>25</v>
      </c>
      <c r="B90" s="4" t="s">
        <v>26</v>
      </c>
      <c r="C90" s="4" t="s">
        <v>27</v>
      </c>
      <c r="D90" s="4" t="s">
        <v>28</v>
      </c>
      <c r="E90" s="4" t="s">
        <v>29</v>
      </c>
      <c r="F90" s="31">
        <v>45761</v>
      </c>
      <c r="G90" s="4">
        <v>4654</v>
      </c>
      <c r="H90" s="4" t="s">
        <v>403</v>
      </c>
      <c r="I90" s="50" t="s">
        <v>404</v>
      </c>
      <c r="J90" s="4" t="s">
        <v>160</v>
      </c>
      <c r="K90" s="4" t="s">
        <v>33</v>
      </c>
      <c r="L90" s="4" t="s">
        <v>405</v>
      </c>
      <c r="M90" s="4" t="s">
        <v>406</v>
      </c>
      <c r="N90" s="4" t="s">
        <v>36</v>
      </c>
      <c r="O90" s="4">
        <v>1</v>
      </c>
      <c r="P90" s="112"/>
      <c r="Q90" s="4" t="s">
        <v>407</v>
      </c>
      <c r="R90" s="34">
        <v>45</v>
      </c>
      <c r="S90" s="59">
        <v>243.75</v>
      </c>
      <c r="T90" s="58">
        <f t="shared" si="5"/>
        <v>288.75</v>
      </c>
      <c r="U90" s="36">
        <v>45814</v>
      </c>
      <c r="V90" s="34"/>
      <c r="W90" s="122" t="s">
        <v>789</v>
      </c>
      <c r="X90" s="34"/>
    </row>
    <row r="91" spans="1:24" ht="15" thickBot="1">
      <c r="A91" s="4" t="s">
        <v>25</v>
      </c>
      <c r="B91" s="4" t="s">
        <v>26</v>
      </c>
      <c r="C91" s="4" t="s">
        <v>27</v>
      </c>
      <c r="D91" s="64" t="s">
        <v>28</v>
      </c>
      <c r="E91" s="4" t="s">
        <v>29</v>
      </c>
      <c r="F91" s="31">
        <v>45761</v>
      </c>
      <c r="G91" s="4">
        <v>4656</v>
      </c>
      <c r="H91" s="4" t="s">
        <v>408</v>
      </c>
      <c r="I91" s="50" t="s">
        <v>409</v>
      </c>
      <c r="J91" s="4" t="s">
        <v>160</v>
      </c>
      <c r="K91" s="4" t="s">
        <v>33</v>
      </c>
      <c r="L91" s="4" t="s">
        <v>405</v>
      </c>
      <c r="M91" s="4" t="s">
        <v>55</v>
      </c>
      <c r="N91" s="4" t="s">
        <v>36</v>
      </c>
      <c r="O91" s="4">
        <v>1</v>
      </c>
      <c r="P91" s="112"/>
      <c r="Q91" s="4" t="s">
        <v>55</v>
      </c>
      <c r="R91" s="34">
        <v>45</v>
      </c>
      <c r="S91" s="59">
        <v>163.75</v>
      </c>
      <c r="T91" s="58">
        <f t="shared" si="5"/>
        <v>208.75</v>
      </c>
      <c r="U91" s="36">
        <v>45805</v>
      </c>
      <c r="V91" s="34"/>
      <c r="W91" s="122" t="s">
        <v>789</v>
      </c>
      <c r="X91" s="34"/>
    </row>
    <row r="92" spans="1:24" ht="15" thickBot="1">
      <c r="A92" s="4" t="s">
        <v>25</v>
      </c>
      <c r="B92" s="4" t="s">
        <v>26</v>
      </c>
      <c r="C92" s="4" t="s">
        <v>27</v>
      </c>
      <c r="D92" s="4" t="s">
        <v>28</v>
      </c>
      <c r="E92" s="4" t="s">
        <v>29</v>
      </c>
      <c r="F92" s="31">
        <v>45761</v>
      </c>
      <c r="G92" s="4">
        <v>4657</v>
      </c>
      <c r="H92" s="4" t="s">
        <v>410</v>
      </c>
      <c r="I92" s="50" t="s">
        <v>411</v>
      </c>
      <c r="J92" s="4" t="s">
        <v>160</v>
      </c>
      <c r="K92" s="4" t="s">
        <v>33</v>
      </c>
      <c r="L92" s="4" t="s">
        <v>412</v>
      </c>
      <c r="M92" s="4" t="s">
        <v>194</v>
      </c>
      <c r="N92" s="4" t="s">
        <v>36</v>
      </c>
      <c r="O92" s="4">
        <v>1</v>
      </c>
      <c r="P92" s="112" t="s">
        <v>413</v>
      </c>
      <c r="Q92" s="4" t="s">
        <v>194</v>
      </c>
      <c r="R92" s="34">
        <v>45</v>
      </c>
      <c r="S92" s="59">
        <v>52</v>
      </c>
      <c r="T92" s="58">
        <f t="shared" si="5"/>
        <v>97</v>
      </c>
      <c r="U92" s="36">
        <v>45821</v>
      </c>
      <c r="V92" s="34"/>
      <c r="W92" s="122" t="s">
        <v>789</v>
      </c>
      <c r="X92" s="34"/>
    </row>
    <row r="93" spans="1:24" ht="15" thickBot="1">
      <c r="A93" s="4" t="s">
        <v>25</v>
      </c>
      <c r="B93" s="4" t="s">
        <v>26</v>
      </c>
      <c r="C93" s="4" t="s">
        <v>27</v>
      </c>
      <c r="D93" s="4" t="s">
        <v>28</v>
      </c>
      <c r="E93" s="4" t="s">
        <v>29</v>
      </c>
      <c r="F93" s="31">
        <v>45761</v>
      </c>
      <c r="G93" s="4">
        <v>4658</v>
      </c>
      <c r="H93" s="4" t="s">
        <v>414</v>
      </c>
      <c r="I93" s="50" t="s">
        <v>801</v>
      </c>
      <c r="J93" s="4" t="s">
        <v>160</v>
      </c>
      <c r="K93" s="4" t="s">
        <v>33</v>
      </c>
      <c r="L93" s="4" t="s">
        <v>173</v>
      </c>
      <c r="M93" s="4" t="s">
        <v>416</v>
      </c>
      <c r="N93" s="4" t="s">
        <v>36</v>
      </c>
      <c r="O93" s="4">
        <v>1</v>
      </c>
      <c r="P93" s="112"/>
      <c r="Q93" s="4" t="s">
        <v>791</v>
      </c>
      <c r="R93" s="34">
        <v>45</v>
      </c>
      <c r="S93" s="59">
        <v>215</v>
      </c>
      <c r="T93" s="58">
        <f t="shared" si="5"/>
        <v>260</v>
      </c>
      <c r="U93" s="36">
        <v>45814</v>
      </c>
      <c r="V93" s="34"/>
      <c r="W93" s="34"/>
      <c r="X93" s="34"/>
    </row>
    <row r="94" spans="1:24" ht="15" thickBot="1">
      <c r="A94" s="4" t="s">
        <v>25</v>
      </c>
      <c r="B94" s="4" t="s">
        <v>26</v>
      </c>
      <c r="C94" s="4" t="s">
        <v>27</v>
      </c>
      <c r="D94" s="4" t="s">
        <v>28</v>
      </c>
      <c r="E94" s="4" t="s">
        <v>29</v>
      </c>
      <c r="F94" s="31">
        <v>45761</v>
      </c>
      <c r="G94" s="4">
        <v>4659</v>
      </c>
      <c r="H94" s="4" t="s">
        <v>417</v>
      </c>
      <c r="I94" s="50" t="s">
        <v>802</v>
      </c>
      <c r="J94" s="4" t="s">
        <v>160</v>
      </c>
      <c r="K94" s="4" t="s">
        <v>33</v>
      </c>
      <c r="L94" s="4" t="s">
        <v>419</v>
      </c>
      <c r="M94" s="4" t="s">
        <v>251</v>
      </c>
      <c r="N94" s="4" t="s">
        <v>36</v>
      </c>
      <c r="O94" s="4">
        <v>1</v>
      </c>
      <c r="P94" s="112"/>
      <c r="Q94" s="4" t="s">
        <v>791</v>
      </c>
      <c r="R94" s="34">
        <v>45</v>
      </c>
      <c r="S94" s="59">
        <v>215</v>
      </c>
      <c r="T94" s="58">
        <f t="shared" si="5"/>
        <v>260</v>
      </c>
      <c r="U94" s="36">
        <v>45814</v>
      </c>
      <c r="V94" s="34"/>
      <c r="W94" s="34"/>
      <c r="X94" s="34"/>
    </row>
    <row r="95" spans="1:24" ht="15" thickBot="1">
      <c r="A95" s="4" t="s">
        <v>25</v>
      </c>
      <c r="B95" s="4" t="s">
        <v>26</v>
      </c>
      <c r="C95" s="4" t="s">
        <v>27</v>
      </c>
      <c r="D95" s="4" t="s">
        <v>28</v>
      </c>
      <c r="E95" s="4" t="s">
        <v>29</v>
      </c>
      <c r="F95" s="31">
        <v>45761</v>
      </c>
      <c r="G95" s="4">
        <v>4660</v>
      </c>
      <c r="H95" s="4" t="s">
        <v>421</v>
      </c>
      <c r="I95" s="50" t="s">
        <v>422</v>
      </c>
      <c r="J95" s="4" t="s">
        <v>160</v>
      </c>
      <c r="K95" s="4" t="s">
        <v>33</v>
      </c>
      <c r="L95" s="4" t="s">
        <v>419</v>
      </c>
      <c r="M95" s="4" t="s">
        <v>423</v>
      </c>
      <c r="N95" s="4" t="s">
        <v>36</v>
      </c>
      <c r="O95" s="4">
        <v>1</v>
      </c>
      <c r="P95" s="112"/>
      <c r="Q95" s="4" t="s">
        <v>423</v>
      </c>
      <c r="R95" s="34">
        <v>45</v>
      </c>
      <c r="S95" s="59">
        <v>80</v>
      </c>
      <c r="T95" s="58">
        <f t="shared" si="5"/>
        <v>125</v>
      </c>
      <c r="U95" s="36">
        <v>45814</v>
      </c>
      <c r="V95" s="34"/>
      <c r="W95" s="122" t="s">
        <v>789</v>
      </c>
      <c r="X95" s="34"/>
    </row>
    <row r="96" spans="1:24" ht="15" thickBot="1">
      <c r="A96" s="4" t="s">
        <v>25</v>
      </c>
      <c r="B96" s="4" t="s">
        <v>26</v>
      </c>
      <c r="C96" s="4" t="s">
        <v>27</v>
      </c>
      <c r="D96" s="4" t="s">
        <v>28</v>
      </c>
      <c r="E96" s="4" t="s">
        <v>29</v>
      </c>
      <c r="F96" s="31">
        <v>45761</v>
      </c>
      <c r="G96" s="4">
        <v>4661</v>
      </c>
      <c r="H96" s="4" t="s">
        <v>424</v>
      </c>
      <c r="I96" s="50" t="s">
        <v>425</v>
      </c>
      <c r="J96" s="4" t="s">
        <v>160</v>
      </c>
      <c r="K96" s="4" t="s">
        <v>33</v>
      </c>
      <c r="L96" s="4" t="s">
        <v>405</v>
      </c>
      <c r="M96" s="4" t="s">
        <v>55</v>
      </c>
      <c r="N96" s="4" t="s">
        <v>36</v>
      </c>
      <c r="O96" s="4">
        <v>1</v>
      </c>
      <c r="P96" s="112"/>
      <c r="Q96" s="4" t="s">
        <v>55</v>
      </c>
      <c r="R96" s="34">
        <v>45</v>
      </c>
      <c r="S96" s="63">
        <v>163.75</v>
      </c>
      <c r="T96" s="58">
        <f t="shared" si="5"/>
        <v>208.75</v>
      </c>
      <c r="U96" s="36">
        <v>45805</v>
      </c>
      <c r="V96" s="34"/>
      <c r="W96" s="122" t="s">
        <v>789</v>
      </c>
      <c r="X96" s="34"/>
    </row>
    <row r="97" spans="1:24" ht="15" thickBot="1">
      <c r="A97" s="4" t="s">
        <v>25</v>
      </c>
      <c r="B97" s="4" t="s">
        <v>26</v>
      </c>
      <c r="C97" s="4" t="s">
        <v>27</v>
      </c>
      <c r="D97" s="4" t="s">
        <v>28</v>
      </c>
      <c r="E97" s="4" t="s">
        <v>29</v>
      </c>
      <c r="F97" s="31">
        <v>45761</v>
      </c>
      <c r="G97" s="4">
        <v>4662</v>
      </c>
      <c r="H97" s="4" t="s">
        <v>426</v>
      </c>
      <c r="I97" s="50" t="s">
        <v>427</v>
      </c>
      <c r="J97" s="4" t="s">
        <v>379</v>
      </c>
      <c r="K97" s="4" t="s">
        <v>48</v>
      </c>
      <c r="L97" s="4" t="s">
        <v>429</v>
      </c>
      <c r="M97" s="4" t="s">
        <v>117</v>
      </c>
      <c r="N97" s="4" t="s">
        <v>36</v>
      </c>
      <c r="O97" s="4">
        <v>1</v>
      </c>
      <c r="P97" s="112" t="s">
        <v>347</v>
      </c>
      <c r="Q97" s="4" t="s">
        <v>117</v>
      </c>
      <c r="R97" s="34">
        <v>45</v>
      </c>
      <c r="S97" s="37">
        <v>0</v>
      </c>
      <c r="T97" s="58">
        <f t="shared" si="5"/>
        <v>45</v>
      </c>
      <c r="U97" s="36">
        <v>45821</v>
      </c>
      <c r="V97" s="34"/>
      <c r="W97" s="122" t="s">
        <v>789</v>
      </c>
      <c r="X97" s="34"/>
    </row>
    <row r="98" spans="1:24" ht="15" thickBot="1">
      <c r="A98" s="4" t="s">
        <v>25</v>
      </c>
      <c r="B98" s="4" t="s">
        <v>26</v>
      </c>
      <c r="C98" s="4" t="s">
        <v>27</v>
      </c>
      <c r="D98" s="4" t="s">
        <v>28</v>
      </c>
      <c r="E98" s="4" t="s">
        <v>29</v>
      </c>
      <c r="F98" s="31">
        <v>45761</v>
      </c>
      <c r="G98" s="4">
        <v>4663</v>
      </c>
      <c r="H98" s="4" t="s">
        <v>430</v>
      </c>
      <c r="I98" s="50" t="s">
        <v>431</v>
      </c>
      <c r="J98" s="4" t="s">
        <v>382</v>
      </c>
      <c r="K98" s="4" t="s">
        <v>33</v>
      </c>
      <c r="L98" s="4" t="s">
        <v>419</v>
      </c>
      <c r="M98" s="4" t="s">
        <v>66</v>
      </c>
      <c r="N98" s="4" t="s">
        <v>36</v>
      </c>
      <c r="O98" s="4">
        <v>1</v>
      </c>
      <c r="P98" s="112"/>
      <c r="Q98" s="4" t="s">
        <v>66</v>
      </c>
      <c r="R98" s="34">
        <v>45</v>
      </c>
      <c r="S98" s="63" t="s">
        <v>282</v>
      </c>
      <c r="T98" s="58">
        <f t="shared" si="5"/>
        <v>45</v>
      </c>
      <c r="U98" s="36">
        <v>45805</v>
      </c>
      <c r="V98" s="34"/>
      <c r="W98" s="122" t="s">
        <v>789</v>
      </c>
      <c r="X98" s="34"/>
    </row>
    <row r="99" spans="1:24" ht="15" thickBot="1">
      <c r="A99" s="4" t="s">
        <v>25</v>
      </c>
      <c r="B99" s="4" t="s">
        <v>26</v>
      </c>
      <c r="C99" s="4" t="s">
        <v>27</v>
      </c>
      <c r="D99" s="4" t="s">
        <v>28</v>
      </c>
      <c r="E99" s="4" t="s">
        <v>29</v>
      </c>
      <c r="F99" s="31">
        <v>45761</v>
      </c>
      <c r="G99" s="4">
        <v>4664</v>
      </c>
      <c r="H99" s="4" t="s">
        <v>433</v>
      </c>
      <c r="I99" s="50" t="s">
        <v>434</v>
      </c>
      <c r="J99" s="4" t="s">
        <v>382</v>
      </c>
      <c r="K99" s="4" t="s">
        <v>33</v>
      </c>
      <c r="L99" s="4" t="s">
        <v>405</v>
      </c>
      <c r="M99" s="4" t="s">
        <v>348</v>
      </c>
      <c r="N99" s="4" t="s">
        <v>36</v>
      </c>
      <c r="O99" s="4">
        <v>1</v>
      </c>
      <c r="P99" s="112"/>
      <c r="Q99" s="4" t="s">
        <v>348</v>
      </c>
      <c r="R99" s="34">
        <v>45</v>
      </c>
      <c r="S99" s="59">
        <v>163.75</v>
      </c>
      <c r="T99" s="58">
        <f t="shared" si="5"/>
        <v>208.75</v>
      </c>
      <c r="U99" s="36">
        <v>45814</v>
      </c>
      <c r="V99" s="34"/>
      <c r="W99" s="122" t="s">
        <v>789</v>
      </c>
      <c r="X99" s="34"/>
    </row>
    <row r="100" spans="1:24" ht="15" thickBot="1">
      <c r="A100" s="4" t="s">
        <v>25</v>
      </c>
      <c r="B100" s="4" t="s">
        <v>26</v>
      </c>
      <c r="C100" s="4" t="s">
        <v>27</v>
      </c>
      <c r="D100" s="4" t="s">
        <v>28</v>
      </c>
      <c r="E100" s="4" t="s">
        <v>29</v>
      </c>
      <c r="F100" s="31">
        <v>45761</v>
      </c>
      <c r="G100" s="4">
        <v>4665</v>
      </c>
      <c r="H100" s="4" t="s">
        <v>435</v>
      </c>
      <c r="I100" s="50" t="s">
        <v>436</v>
      </c>
      <c r="J100" s="4" t="s">
        <v>160</v>
      </c>
      <c r="K100" s="4" t="s">
        <v>33</v>
      </c>
      <c r="L100" s="4" t="s">
        <v>437</v>
      </c>
      <c r="M100" s="4" t="s">
        <v>438</v>
      </c>
      <c r="N100" s="4" t="s">
        <v>36</v>
      </c>
      <c r="O100" s="4">
        <v>1</v>
      </c>
      <c r="P100" s="112"/>
      <c r="Q100" s="4" t="s">
        <v>438</v>
      </c>
      <c r="R100" s="34">
        <v>45</v>
      </c>
      <c r="S100" s="59">
        <v>115</v>
      </c>
      <c r="T100" s="58">
        <f t="shared" si="5"/>
        <v>160</v>
      </c>
      <c r="U100" s="36">
        <v>45814</v>
      </c>
      <c r="V100" s="34"/>
      <c r="W100" s="122" t="s">
        <v>789</v>
      </c>
      <c r="X100" s="34"/>
    </row>
    <row r="101" spans="1:24" ht="15" thickBot="1">
      <c r="A101" s="4" t="s">
        <v>25</v>
      </c>
      <c r="B101" s="4" t="s">
        <v>26</v>
      </c>
      <c r="C101" s="4" t="s">
        <v>27</v>
      </c>
      <c r="D101" s="4" t="s">
        <v>28</v>
      </c>
      <c r="E101" s="4" t="s">
        <v>29</v>
      </c>
      <c r="F101" s="31">
        <v>45761</v>
      </c>
      <c r="G101" s="4">
        <v>4666</v>
      </c>
      <c r="H101" s="4" t="s">
        <v>439</v>
      </c>
      <c r="I101" s="50" t="s">
        <v>440</v>
      </c>
      <c r="J101" s="4" t="s">
        <v>756</v>
      </c>
      <c r="K101" s="4" t="s">
        <v>33</v>
      </c>
      <c r="L101" s="4" t="s">
        <v>351</v>
      </c>
      <c r="M101" s="4" t="s">
        <v>442</v>
      </c>
      <c r="N101" s="4" t="s">
        <v>36</v>
      </c>
      <c r="O101" s="4">
        <v>1</v>
      </c>
      <c r="P101" s="112"/>
      <c r="Q101" s="4" t="s">
        <v>442</v>
      </c>
      <c r="R101" s="34">
        <v>45</v>
      </c>
      <c r="S101" s="59">
        <v>483.75</v>
      </c>
      <c r="T101" s="58">
        <f t="shared" si="5"/>
        <v>528.75</v>
      </c>
      <c r="U101" s="36">
        <v>45814</v>
      </c>
      <c r="V101" s="34"/>
      <c r="W101" s="122" t="s">
        <v>789</v>
      </c>
      <c r="X101" s="34"/>
    </row>
    <row r="102" spans="1:24" ht="18" customHeight="1" thickBot="1">
      <c r="A102" s="4" t="s">
        <v>25</v>
      </c>
      <c r="B102" s="4" t="s">
        <v>26</v>
      </c>
      <c r="C102" s="4" t="s">
        <v>27</v>
      </c>
      <c r="D102" s="4" t="s">
        <v>28</v>
      </c>
      <c r="E102" s="4" t="s">
        <v>29</v>
      </c>
      <c r="F102" s="31">
        <v>45761</v>
      </c>
      <c r="G102" s="4" t="s">
        <v>443</v>
      </c>
      <c r="H102" s="4" t="s">
        <v>149</v>
      </c>
      <c r="I102" s="50" t="s">
        <v>150</v>
      </c>
      <c r="J102" s="4" t="s">
        <v>160</v>
      </c>
      <c r="K102" s="4" t="s">
        <v>33</v>
      </c>
      <c r="L102" s="4" t="s">
        <v>444</v>
      </c>
      <c r="M102" s="4" t="s">
        <v>445</v>
      </c>
      <c r="N102" s="4" t="s">
        <v>36</v>
      </c>
      <c r="O102" s="4">
        <v>1</v>
      </c>
      <c r="P102" s="112" t="s">
        <v>446</v>
      </c>
      <c r="Q102" s="4" t="s">
        <v>803</v>
      </c>
      <c r="R102" s="34">
        <v>45</v>
      </c>
      <c r="S102" s="59">
        <v>335</v>
      </c>
      <c r="T102" s="58">
        <f t="shared" ref="T102:T130" si="6">SUM(R102:S102)</f>
        <v>380</v>
      </c>
      <c r="U102" s="36">
        <v>45898</v>
      </c>
      <c r="V102" s="34"/>
      <c r="W102" s="122" t="s">
        <v>789</v>
      </c>
      <c r="X102" s="34"/>
    </row>
    <row r="103" spans="1:24" ht="15" thickBot="1">
      <c r="A103" s="4" t="s">
        <v>25</v>
      </c>
      <c r="B103" s="4" t="s">
        <v>26</v>
      </c>
      <c r="C103" s="4" t="s">
        <v>27</v>
      </c>
      <c r="D103" s="4" t="s">
        <v>28</v>
      </c>
      <c r="E103" s="4" t="s">
        <v>29</v>
      </c>
      <c r="F103" s="31">
        <v>45761</v>
      </c>
      <c r="G103" s="4">
        <v>4668</v>
      </c>
      <c r="H103" s="45" t="s">
        <v>93</v>
      </c>
      <c r="I103" s="50" t="s">
        <v>94</v>
      </c>
      <c r="J103" s="45" t="s">
        <v>756</v>
      </c>
      <c r="K103" s="45" t="s">
        <v>33</v>
      </c>
      <c r="L103" s="45" t="s">
        <v>419</v>
      </c>
      <c r="M103" s="45" t="s">
        <v>447</v>
      </c>
      <c r="N103" s="45" t="s">
        <v>36</v>
      </c>
      <c r="O103" s="4">
        <v>1</v>
      </c>
      <c r="P103" s="112"/>
      <c r="Q103" s="46" t="s">
        <v>447</v>
      </c>
      <c r="R103" s="34">
        <v>45</v>
      </c>
      <c r="S103" s="59">
        <v>120</v>
      </c>
      <c r="T103" s="58">
        <f t="shared" si="6"/>
        <v>165</v>
      </c>
      <c r="U103" s="36">
        <v>45814</v>
      </c>
      <c r="V103" s="34"/>
      <c r="W103" s="122" t="s">
        <v>789</v>
      </c>
      <c r="X103" s="34"/>
    </row>
    <row r="104" spans="1:24" ht="15" thickBot="1">
      <c r="A104" s="4" t="s">
        <v>25</v>
      </c>
      <c r="B104" s="4" t="s">
        <v>26</v>
      </c>
      <c r="C104" s="4" t="s">
        <v>27</v>
      </c>
      <c r="D104" s="4" t="s">
        <v>28</v>
      </c>
      <c r="E104" s="4" t="s">
        <v>29</v>
      </c>
      <c r="F104" s="31">
        <v>45761</v>
      </c>
      <c r="G104" s="4">
        <v>4669</v>
      </c>
      <c r="H104" s="4" t="s">
        <v>448</v>
      </c>
      <c r="I104" s="50" t="s">
        <v>449</v>
      </c>
      <c r="J104" s="4" t="s">
        <v>160</v>
      </c>
      <c r="K104" s="4" t="s">
        <v>33</v>
      </c>
      <c r="L104" s="4" t="s">
        <v>419</v>
      </c>
      <c r="M104" s="4" t="s">
        <v>450</v>
      </c>
      <c r="N104" s="4" t="s">
        <v>36</v>
      </c>
      <c r="O104" s="4">
        <v>1</v>
      </c>
      <c r="P104" s="112" t="s">
        <v>413</v>
      </c>
      <c r="Q104" s="4" t="s">
        <v>804</v>
      </c>
      <c r="R104" s="34">
        <v>45</v>
      </c>
      <c r="S104" s="59">
        <v>260</v>
      </c>
      <c r="T104" s="58">
        <f t="shared" si="6"/>
        <v>305</v>
      </c>
      <c r="U104" s="36">
        <v>45898</v>
      </c>
      <c r="V104" s="34"/>
      <c r="W104" s="122" t="s">
        <v>789</v>
      </c>
      <c r="X104" s="34"/>
    </row>
    <row r="105" spans="1:24" ht="13.5" customHeight="1" thickBot="1">
      <c r="A105" s="4" t="s">
        <v>25</v>
      </c>
      <c r="B105" s="4" t="s">
        <v>26</v>
      </c>
      <c r="C105" s="4" t="s">
        <v>27</v>
      </c>
      <c r="D105" s="4" t="s">
        <v>28</v>
      </c>
      <c r="E105" s="4" t="s">
        <v>29</v>
      </c>
      <c r="F105" s="31">
        <v>45761</v>
      </c>
      <c r="G105" s="4">
        <v>4670</v>
      </c>
      <c r="H105" s="4" t="s">
        <v>451</v>
      </c>
      <c r="I105" s="50" t="s">
        <v>452</v>
      </c>
      <c r="J105" s="4" t="s">
        <v>160</v>
      </c>
      <c r="K105" s="4" t="s">
        <v>805</v>
      </c>
      <c r="L105" s="4" t="s">
        <v>419</v>
      </c>
      <c r="M105" s="4" t="s">
        <v>261</v>
      </c>
      <c r="N105" s="4" t="s">
        <v>36</v>
      </c>
      <c r="O105" s="4">
        <v>1</v>
      </c>
      <c r="P105" s="112" t="s">
        <v>453</v>
      </c>
      <c r="Q105" s="4" t="s">
        <v>791</v>
      </c>
      <c r="R105" s="34">
        <v>45</v>
      </c>
      <c r="S105" s="59">
        <v>215</v>
      </c>
      <c r="T105" s="58">
        <f t="shared" si="6"/>
        <v>260</v>
      </c>
      <c r="U105" s="36">
        <v>45898</v>
      </c>
      <c r="V105" s="30">
        <v>46070</v>
      </c>
      <c r="W105" s="122" t="s">
        <v>789</v>
      </c>
      <c r="X105" s="4" t="s">
        <v>806</v>
      </c>
    </row>
    <row r="106" spans="1:24" ht="15" thickBot="1">
      <c r="A106" s="4" t="s">
        <v>25</v>
      </c>
      <c r="B106" s="4" t="s">
        <v>26</v>
      </c>
      <c r="C106" s="4" t="s">
        <v>27</v>
      </c>
      <c r="D106" s="4" t="s">
        <v>28</v>
      </c>
      <c r="E106" s="4" t="s">
        <v>29</v>
      </c>
      <c r="F106" s="31">
        <v>45761</v>
      </c>
      <c r="G106" s="4">
        <v>4671</v>
      </c>
      <c r="H106" s="4" t="s">
        <v>454</v>
      </c>
      <c r="I106" s="50" t="s">
        <v>455</v>
      </c>
      <c r="J106" s="4" t="s">
        <v>160</v>
      </c>
      <c r="K106" s="4" t="s">
        <v>33</v>
      </c>
      <c r="L106" s="4" t="s">
        <v>456</v>
      </c>
      <c r="M106" s="4" t="s">
        <v>457</v>
      </c>
      <c r="N106" s="4" t="s">
        <v>36</v>
      </c>
      <c r="O106" s="4">
        <v>1</v>
      </c>
      <c r="P106" s="112" t="s">
        <v>262</v>
      </c>
      <c r="Q106" s="4" t="s">
        <v>457</v>
      </c>
      <c r="R106" s="34">
        <v>45</v>
      </c>
      <c r="S106" s="59">
        <v>132</v>
      </c>
      <c r="T106" s="58">
        <f t="shared" si="6"/>
        <v>177</v>
      </c>
      <c r="U106" s="36">
        <v>45821</v>
      </c>
      <c r="V106" s="34"/>
      <c r="W106" s="122" t="s">
        <v>789</v>
      </c>
      <c r="X106" s="34"/>
    </row>
    <row r="107" spans="1:24" ht="15" thickBot="1">
      <c r="A107" s="4" t="s">
        <v>25</v>
      </c>
      <c r="B107" s="4" t="s">
        <v>26</v>
      </c>
      <c r="C107" s="4" t="s">
        <v>27</v>
      </c>
      <c r="D107" s="4" t="s">
        <v>28</v>
      </c>
      <c r="E107" s="4" t="s">
        <v>29</v>
      </c>
      <c r="F107" s="31">
        <v>45761</v>
      </c>
      <c r="G107" s="4">
        <v>4672</v>
      </c>
      <c r="H107" s="4" t="s">
        <v>458</v>
      </c>
      <c r="I107" s="50" t="s">
        <v>459</v>
      </c>
      <c r="J107" s="4" t="s">
        <v>756</v>
      </c>
      <c r="K107" s="4" t="s">
        <v>33</v>
      </c>
      <c r="L107" s="4" t="s">
        <v>405</v>
      </c>
      <c r="M107" s="4" t="s">
        <v>460</v>
      </c>
      <c r="N107" s="4" t="s">
        <v>36</v>
      </c>
      <c r="O107" s="4">
        <v>1</v>
      </c>
      <c r="P107" s="112" t="s">
        <v>413</v>
      </c>
      <c r="Q107" s="4" t="s">
        <v>460</v>
      </c>
      <c r="R107" s="34">
        <v>45</v>
      </c>
      <c r="S107" s="59">
        <v>357</v>
      </c>
      <c r="T107" s="58">
        <f t="shared" si="6"/>
        <v>402</v>
      </c>
      <c r="U107" s="36">
        <v>45821</v>
      </c>
      <c r="V107" s="34"/>
      <c r="W107" s="122" t="s">
        <v>789</v>
      </c>
      <c r="X107" s="34"/>
    </row>
    <row r="108" spans="1:24" ht="15" thickBot="1">
      <c r="A108" s="4" t="s">
        <v>25</v>
      </c>
      <c r="B108" s="4" t="s">
        <v>26</v>
      </c>
      <c r="C108" s="4" t="s">
        <v>27</v>
      </c>
      <c r="D108" s="4" t="s">
        <v>28</v>
      </c>
      <c r="E108" s="4" t="s">
        <v>29</v>
      </c>
      <c r="F108" s="31">
        <v>45761</v>
      </c>
      <c r="G108" s="4">
        <v>4673</v>
      </c>
      <c r="H108" s="4" t="s">
        <v>461</v>
      </c>
      <c r="I108" s="50" t="s">
        <v>462</v>
      </c>
      <c r="J108" s="4" t="s">
        <v>201</v>
      </c>
      <c r="K108" s="4" t="s">
        <v>48</v>
      </c>
      <c r="L108" s="4" t="s">
        <v>464</v>
      </c>
      <c r="M108" s="4" t="s">
        <v>34</v>
      </c>
      <c r="N108" s="4" t="s">
        <v>36</v>
      </c>
      <c r="O108" s="4">
        <v>1</v>
      </c>
      <c r="P108" s="112" t="s">
        <v>315</v>
      </c>
      <c r="Q108" s="4" t="s">
        <v>117</v>
      </c>
      <c r="R108" s="34">
        <v>45</v>
      </c>
      <c r="S108" s="37">
        <v>0</v>
      </c>
      <c r="T108" s="58">
        <f t="shared" si="6"/>
        <v>45</v>
      </c>
      <c r="U108" s="36">
        <v>45821</v>
      </c>
      <c r="V108" s="34"/>
      <c r="W108" s="122" t="s">
        <v>789</v>
      </c>
      <c r="X108" s="34"/>
    </row>
    <row r="109" spans="1:24" ht="15" thickBot="1">
      <c r="A109" s="4" t="s">
        <v>25</v>
      </c>
      <c r="B109" s="4" t="s">
        <v>26</v>
      </c>
      <c r="C109" s="4" t="s">
        <v>27</v>
      </c>
      <c r="D109" s="64" t="s">
        <v>28</v>
      </c>
      <c r="E109" s="4" t="s">
        <v>195</v>
      </c>
      <c r="F109" s="31">
        <v>45786</v>
      </c>
      <c r="G109" s="4">
        <v>4674</v>
      </c>
      <c r="H109" s="4" t="s">
        <v>465</v>
      </c>
      <c r="I109" s="50" t="s">
        <v>466</v>
      </c>
      <c r="J109" s="4" t="s">
        <v>502</v>
      </c>
      <c r="K109" s="4" t="s">
        <v>33</v>
      </c>
      <c r="L109" s="4" t="s">
        <v>173</v>
      </c>
      <c r="M109" s="4" t="s">
        <v>467</v>
      </c>
      <c r="N109" s="4" t="s">
        <v>36</v>
      </c>
      <c r="O109" s="4">
        <v>1</v>
      </c>
      <c r="P109" s="112" t="s">
        <v>413</v>
      </c>
      <c r="Q109" s="4" t="s">
        <v>807</v>
      </c>
      <c r="R109" s="34">
        <v>45</v>
      </c>
      <c r="S109" s="59">
        <v>475</v>
      </c>
      <c r="T109" s="58">
        <f t="shared" si="6"/>
        <v>520</v>
      </c>
      <c r="U109" s="36">
        <v>45821</v>
      </c>
      <c r="V109" s="34"/>
      <c r="W109" s="122" t="s">
        <v>789</v>
      </c>
      <c r="X109" s="34"/>
    </row>
    <row r="110" spans="1:24" ht="15" thickBot="1">
      <c r="A110" s="4" t="s">
        <v>25</v>
      </c>
      <c r="B110" s="4" t="s">
        <v>26</v>
      </c>
      <c r="C110" s="4" t="s">
        <v>27</v>
      </c>
      <c r="D110" s="4" t="s">
        <v>28</v>
      </c>
      <c r="E110" s="4" t="s">
        <v>195</v>
      </c>
      <c r="F110" s="31">
        <v>45786</v>
      </c>
      <c r="G110" s="4">
        <v>4675</v>
      </c>
      <c r="H110" s="4" t="s">
        <v>468</v>
      </c>
      <c r="I110" s="50" t="s">
        <v>469</v>
      </c>
      <c r="J110" s="4" t="s">
        <v>160</v>
      </c>
      <c r="K110" s="4" t="s">
        <v>33</v>
      </c>
      <c r="L110" s="4" t="s">
        <v>470</v>
      </c>
      <c r="M110" s="4" t="s">
        <v>348</v>
      </c>
      <c r="N110" s="4" t="s">
        <v>36</v>
      </c>
      <c r="O110" s="4">
        <v>1</v>
      </c>
      <c r="P110" s="112" t="s">
        <v>37</v>
      </c>
      <c r="Q110" s="4" t="s">
        <v>348</v>
      </c>
      <c r="R110" s="34">
        <v>45</v>
      </c>
      <c r="S110" s="59">
        <v>163.75</v>
      </c>
      <c r="T110" s="58">
        <f t="shared" si="6"/>
        <v>208.75</v>
      </c>
      <c r="U110" s="36">
        <v>45821</v>
      </c>
      <c r="V110" s="34"/>
      <c r="W110" s="122" t="s">
        <v>789</v>
      </c>
      <c r="X110" s="34"/>
    </row>
    <row r="111" spans="1:24" ht="15" thickBot="1">
      <c r="A111" s="4" t="s">
        <v>25</v>
      </c>
      <c r="B111" s="4" t="s">
        <v>26</v>
      </c>
      <c r="C111" s="4" t="s">
        <v>27</v>
      </c>
      <c r="D111" s="4" t="s">
        <v>28</v>
      </c>
      <c r="E111" s="4" t="s">
        <v>195</v>
      </c>
      <c r="F111" s="31">
        <v>45786</v>
      </c>
      <c r="G111" s="4">
        <v>4676</v>
      </c>
      <c r="H111" s="4" t="s">
        <v>471</v>
      </c>
      <c r="I111" s="50" t="s">
        <v>472</v>
      </c>
      <c r="J111" s="4" t="s">
        <v>160</v>
      </c>
      <c r="K111" s="4" t="s">
        <v>33</v>
      </c>
      <c r="L111" s="4" t="s">
        <v>473</v>
      </c>
      <c r="M111" s="4" t="s">
        <v>474</v>
      </c>
      <c r="N111" s="4" t="s">
        <v>36</v>
      </c>
      <c r="O111" s="4">
        <v>1</v>
      </c>
      <c r="P111" s="112" t="s">
        <v>413</v>
      </c>
      <c r="Q111" s="4" t="s">
        <v>475</v>
      </c>
      <c r="R111" s="34">
        <v>45</v>
      </c>
      <c r="S111" s="59">
        <v>109.09</v>
      </c>
      <c r="T111" s="58">
        <f t="shared" si="6"/>
        <v>154.09</v>
      </c>
      <c r="U111" s="36">
        <v>45821</v>
      </c>
      <c r="V111" s="34"/>
      <c r="W111" s="122" t="s">
        <v>789</v>
      </c>
      <c r="X111" s="34"/>
    </row>
    <row r="112" spans="1:24" ht="15" thickBot="1">
      <c r="A112" s="4" t="s">
        <v>25</v>
      </c>
      <c r="B112" s="4" t="s">
        <v>26</v>
      </c>
      <c r="C112" s="4" t="s">
        <v>27</v>
      </c>
      <c r="D112" s="4" t="s">
        <v>28</v>
      </c>
      <c r="E112" s="4" t="s">
        <v>195</v>
      </c>
      <c r="F112" s="31">
        <v>45786</v>
      </c>
      <c r="G112" s="4">
        <v>4677</v>
      </c>
      <c r="H112" s="4" t="s">
        <v>476</v>
      </c>
      <c r="I112" s="50" t="s">
        <v>477</v>
      </c>
      <c r="J112" s="4" t="s">
        <v>160</v>
      </c>
      <c r="K112" s="4" t="s">
        <v>33</v>
      </c>
      <c r="L112" s="4" t="s">
        <v>478</v>
      </c>
      <c r="M112" s="4" t="s">
        <v>406</v>
      </c>
      <c r="N112" s="4" t="s">
        <v>36</v>
      </c>
      <c r="O112" s="4">
        <v>1</v>
      </c>
      <c r="P112" s="112" t="s">
        <v>413</v>
      </c>
      <c r="Q112" s="4" t="s">
        <v>406</v>
      </c>
      <c r="R112" s="34">
        <v>45</v>
      </c>
      <c r="S112" s="59">
        <v>158.09</v>
      </c>
      <c r="T112" s="58">
        <f t="shared" si="6"/>
        <v>203.09</v>
      </c>
      <c r="U112" s="36">
        <v>45821</v>
      </c>
      <c r="V112" s="34"/>
      <c r="W112" s="122" t="s">
        <v>789</v>
      </c>
      <c r="X112" s="34"/>
    </row>
    <row r="113" spans="1:24" ht="15" thickBot="1">
      <c r="A113" s="4" t="s">
        <v>25</v>
      </c>
      <c r="B113" s="4" t="s">
        <v>26</v>
      </c>
      <c r="C113" s="4" t="s">
        <v>27</v>
      </c>
      <c r="D113" s="4" t="s">
        <v>28</v>
      </c>
      <c r="E113" s="4" t="s">
        <v>195</v>
      </c>
      <c r="F113" s="31">
        <v>45786</v>
      </c>
      <c r="G113" s="4">
        <v>4678</v>
      </c>
      <c r="H113" s="4" t="s">
        <v>479</v>
      </c>
      <c r="I113" s="50" t="s">
        <v>480</v>
      </c>
      <c r="J113" s="4" t="s">
        <v>382</v>
      </c>
      <c r="K113" s="4" t="s">
        <v>33</v>
      </c>
      <c r="L113" s="4" t="s">
        <v>478</v>
      </c>
      <c r="M113" s="4" t="s">
        <v>348</v>
      </c>
      <c r="N113" s="4" t="s">
        <v>36</v>
      </c>
      <c r="O113" s="4">
        <v>1</v>
      </c>
      <c r="P113" s="112" t="s">
        <v>413</v>
      </c>
      <c r="Q113" s="4" t="s">
        <v>348</v>
      </c>
      <c r="R113" s="34">
        <v>45</v>
      </c>
      <c r="S113" s="59">
        <v>106.61</v>
      </c>
      <c r="T113" s="58">
        <f t="shared" si="6"/>
        <v>151.61000000000001</v>
      </c>
      <c r="U113" s="36">
        <v>45821</v>
      </c>
      <c r="V113" s="34"/>
      <c r="W113" s="122" t="s">
        <v>789</v>
      </c>
      <c r="X113" s="34"/>
    </row>
    <row r="114" spans="1:24" ht="15" thickBot="1">
      <c r="A114" s="4" t="s">
        <v>25</v>
      </c>
      <c r="B114" s="4" t="s">
        <v>26</v>
      </c>
      <c r="C114" s="4" t="s">
        <v>27</v>
      </c>
      <c r="D114" s="4" t="s">
        <v>28</v>
      </c>
      <c r="E114" s="4" t="s">
        <v>195</v>
      </c>
      <c r="F114" s="31">
        <v>45786</v>
      </c>
      <c r="G114" s="4">
        <v>4679</v>
      </c>
      <c r="H114" s="4" t="s">
        <v>481</v>
      </c>
      <c r="I114" s="50" t="s">
        <v>482</v>
      </c>
      <c r="J114" s="4" t="s">
        <v>160</v>
      </c>
      <c r="K114" s="4" t="s">
        <v>33</v>
      </c>
      <c r="L114" s="4" t="s">
        <v>478</v>
      </c>
      <c r="M114" s="4" t="s">
        <v>348</v>
      </c>
      <c r="N114" s="4" t="s">
        <v>36</v>
      </c>
      <c r="O114" s="4">
        <v>1</v>
      </c>
      <c r="P114" s="112" t="s">
        <v>413</v>
      </c>
      <c r="Q114" s="4" t="s">
        <v>348</v>
      </c>
      <c r="R114" s="34">
        <v>45</v>
      </c>
      <c r="S114" s="59">
        <v>109.09</v>
      </c>
      <c r="T114" s="58">
        <f t="shared" si="6"/>
        <v>154.09</v>
      </c>
      <c r="U114" s="36">
        <v>45821</v>
      </c>
      <c r="V114" s="34"/>
      <c r="W114" s="122" t="s">
        <v>789</v>
      </c>
      <c r="X114" s="34"/>
    </row>
    <row r="115" spans="1:24" ht="15" thickBot="1">
      <c r="A115" s="4" t="s">
        <v>25</v>
      </c>
      <c r="B115" s="4" t="s">
        <v>26</v>
      </c>
      <c r="C115" s="4" t="s">
        <v>27</v>
      </c>
      <c r="D115" s="64" t="s">
        <v>28</v>
      </c>
      <c r="E115" s="4" t="s">
        <v>195</v>
      </c>
      <c r="F115" s="31">
        <v>45839</v>
      </c>
      <c r="G115" s="4">
        <v>5354</v>
      </c>
      <c r="H115" s="4" t="s">
        <v>483</v>
      </c>
      <c r="I115" s="50" t="s">
        <v>484</v>
      </c>
      <c r="J115" s="4" t="s">
        <v>485</v>
      </c>
      <c r="K115" s="4" t="s">
        <v>48</v>
      </c>
      <c r="L115" s="4" t="s">
        <v>486</v>
      </c>
      <c r="M115" s="4" t="s">
        <v>487</v>
      </c>
      <c r="N115" s="4" t="s">
        <v>36</v>
      </c>
      <c r="O115" s="4">
        <v>1</v>
      </c>
      <c r="P115" s="112" t="s">
        <v>37</v>
      </c>
      <c r="Q115" s="4" t="s">
        <v>487</v>
      </c>
      <c r="R115" s="34">
        <v>45</v>
      </c>
      <c r="S115" s="37">
        <v>0</v>
      </c>
      <c r="T115" s="58">
        <f t="shared" si="6"/>
        <v>45</v>
      </c>
      <c r="U115" s="36">
        <v>45898</v>
      </c>
      <c r="V115" s="34"/>
      <c r="W115" s="122" t="s">
        <v>789</v>
      </c>
      <c r="X115" s="34"/>
    </row>
    <row r="116" spans="1:24" ht="15" thickBot="1">
      <c r="A116" s="4" t="s">
        <v>25</v>
      </c>
      <c r="B116" s="4" t="s">
        <v>26</v>
      </c>
      <c r="C116" s="4" t="s">
        <v>27</v>
      </c>
      <c r="D116" s="4" t="s">
        <v>28</v>
      </c>
      <c r="E116" s="4" t="s">
        <v>195</v>
      </c>
      <c r="F116" s="31">
        <v>45839</v>
      </c>
      <c r="G116" s="4">
        <v>5353</v>
      </c>
      <c r="H116" s="4" t="s">
        <v>488</v>
      </c>
      <c r="I116" s="50" t="s">
        <v>489</v>
      </c>
      <c r="J116" s="4" t="s">
        <v>485</v>
      </c>
      <c r="K116" s="4" t="s">
        <v>48</v>
      </c>
      <c r="L116" s="4" t="s">
        <v>490</v>
      </c>
      <c r="M116" s="4" t="s">
        <v>55</v>
      </c>
      <c r="N116" s="4" t="s">
        <v>36</v>
      </c>
      <c r="O116" s="4">
        <v>1</v>
      </c>
      <c r="P116" s="112" t="s">
        <v>37</v>
      </c>
      <c r="Q116" s="4" t="s">
        <v>457</v>
      </c>
      <c r="R116" s="34">
        <v>45</v>
      </c>
      <c r="S116" s="37">
        <v>0</v>
      </c>
      <c r="T116" s="58">
        <f t="shared" si="6"/>
        <v>45</v>
      </c>
      <c r="U116" s="36">
        <v>45898</v>
      </c>
      <c r="V116" s="34"/>
      <c r="W116" s="122" t="s">
        <v>789</v>
      </c>
      <c r="X116" s="34"/>
    </row>
    <row r="117" spans="1:24" ht="15" thickBot="1">
      <c r="A117" s="4" t="s">
        <v>25</v>
      </c>
      <c r="B117" s="4" t="s">
        <v>26</v>
      </c>
      <c r="C117" s="4" t="s">
        <v>27</v>
      </c>
      <c r="D117" s="4" t="s">
        <v>28</v>
      </c>
      <c r="E117" s="4" t="s">
        <v>195</v>
      </c>
      <c r="F117" s="31">
        <v>45839</v>
      </c>
      <c r="G117" s="4">
        <v>5352</v>
      </c>
      <c r="H117" s="4" t="s">
        <v>491</v>
      </c>
      <c r="I117" s="50" t="s">
        <v>492</v>
      </c>
      <c r="J117" s="4" t="s">
        <v>397</v>
      </c>
      <c r="K117" s="4" t="s">
        <v>48</v>
      </c>
      <c r="L117" s="4" t="s">
        <v>493</v>
      </c>
      <c r="M117" s="4" t="s">
        <v>494</v>
      </c>
      <c r="N117" s="4" t="s">
        <v>36</v>
      </c>
      <c r="O117" s="4">
        <v>1</v>
      </c>
      <c r="P117" s="112" t="s">
        <v>37</v>
      </c>
      <c r="Q117" s="4" t="s">
        <v>117</v>
      </c>
      <c r="R117" s="34">
        <v>45</v>
      </c>
      <c r="S117" s="37">
        <v>0</v>
      </c>
      <c r="T117" s="58">
        <f t="shared" si="6"/>
        <v>45</v>
      </c>
      <c r="U117" s="36">
        <v>45898</v>
      </c>
      <c r="V117" s="34"/>
      <c r="W117" s="122" t="s">
        <v>789</v>
      </c>
      <c r="X117" s="34"/>
    </row>
    <row r="118" spans="1:24" ht="15" thickBot="1">
      <c r="A118" s="4" t="s">
        <v>25</v>
      </c>
      <c r="B118" s="4" t="s">
        <v>26</v>
      </c>
      <c r="C118" s="4" t="s">
        <v>27</v>
      </c>
      <c r="D118" s="4" t="s">
        <v>28</v>
      </c>
      <c r="E118" s="4" t="s">
        <v>195</v>
      </c>
      <c r="F118" s="31">
        <v>45839</v>
      </c>
      <c r="G118" s="4">
        <v>5351</v>
      </c>
      <c r="H118" s="4" t="s">
        <v>495</v>
      </c>
      <c r="I118" s="50" t="s">
        <v>496</v>
      </c>
      <c r="J118" s="4" t="s">
        <v>216</v>
      </c>
      <c r="K118" s="4" t="s">
        <v>33</v>
      </c>
      <c r="L118" s="4" t="s">
        <v>497</v>
      </c>
      <c r="M118" s="4" t="s">
        <v>498</v>
      </c>
      <c r="N118" s="4" t="s">
        <v>36</v>
      </c>
      <c r="O118" s="4">
        <v>1</v>
      </c>
      <c r="P118" s="112" t="s">
        <v>808</v>
      </c>
      <c r="Q118" s="4" t="s">
        <v>809</v>
      </c>
      <c r="R118" s="34">
        <v>45</v>
      </c>
      <c r="S118" s="37">
        <v>378.75</v>
      </c>
      <c r="T118" s="58">
        <f>SUM(R118:S118)</f>
        <v>423.75</v>
      </c>
      <c r="U118" s="111">
        <v>45993</v>
      </c>
      <c r="V118" s="34"/>
      <c r="W118" s="34"/>
      <c r="X118" s="34"/>
    </row>
    <row r="119" spans="1:24" ht="15" thickBot="1">
      <c r="A119" s="4" t="s">
        <v>25</v>
      </c>
      <c r="B119" s="4" t="s">
        <v>26</v>
      </c>
      <c r="C119" s="4" t="s">
        <v>27</v>
      </c>
      <c r="D119" s="4" t="s">
        <v>28</v>
      </c>
      <c r="E119" s="4" t="s">
        <v>195</v>
      </c>
      <c r="F119" s="31">
        <v>45839</v>
      </c>
      <c r="G119" s="4">
        <v>5350</v>
      </c>
      <c r="H119" s="4" t="s">
        <v>500</v>
      </c>
      <c r="I119" s="50" t="s">
        <v>501</v>
      </c>
      <c r="J119" s="4" t="s">
        <v>502</v>
      </c>
      <c r="K119" s="4" t="s">
        <v>33</v>
      </c>
      <c r="L119" s="4" t="s">
        <v>503</v>
      </c>
      <c r="M119" s="4" t="s">
        <v>504</v>
      </c>
      <c r="N119" s="4" t="s">
        <v>36</v>
      </c>
      <c r="O119" s="4">
        <v>1</v>
      </c>
      <c r="P119" s="112" t="s">
        <v>505</v>
      </c>
      <c r="Q119" s="4" t="s">
        <v>504</v>
      </c>
      <c r="R119" s="34">
        <v>45</v>
      </c>
      <c r="S119" s="59">
        <v>395.5</v>
      </c>
      <c r="T119" s="58">
        <f t="shared" si="6"/>
        <v>440.5</v>
      </c>
      <c r="U119" s="36">
        <v>45898</v>
      </c>
      <c r="V119" s="34"/>
      <c r="W119" s="122" t="s">
        <v>789</v>
      </c>
      <c r="X119" s="34"/>
    </row>
    <row r="120" spans="1:24" ht="15" thickBot="1">
      <c r="A120" s="4" t="s">
        <v>25</v>
      </c>
      <c r="B120" s="4" t="s">
        <v>26</v>
      </c>
      <c r="C120" s="4" t="s">
        <v>27</v>
      </c>
      <c r="D120" s="4" t="s">
        <v>28</v>
      </c>
      <c r="E120" s="4" t="s">
        <v>195</v>
      </c>
      <c r="F120" s="31">
        <v>45839</v>
      </c>
      <c r="G120" s="4">
        <v>5349</v>
      </c>
      <c r="H120" s="4" t="s">
        <v>506</v>
      </c>
      <c r="I120" s="50" t="s">
        <v>507</v>
      </c>
      <c r="J120" s="4" t="s">
        <v>160</v>
      </c>
      <c r="K120" s="4" t="s">
        <v>33</v>
      </c>
      <c r="L120" s="4" t="s">
        <v>213</v>
      </c>
      <c r="M120" s="4" t="s">
        <v>508</v>
      </c>
      <c r="N120" s="4" t="s">
        <v>36</v>
      </c>
      <c r="O120" s="4">
        <v>1</v>
      </c>
      <c r="P120" s="112" t="s">
        <v>505</v>
      </c>
      <c r="Q120" s="4" t="s">
        <v>509</v>
      </c>
      <c r="R120" s="34">
        <v>45</v>
      </c>
      <c r="S120" s="59">
        <v>283.75</v>
      </c>
      <c r="T120" s="58">
        <f t="shared" si="6"/>
        <v>328.75</v>
      </c>
      <c r="U120" s="36">
        <v>45898</v>
      </c>
      <c r="V120" s="34"/>
      <c r="W120" s="122" t="s">
        <v>789</v>
      </c>
      <c r="X120" s="34"/>
    </row>
    <row r="121" spans="1:24" ht="15" thickBot="1">
      <c r="A121" s="4" t="s">
        <v>25</v>
      </c>
      <c r="B121" s="4" t="s">
        <v>26</v>
      </c>
      <c r="C121" s="4" t="s">
        <v>27</v>
      </c>
      <c r="D121" s="4" t="s">
        <v>28</v>
      </c>
      <c r="E121" s="4" t="s">
        <v>195</v>
      </c>
      <c r="F121" s="31">
        <v>45839</v>
      </c>
      <c r="G121" s="83">
        <v>5359</v>
      </c>
      <c r="H121" s="4" t="s">
        <v>510</v>
      </c>
      <c r="I121" s="50" t="s">
        <v>511</v>
      </c>
      <c r="J121" s="4" t="s">
        <v>160</v>
      </c>
      <c r="K121" s="4" t="s">
        <v>33</v>
      </c>
      <c r="L121" s="4" t="s">
        <v>512</v>
      </c>
      <c r="M121" s="4" t="s">
        <v>513</v>
      </c>
      <c r="N121" s="4" t="s">
        <v>36</v>
      </c>
      <c r="O121" s="4">
        <v>1</v>
      </c>
      <c r="P121" s="112" t="s">
        <v>505</v>
      </c>
      <c r="Q121" s="4" t="s">
        <v>513</v>
      </c>
      <c r="R121" s="34">
        <v>45</v>
      </c>
      <c r="S121" s="59">
        <v>120</v>
      </c>
      <c r="T121" s="58">
        <f t="shared" si="6"/>
        <v>165</v>
      </c>
      <c r="U121" s="36">
        <v>45898</v>
      </c>
      <c r="V121" s="34"/>
      <c r="W121" s="122" t="s">
        <v>789</v>
      </c>
      <c r="X121" s="34"/>
    </row>
    <row r="122" spans="1:24" ht="15" thickBot="1">
      <c r="A122" s="4" t="s">
        <v>25</v>
      </c>
      <c r="B122" s="4" t="s">
        <v>26</v>
      </c>
      <c r="C122" s="4" t="s">
        <v>27</v>
      </c>
      <c r="D122" s="64" t="s">
        <v>28</v>
      </c>
      <c r="E122" s="4" t="s">
        <v>195</v>
      </c>
      <c r="F122" s="31">
        <v>45839</v>
      </c>
      <c r="G122" s="83">
        <v>5358</v>
      </c>
      <c r="H122" s="4" t="s">
        <v>514</v>
      </c>
      <c r="I122" s="50" t="s">
        <v>515</v>
      </c>
      <c r="J122" s="4" t="s">
        <v>160</v>
      </c>
      <c r="K122" s="4" t="s">
        <v>33</v>
      </c>
      <c r="L122" s="4" t="s">
        <v>71</v>
      </c>
      <c r="M122" s="4" t="s">
        <v>71</v>
      </c>
      <c r="N122" s="4" t="s">
        <v>36</v>
      </c>
      <c r="O122" s="4">
        <v>1</v>
      </c>
      <c r="P122" s="112" t="s">
        <v>37</v>
      </c>
      <c r="Q122" s="4" t="s">
        <v>71</v>
      </c>
      <c r="R122" s="34">
        <v>45</v>
      </c>
      <c r="S122" s="59">
        <v>120</v>
      </c>
      <c r="T122" s="58">
        <f t="shared" si="6"/>
        <v>165</v>
      </c>
      <c r="U122" s="36">
        <v>45898</v>
      </c>
      <c r="V122" s="34"/>
      <c r="W122" s="122" t="s">
        <v>789</v>
      </c>
      <c r="X122" s="34"/>
    </row>
    <row r="123" spans="1:24" ht="15" thickBot="1">
      <c r="A123" s="4" t="s">
        <v>25</v>
      </c>
      <c r="B123" s="4" t="s">
        <v>26</v>
      </c>
      <c r="C123" s="4" t="s">
        <v>27</v>
      </c>
      <c r="D123" s="4" t="s">
        <v>28</v>
      </c>
      <c r="E123" s="4" t="s">
        <v>195</v>
      </c>
      <c r="F123" s="31">
        <v>45853</v>
      </c>
      <c r="G123" s="4">
        <v>5450</v>
      </c>
      <c r="H123" s="31" t="s">
        <v>516</v>
      </c>
      <c r="I123" s="50" t="s">
        <v>810</v>
      </c>
      <c r="J123" s="31" t="s">
        <v>160</v>
      </c>
      <c r="K123" s="4" t="s">
        <v>33</v>
      </c>
      <c r="L123" s="4" t="s">
        <v>518</v>
      </c>
      <c r="M123" s="31" t="s">
        <v>519</v>
      </c>
      <c r="N123" s="4" t="s">
        <v>36</v>
      </c>
      <c r="O123" s="4">
        <v>1</v>
      </c>
      <c r="P123" s="112" t="s">
        <v>37</v>
      </c>
      <c r="Q123" s="31" t="s">
        <v>811</v>
      </c>
      <c r="R123" s="34">
        <v>45</v>
      </c>
      <c r="S123" s="59">
        <v>335</v>
      </c>
      <c r="T123" s="58">
        <f t="shared" si="6"/>
        <v>380</v>
      </c>
      <c r="U123" s="36">
        <v>45908</v>
      </c>
      <c r="V123" s="34"/>
      <c r="W123" s="34"/>
      <c r="X123" s="34"/>
    </row>
    <row r="124" spans="1:24" ht="15" thickBot="1">
      <c r="A124" s="4" t="s">
        <v>25</v>
      </c>
      <c r="B124" s="4" t="s">
        <v>26</v>
      </c>
      <c r="C124" s="4" t="s">
        <v>27</v>
      </c>
      <c r="D124" s="4" t="s">
        <v>28</v>
      </c>
      <c r="E124" s="4" t="s">
        <v>195</v>
      </c>
      <c r="F124" s="31">
        <v>45853</v>
      </c>
      <c r="G124" s="4">
        <v>5451</v>
      </c>
      <c r="H124" s="31" t="s">
        <v>520</v>
      </c>
      <c r="I124" s="50" t="s">
        <v>521</v>
      </c>
      <c r="J124" s="31" t="s">
        <v>160</v>
      </c>
      <c r="K124" s="4" t="s">
        <v>33</v>
      </c>
      <c r="L124" s="4" t="s">
        <v>522</v>
      </c>
      <c r="M124" s="31" t="s">
        <v>117</v>
      </c>
      <c r="N124" s="4" t="s">
        <v>36</v>
      </c>
      <c r="O124" s="4">
        <v>1</v>
      </c>
      <c r="P124" s="119" t="s">
        <v>37</v>
      </c>
      <c r="Q124" s="31" t="s">
        <v>117</v>
      </c>
      <c r="R124" s="34">
        <v>45</v>
      </c>
      <c r="S124" s="59">
        <v>215</v>
      </c>
      <c r="T124" s="58">
        <f t="shared" si="6"/>
        <v>260</v>
      </c>
      <c r="U124" s="36">
        <v>45908</v>
      </c>
      <c r="V124" s="34"/>
      <c r="W124" s="122" t="s">
        <v>789</v>
      </c>
      <c r="X124" s="34"/>
    </row>
    <row r="125" spans="1:24" ht="15" thickBot="1">
      <c r="A125" s="4" t="s">
        <v>25</v>
      </c>
      <c r="B125" s="4" t="s">
        <v>26</v>
      </c>
      <c r="C125" s="4" t="s">
        <v>27</v>
      </c>
      <c r="D125" s="4" t="s">
        <v>28</v>
      </c>
      <c r="E125" s="4" t="s">
        <v>195</v>
      </c>
      <c r="F125" s="31">
        <v>45853</v>
      </c>
      <c r="G125" s="4">
        <v>5452</v>
      </c>
      <c r="H125" s="31" t="s">
        <v>523</v>
      </c>
      <c r="I125" s="50" t="s">
        <v>812</v>
      </c>
      <c r="J125" s="31" t="s">
        <v>160</v>
      </c>
      <c r="K125" s="4" t="s">
        <v>33</v>
      </c>
      <c r="L125" s="4" t="s">
        <v>518</v>
      </c>
      <c r="M125" s="31" t="s">
        <v>525</v>
      </c>
      <c r="N125" s="4" t="s">
        <v>36</v>
      </c>
      <c r="O125" s="4">
        <v>1</v>
      </c>
      <c r="P125" s="112" t="s">
        <v>37</v>
      </c>
      <c r="Q125" s="31" t="s">
        <v>813</v>
      </c>
      <c r="R125" s="34">
        <v>45</v>
      </c>
      <c r="S125" s="59">
        <v>378.75</v>
      </c>
      <c r="T125" s="58">
        <f t="shared" si="6"/>
        <v>423.75</v>
      </c>
      <c r="U125" s="36">
        <v>45908</v>
      </c>
      <c r="V125" s="34"/>
      <c r="W125" s="34"/>
      <c r="X125" s="34"/>
    </row>
    <row r="126" spans="1:24" ht="15" thickBot="1">
      <c r="A126" s="4" t="s">
        <v>25</v>
      </c>
      <c r="B126" s="4" t="s">
        <v>26</v>
      </c>
      <c r="C126" s="4" t="s">
        <v>27</v>
      </c>
      <c r="D126" s="4" t="s">
        <v>28</v>
      </c>
      <c r="E126" s="4" t="s">
        <v>195</v>
      </c>
      <c r="F126" s="31">
        <v>45853</v>
      </c>
      <c r="G126" s="4">
        <v>5453</v>
      </c>
      <c r="H126" s="31" t="s">
        <v>527</v>
      </c>
      <c r="I126" s="50" t="s">
        <v>528</v>
      </c>
      <c r="J126" s="31" t="s">
        <v>160</v>
      </c>
      <c r="K126" s="4" t="s">
        <v>33</v>
      </c>
      <c r="L126" s="4" t="s">
        <v>529</v>
      </c>
      <c r="M126" s="31" t="s">
        <v>117</v>
      </c>
      <c r="N126" s="4" t="s">
        <v>36</v>
      </c>
      <c r="O126" s="4">
        <v>1</v>
      </c>
      <c r="P126" s="119" t="s">
        <v>814</v>
      </c>
      <c r="Q126" s="31" t="s">
        <v>815</v>
      </c>
      <c r="R126" s="34">
        <v>45</v>
      </c>
      <c r="S126" s="37">
        <v>215</v>
      </c>
      <c r="T126" s="58">
        <f>SUM(R126:S126)</f>
        <v>260</v>
      </c>
      <c r="U126" s="111">
        <v>45993</v>
      </c>
      <c r="V126" s="34"/>
      <c r="W126" s="34"/>
      <c r="X126" s="34"/>
    </row>
    <row r="127" spans="1:24" ht="15" thickBot="1">
      <c r="A127" s="4" t="s">
        <v>25</v>
      </c>
      <c r="B127" s="4" t="s">
        <v>26</v>
      </c>
      <c r="C127" s="4" t="s">
        <v>27</v>
      </c>
      <c r="D127" s="4" t="s">
        <v>28</v>
      </c>
      <c r="E127" s="4" t="s">
        <v>195</v>
      </c>
      <c r="F127" s="31">
        <v>45853</v>
      </c>
      <c r="G127" s="4">
        <v>5454</v>
      </c>
      <c r="H127" s="31" t="s">
        <v>531</v>
      </c>
      <c r="I127" s="50" t="s">
        <v>532</v>
      </c>
      <c r="J127" s="31" t="s">
        <v>160</v>
      </c>
      <c r="K127" s="4" t="s">
        <v>33</v>
      </c>
      <c r="L127" s="4" t="s">
        <v>533</v>
      </c>
      <c r="M127" s="31" t="s">
        <v>55</v>
      </c>
      <c r="N127" s="4" t="s">
        <v>36</v>
      </c>
      <c r="O127" s="4">
        <v>1</v>
      </c>
      <c r="P127" s="112" t="s">
        <v>37</v>
      </c>
      <c r="Q127" s="31" t="s">
        <v>55</v>
      </c>
      <c r="R127" s="34">
        <v>45</v>
      </c>
      <c r="S127" s="34">
        <v>163.75</v>
      </c>
      <c r="T127" s="58">
        <f t="shared" si="6"/>
        <v>208.75</v>
      </c>
      <c r="U127" s="36">
        <v>45908</v>
      </c>
      <c r="V127" s="34"/>
      <c r="W127" s="122" t="s">
        <v>789</v>
      </c>
      <c r="X127" s="34"/>
    </row>
    <row r="128" spans="1:24" ht="15" thickBot="1">
      <c r="A128" s="4" t="s">
        <v>25</v>
      </c>
      <c r="B128" s="4" t="s">
        <v>26</v>
      </c>
      <c r="C128" s="4" t="s">
        <v>27</v>
      </c>
      <c r="D128" s="4" t="s">
        <v>28</v>
      </c>
      <c r="E128" s="4" t="s">
        <v>195</v>
      </c>
      <c r="F128" s="31">
        <v>45853</v>
      </c>
      <c r="G128" s="4">
        <v>5455</v>
      </c>
      <c r="H128" s="31" t="s">
        <v>534</v>
      </c>
      <c r="I128" s="50" t="s">
        <v>535</v>
      </c>
      <c r="J128" s="31" t="s">
        <v>160</v>
      </c>
      <c r="K128" s="4" t="s">
        <v>33</v>
      </c>
      <c r="L128" s="4" t="s">
        <v>536</v>
      </c>
      <c r="M128" s="31" t="s">
        <v>457</v>
      </c>
      <c r="N128" s="4" t="s">
        <v>36</v>
      </c>
      <c r="O128" s="4">
        <v>1</v>
      </c>
      <c r="P128" s="119" t="s">
        <v>37</v>
      </c>
      <c r="Q128" s="31" t="s">
        <v>55</v>
      </c>
      <c r="R128" s="34">
        <v>45</v>
      </c>
      <c r="S128" s="34">
        <v>163.75</v>
      </c>
      <c r="T128" s="58">
        <f t="shared" si="6"/>
        <v>208.75</v>
      </c>
      <c r="U128" s="36">
        <v>45908</v>
      </c>
      <c r="V128" s="34"/>
      <c r="W128" s="122" t="s">
        <v>789</v>
      </c>
      <c r="X128" s="34"/>
    </row>
    <row r="129" spans="1:24" ht="15" thickBot="1">
      <c r="A129" s="4" t="s">
        <v>25</v>
      </c>
      <c r="B129" s="4" t="s">
        <v>26</v>
      </c>
      <c r="C129" s="4" t="s">
        <v>27</v>
      </c>
      <c r="D129" s="4" t="s">
        <v>28</v>
      </c>
      <c r="E129" s="4" t="s">
        <v>195</v>
      </c>
      <c r="F129" s="31">
        <v>45853</v>
      </c>
      <c r="G129" s="4">
        <v>5456</v>
      </c>
      <c r="H129" s="31" t="s">
        <v>537</v>
      </c>
      <c r="I129" s="50" t="s">
        <v>538</v>
      </c>
      <c r="J129" s="31" t="s">
        <v>160</v>
      </c>
      <c r="K129" s="4" t="s">
        <v>33</v>
      </c>
      <c r="L129" s="4" t="s">
        <v>539</v>
      </c>
      <c r="M129" s="31" t="s">
        <v>540</v>
      </c>
      <c r="N129" s="4" t="s">
        <v>36</v>
      </c>
      <c r="O129" s="4">
        <v>1</v>
      </c>
      <c r="P129" s="119" t="s">
        <v>37</v>
      </c>
      <c r="Q129" s="31" t="s">
        <v>541</v>
      </c>
      <c r="R129" s="34">
        <v>45</v>
      </c>
      <c r="S129" s="59">
        <v>283.75</v>
      </c>
      <c r="T129" s="58">
        <f t="shared" si="6"/>
        <v>328.75</v>
      </c>
      <c r="U129" s="36">
        <v>45908</v>
      </c>
      <c r="V129" s="34"/>
      <c r="W129" s="122" t="s">
        <v>789</v>
      </c>
      <c r="X129" s="34"/>
    </row>
    <row r="130" spans="1:24" ht="15" thickBot="1">
      <c r="A130" s="4" t="s">
        <v>25</v>
      </c>
      <c r="B130" s="4" t="s">
        <v>26</v>
      </c>
      <c r="C130" s="4" t="s">
        <v>27</v>
      </c>
      <c r="D130" s="4" t="s">
        <v>28</v>
      </c>
      <c r="E130" s="4" t="s">
        <v>195</v>
      </c>
      <c r="F130" s="31">
        <v>45853</v>
      </c>
      <c r="G130" s="4">
        <v>5457</v>
      </c>
      <c r="H130" s="31" t="s">
        <v>542</v>
      </c>
      <c r="I130" s="50" t="s">
        <v>543</v>
      </c>
      <c r="J130" s="31" t="s">
        <v>160</v>
      </c>
      <c r="K130" s="4" t="s">
        <v>33</v>
      </c>
      <c r="L130" s="4" t="s">
        <v>544</v>
      </c>
      <c r="M130" s="31" t="s">
        <v>55</v>
      </c>
      <c r="N130" s="4" t="s">
        <v>36</v>
      </c>
      <c r="O130" s="4">
        <v>1</v>
      </c>
      <c r="P130" s="119" t="s">
        <v>37</v>
      </c>
      <c r="Q130" s="31" t="s">
        <v>55</v>
      </c>
      <c r="R130" s="34">
        <v>45</v>
      </c>
      <c r="S130" s="34">
        <v>163.75</v>
      </c>
      <c r="T130" s="58">
        <f t="shared" si="6"/>
        <v>208.75</v>
      </c>
      <c r="U130" s="36">
        <v>45908</v>
      </c>
      <c r="V130" s="34"/>
      <c r="W130" s="122" t="s">
        <v>789</v>
      </c>
      <c r="X130" s="34"/>
    </row>
    <row r="131" spans="1:24" ht="15" thickBot="1">
      <c r="A131" s="4" t="s">
        <v>25</v>
      </c>
      <c r="B131" s="4" t="s">
        <v>26</v>
      </c>
      <c r="C131" s="4" t="s">
        <v>27</v>
      </c>
      <c r="D131" s="4" t="s">
        <v>28</v>
      </c>
      <c r="E131" s="4" t="s">
        <v>195</v>
      </c>
      <c r="F131" s="31">
        <v>45853</v>
      </c>
      <c r="G131" s="4">
        <v>5458</v>
      </c>
      <c r="H131" s="31" t="s">
        <v>545</v>
      </c>
      <c r="I131" s="50" t="s">
        <v>546</v>
      </c>
      <c r="J131" s="31" t="s">
        <v>160</v>
      </c>
      <c r="K131" s="4" t="s">
        <v>3232</v>
      </c>
      <c r="L131" s="4" t="s">
        <v>547</v>
      </c>
      <c r="M131" s="31"/>
      <c r="N131" s="4" t="s">
        <v>36</v>
      </c>
      <c r="O131" s="4">
        <v>1</v>
      </c>
      <c r="P131" s="119"/>
      <c r="Q131" s="31" t="s">
        <v>816</v>
      </c>
      <c r="R131" s="34">
        <v>45</v>
      </c>
      <c r="S131" s="37">
        <v>435.5</v>
      </c>
      <c r="T131" s="58">
        <f>SUM(R131:S131)</f>
        <v>480.5</v>
      </c>
      <c r="U131" s="126">
        <v>46072</v>
      </c>
      <c r="V131" s="34"/>
      <c r="W131" s="34"/>
      <c r="X131" s="34"/>
    </row>
    <row r="132" spans="1:24" ht="15" thickBot="1">
      <c r="A132" s="4" t="s">
        <v>25</v>
      </c>
      <c r="B132" s="4" t="s">
        <v>26</v>
      </c>
      <c r="C132" s="4" t="s">
        <v>27</v>
      </c>
      <c r="D132" s="4" t="s">
        <v>28</v>
      </c>
      <c r="E132" s="4" t="s">
        <v>195</v>
      </c>
      <c r="F132" s="31">
        <v>45853</v>
      </c>
      <c r="G132" s="4">
        <v>5459</v>
      </c>
      <c r="H132" s="31" t="s">
        <v>548</v>
      </c>
      <c r="I132" s="50" t="s">
        <v>549</v>
      </c>
      <c r="J132" s="31" t="s">
        <v>160</v>
      </c>
      <c r="K132" s="4" t="s">
        <v>33</v>
      </c>
      <c r="L132" s="4" t="s">
        <v>817</v>
      </c>
      <c r="M132" s="31" t="s">
        <v>818</v>
      </c>
      <c r="N132" s="4" t="s">
        <v>36</v>
      </c>
      <c r="O132" s="4">
        <v>1</v>
      </c>
      <c r="P132" s="119" t="s">
        <v>819</v>
      </c>
      <c r="Q132" s="31" t="s">
        <v>818</v>
      </c>
      <c r="R132" s="34">
        <v>45</v>
      </c>
      <c r="S132" s="37">
        <v>395.5</v>
      </c>
      <c r="T132" s="58">
        <f t="shared" ref="T132:T165" si="7">SUM(R132:S132)</f>
        <v>440.5</v>
      </c>
      <c r="U132" s="36">
        <v>45939</v>
      </c>
      <c r="V132" s="34"/>
      <c r="W132" s="122" t="s">
        <v>789</v>
      </c>
      <c r="X132" s="34"/>
    </row>
    <row r="133" spans="1:24" ht="15" thickBot="1">
      <c r="A133" s="4" t="s">
        <v>25</v>
      </c>
      <c r="B133" s="4" t="s">
        <v>26</v>
      </c>
      <c r="C133" s="4" t="s">
        <v>27</v>
      </c>
      <c r="D133" s="4" t="s">
        <v>28</v>
      </c>
      <c r="E133" s="4" t="s">
        <v>195</v>
      </c>
      <c r="F133" s="31">
        <v>45853</v>
      </c>
      <c r="G133" s="4">
        <v>5460</v>
      </c>
      <c r="H133" s="31" t="s">
        <v>551</v>
      </c>
      <c r="I133" s="50" t="s">
        <v>552</v>
      </c>
      <c r="J133" s="31" t="s">
        <v>160</v>
      </c>
      <c r="K133" s="4" t="s">
        <v>33</v>
      </c>
      <c r="L133" s="4" t="s">
        <v>553</v>
      </c>
      <c r="M133" s="31" t="s">
        <v>554</v>
      </c>
      <c r="N133" s="4" t="s">
        <v>36</v>
      </c>
      <c r="O133" s="4">
        <v>1</v>
      </c>
      <c r="P133" s="119" t="s">
        <v>555</v>
      </c>
      <c r="Q133" s="31" t="s">
        <v>820</v>
      </c>
      <c r="R133" s="34">
        <v>45</v>
      </c>
      <c r="S133" s="37">
        <v>275.5</v>
      </c>
      <c r="T133" s="58">
        <f>SUM(R133:S133)</f>
        <v>320.5</v>
      </c>
      <c r="U133" s="36">
        <v>46038</v>
      </c>
      <c r="V133" s="34"/>
      <c r="W133" s="34"/>
      <c r="X133" s="34"/>
    </row>
    <row r="134" spans="1:24" ht="15" thickBot="1">
      <c r="A134" s="4" t="s">
        <v>25</v>
      </c>
      <c r="B134" s="4" t="s">
        <v>26</v>
      </c>
      <c r="C134" s="4" t="s">
        <v>27</v>
      </c>
      <c r="D134" s="4" t="s">
        <v>28</v>
      </c>
      <c r="E134" s="4" t="s">
        <v>195</v>
      </c>
      <c r="F134" s="31">
        <v>45853</v>
      </c>
      <c r="G134" s="4">
        <v>5461</v>
      </c>
      <c r="H134" s="31" t="s">
        <v>556</v>
      </c>
      <c r="I134" s="50" t="s">
        <v>557</v>
      </c>
      <c r="J134" s="31" t="s">
        <v>397</v>
      </c>
      <c r="K134" s="4" t="s">
        <v>48</v>
      </c>
      <c r="L134" s="4" t="s">
        <v>821</v>
      </c>
      <c r="M134" s="31" t="s">
        <v>457</v>
      </c>
      <c r="N134" s="4" t="s">
        <v>36</v>
      </c>
      <c r="O134" s="4">
        <v>1</v>
      </c>
      <c r="P134" s="119" t="s">
        <v>822</v>
      </c>
      <c r="Q134" s="31" t="s">
        <v>55</v>
      </c>
      <c r="R134" s="34">
        <v>45</v>
      </c>
      <c r="S134" s="37">
        <v>163.75</v>
      </c>
      <c r="T134" s="58">
        <f t="shared" si="7"/>
        <v>208.75</v>
      </c>
      <c r="U134" s="36">
        <v>45939</v>
      </c>
      <c r="V134" s="34"/>
      <c r="W134" s="122" t="s">
        <v>789</v>
      </c>
      <c r="X134" s="34"/>
    </row>
    <row r="135" spans="1:24" ht="15" thickBot="1">
      <c r="A135" s="4" t="s">
        <v>25</v>
      </c>
      <c r="B135" s="4" t="s">
        <v>26</v>
      </c>
      <c r="C135" s="4" t="s">
        <v>27</v>
      </c>
      <c r="D135" s="4" t="s">
        <v>28</v>
      </c>
      <c r="E135" s="4" t="s">
        <v>195</v>
      </c>
      <c r="F135" s="31">
        <v>45853</v>
      </c>
      <c r="G135" s="4">
        <v>5462</v>
      </c>
      <c r="H135" s="31" t="s">
        <v>562</v>
      </c>
      <c r="I135" s="50" t="s">
        <v>563</v>
      </c>
      <c r="J135" s="31" t="s">
        <v>160</v>
      </c>
      <c r="K135" s="4" t="s">
        <v>33</v>
      </c>
      <c r="L135" s="4" t="s">
        <v>564</v>
      </c>
      <c r="M135" s="31" t="s">
        <v>565</v>
      </c>
      <c r="N135" s="4" t="s">
        <v>36</v>
      </c>
      <c r="O135" s="4">
        <v>1</v>
      </c>
      <c r="P135" s="112" t="s">
        <v>413</v>
      </c>
      <c r="Q135" s="31" t="s">
        <v>55</v>
      </c>
      <c r="R135" s="34">
        <v>45</v>
      </c>
      <c r="S135" s="34">
        <v>163.75</v>
      </c>
      <c r="T135" s="58">
        <f t="shared" si="7"/>
        <v>208.75</v>
      </c>
      <c r="U135" s="36">
        <v>45908</v>
      </c>
      <c r="V135" s="34"/>
      <c r="W135" s="122" t="s">
        <v>789</v>
      </c>
      <c r="X135" s="45" t="s">
        <v>823</v>
      </c>
    </row>
    <row r="136" spans="1:24" ht="15" thickBot="1">
      <c r="A136" s="4" t="s">
        <v>25</v>
      </c>
      <c r="B136" s="4" t="s">
        <v>26</v>
      </c>
      <c r="C136" s="4" t="s">
        <v>27</v>
      </c>
      <c r="D136" s="4" t="s">
        <v>28</v>
      </c>
      <c r="E136" s="4" t="s">
        <v>195</v>
      </c>
      <c r="F136" s="31">
        <v>45853</v>
      </c>
      <c r="G136" s="4">
        <v>5463</v>
      </c>
      <c r="H136" s="31" t="s">
        <v>566</v>
      </c>
      <c r="I136" s="50" t="s">
        <v>567</v>
      </c>
      <c r="J136" s="31" t="s">
        <v>756</v>
      </c>
      <c r="K136" s="4" t="s">
        <v>33</v>
      </c>
      <c r="L136" s="4" t="s">
        <v>568</v>
      </c>
      <c r="M136" s="31" t="s">
        <v>569</v>
      </c>
      <c r="N136" s="4" t="s">
        <v>499</v>
      </c>
      <c r="O136" s="4">
        <v>1</v>
      </c>
      <c r="P136" s="119" t="s">
        <v>824</v>
      </c>
      <c r="Q136" s="31"/>
      <c r="R136" s="34">
        <v>45</v>
      </c>
      <c r="S136" s="37">
        <v>0</v>
      </c>
      <c r="T136" s="58">
        <v>0</v>
      </c>
      <c r="U136" s="4"/>
      <c r="V136" s="34"/>
      <c r="W136" s="34"/>
      <c r="X136" s="34"/>
    </row>
    <row r="137" spans="1:24" ht="15" thickBot="1">
      <c r="A137" s="4" t="s">
        <v>25</v>
      </c>
      <c r="B137" s="4" t="s">
        <v>26</v>
      </c>
      <c r="C137" s="4" t="s">
        <v>27</v>
      </c>
      <c r="D137" s="4" t="s">
        <v>28</v>
      </c>
      <c r="E137" s="4" t="s">
        <v>195</v>
      </c>
      <c r="F137" s="31">
        <v>45853</v>
      </c>
      <c r="G137" s="4">
        <v>5464</v>
      </c>
      <c r="H137" s="31" t="s">
        <v>571</v>
      </c>
      <c r="I137" s="50" t="s">
        <v>572</v>
      </c>
      <c r="J137" s="31" t="s">
        <v>160</v>
      </c>
      <c r="K137" s="4" t="s">
        <v>33</v>
      </c>
      <c r="L137" s="4" t="s">
        <v>573</v>
      </c>
      <c r="M137" s="31" t="s">
        <v>574</v>
      </c>
      <c r="N137" s="4" t="s">
        <v>36</v>
      </c>
      <c r="O137" s="4">
        <v>1</v>
      </c>
      <c r="P137" s="119" t="s">
        <v>499</v>
      </c>
      <c r="Q137" s="31" t="s">
        <v>3252</v>
      </c>
      <c r="R137" s="34">
        <v>45</v>
      </c>
      <c r="S137" s="37">
        <v>435.5</v>
      </c>
      <c r="T137" s="58">
        <f t="shared" ref="T137" si="8">SUM(R137:S137)</f>
        <v>480.5</v>
      </c>
      <c r="U137" s="126">
        <v>46085</v>
      </c>
      <c r="V137" s="34"/>
      <c r="W137" s="34"/>
      <c r="X137" s="4" t="s">
        <v>262</v>
      </c>
    </row>
    <row r="138" spans="1:24" ht="15" thickBot="1">
      <c r="A138" s="4" t="s">
        <v>25</v>
      </c>
      <c r="B138" s="4" t="s">
        <v>26</v>
      </c>
      <c r="C138" s="4" t="s">
        <v>27</v>
      </c>
      <c r="D138" s="64" t="s">
        <v>28</v>
      </c>
      <c r="E138" s="4" t="s">
        <v>195</v>
      </c>
      <c r="F138" s="31">
        <v>45853</v>
      </c>
      <c r="G138" s="4">
        <v>5465</v>
      </c>
      <c r="H138" s="31" t="s">
        <v>575</v>
      </c>
      <c r="I138" s="50" t="s">
        <v>576</v>
      </c>
      <c r="J138" s="31" t="s">
        <v>379</v>
      </c>
      <c r="K138" s="31" t="s">
        <v>48</v>
      </c>
      <c r="L138" s="4" t="s">
        <v>351</v>
      </c>
      <c r="M138" s="31" t="s">
        <v>577</v>
      </c>
      <c r="N138" s="4" t="s">
        <v>36</v>
      </c>
      <c r="O138" s="4">
        <v>1</v>
      </c>
      <c r="P138" s="119" t="s">
        <v>578</v>
      </c>
      <c r="Q138" s="31" t="s">
        <v>352</v>
      </c>
      <c r="R138" s="34">
        <v>45</v>
      </c>
      <c r="S138" s="37">
        <v>160</v>
      </c>
      <c r="T138" s="58">
        <f t="shared" si="7"/>
        <v>205</v>
      </c>
      <c r="U138" s="36">
        <v>45908</v>
      </c>
      <c r="V138" s="34"/>
      <c r="W138" s="122" t="s">
        <v>789</v>
      </c>
      <c r="X138" s="4"/>
    </row>
    <row r="139" spans="1:24" ht="15" thickBot="1">
      <c r="A139" s="4" t="s">
        <v>25</v>
      </c>
      <c r="B139" s="4" t="s">
        <v>26</v>
      </c>
      <c r="C139" s="4" t="s">
        <v>27</v>
      </c>
      <c r="D139" s="4" t="s">
        <v>28</v>
      </c>
      <c r="E139" s="4" t="s">
        <v>195</v>
      </c>
      <c r="F139" s="31">
        <v>45853</v>
      </c>
      <c r="G139" s="4">
        <v>5466</v>
      </c>
      <c r="H139" s="31" t="s">
        <v>579</v>
      </c>
      <c r="I139" s="50" t="s">
        <v>580</v>
      </c>
      <c r="J139" s="31" t="s">
        <v>379</v>
      </c>
      <c r="K139" s="31" t="s">
        <v>48</v>
      </c>
      <c r="L139" s="4" t="s">
        <v>351</v>
      </c>
      <c r="M139" s="31" t="s">
        <v>577</v>
      </c>
      <c r="N139" s="4" t="s">
        <v>36</v>
      </c>
      <c r="O139" s="4">
        <v>1</v>
      </c>
      <c r="P139" s="119" t="s">
        <v>578</v>
      </c>
      <c r="Q139" s="31" t="s">
        <v>352</v>
      </c>
      <c r="R139" s="34">
        <v>45</v>
      </c>
      <c r="S139" s="37">
        <v>160</v>
      </c>
      <c r="T139" s="58">
        <f t="shared" si="7"/>
        <v>205</v>
      </c>
      <c r="U139" s="36">
        <v>45908</v>
      </c>
      <c r="V139" s="34"/>
      <c r="W139" s="122" t="s">
        <v>789</v>
      </c>
      <c r="X139" s="4"/>
    </row>
    <row r="140" spans="1:24" ht="15" thickBot="1">
      <c r="A140" s="4" t="s">
        <v>25</v>
      </c>
      <c r="B140" s="4" t="s">
        <v>26</v>
      </c>
      <c r="C140" s="4" t="s">
        <v>27</v>
      </c>
      <c r="D140" s="4" t="s">
        <v>28</v>
      </c>
      <c r="E140" s="4" t="s">
        <v>195</v>
      </c>
      <c r="F140" s="31">
        <v>45853</v>
      </c>
      <c r="G140" s="4">
        <v>5468</v>
      </c>
      <c r="H140" s="31" t="s">
        <v>581</v>
      </c>
      <c r="I140" s="50" t="s">
        <v>582</v>
      </c>
      <c r="J140" s="31" t="s">
        <v>485</v>
      </c>
      <c r="K140" s="31" t="s">
        <v>48</v>
      </c>
      <c r="L140" s="4" t="s">
        <v>553</v>
      </c>
      <c r="M140" s="31" t="s">
        <v>513</v>
      </c>
      <c r="N140" s="4" t="s">
        <v>36</v>
      </c>
      <c r="O140" s="4">
        <v>1</v>
      </c>
      <c r="P140" s="119" t="s">
        <v>584</v>
      </c>
      <c r="Q140" s="31" t="s">
        <v>258</v>
      </c>
      <c r="R140" s="34">
        <v>45</v>
      </c>
      <c r="S140" s="37">
        <v>0</v>
      </c>
      <c r="T140" s="58">
        <f t="shared" si="7"/>
        <v>45</v>
      </c>
      <c r="U140" s="36">
        <v>45908</v>
      </c>
      <c r="V140" s="34"/>
      <c r="W140" s="122" t="s">
        <v>789</v>
      </c>
      <c r="X140" s="4"/>
    </row>
    <row r="141" spans="1:24" ht="15" thickBot="1">
      <c r="A141" s="4" t="s">
        <v>25</v>
      </c>
      <c r="B141" s="4" t="s">
        <v>26</v>
      </c>
      <c r="C141" s="4" t="s">
        <v>27</v>
      </c>
      <c r="D141" s="4" t="s">
        <v>28</v>
      </c>
      <c r="E141" s="4" t="s">
        <v>195</v>
      </c>
      <c r="F141" s="31">
        <v>45853</v>
      </c>
      <c r="G141" s="4">
        <v>5469</v>
      </c>
      <c r="H141" s="31" t="s">
        <v>585</v>
      </c>
      <c r="I141" s="50" t="s">
        <v>586</v>
      </c>
      <c r="J141" s="31" t="s">
        <v>379</v>
      </c>
      <c r="K141" s="31" t="s">
        <v>48</v>
      </c>
      <c r="L141" s="4" t="s">
        <v>587</v>
      </c>
      <c r="M141" s="31" t="s">
        <v>423</v>
      </c>
      <c r="N141" s="4" t="s">
        <v>36</v>
      </c>
      <c r="O141" s="4">
        <v>1</v>
      </c>
      <c r="P141" s="119" t="s">
        <v>37</v>
      </c>
      <c r="Q141" s="31" t="s">
        <v>423</v>
      </c>
      <c r="R141" s="34">
        <v>45</v>
      </c>
      <c r="S141" s="37">
        <v>0</v>
      </c>
      <c r="T141" s="58">
        <f t="shared" si="7"/>
        <v>45</v>
      </c>
      <c r="U141" s="36">
        <v>45939</v>
      </c>
      <c r="V141" s="34"/>
      <c r="W141" s="122" t="s">
        <v>789</v>
      </c>
      <c r="X141" s="4"/>
    </row>
    <row r="142" spans="1:24" ht="15" thickBot="1">
      <c r="A142" s="4" t="s">
        <v>25</v>
      </c>
      <c r="B142" s="4" t="s">
        <v>26</v>
      </c>
      <c r="C142" s="4" t="s">
        <v>27</v>
      </c>
      <c r="D142" s="4" t="s">
        <v>28</v>
      </c>
      <c r="E142" s="4" t="s">
        <v>195</v>
      </c>
      <c r="F142" s="31">
        <v>45853</v>
      </c>
      <c r="G142" s="4">
        <v>5470</v>
      </c>
      <c r="H142" s="31" t="s">
        <v>588</v>
      </c>
      <c r="I142" s="50" t="s">
        <v>589</v>
      </c>
      <c r="J142" s="31" t="s">
        <v>201</v>
      </c>
      <c r="K142" s="31" t="s">
        <v>48</v>
      </c>
      <c r="L142" s="4" t="s">
        <v>241</v>
      </c>
      <c r="M142" s="31" t="s">
        <v>457</v>
      </c>
      <c r="N142" s="4" t="s">
        <v>36</v>
      </c>
      <c r="O142" s="4">
        <v>1</v>
      </c>
      <c r="P142" s="119" t="s">
        <v>590</v>
      </c>
      <c r="Q142" s="31" t="s">
        <v>457</v>
      </c>
      <c r="R142" s="34">
        <v>45</v>
      </c>
      <c r="S142" s="37">
        <v>0</v>
      </c>
      <c r="T142" s="58">
        <f t="shared" si="7"/>
        <v>45</v>
      </c>
      <c r="U142" s="36">
        <v>45908</v>
      </c>
      <c r="V142" s="34"/>
      <c r="W142" s="122" t="s">
        <v>789</v>
      </c>
      <c r="X142" s="4"/>
    </row>
    <row r="143" spans="1:24" ht="15" thickBot="1">
      <c r="A143" s="4" t="s">
        <v>25</v>
      </c>
      <c r="B143" s="4" t="s">
        <v>26</v>
      </c>
      <c r="C143" s="4" t="s">
        <v>27</v>
      </c>
      <c r="D143" s="4" t="s">
        <v>28</v>
      </c>
      <c r="E143" s="4" t="s">
        <v>195</v>
      </c>
      <c r="F143" s="31">
        <v>45853</v>
      </c>
      <c r="G143" s="4">
        <v>5471</v>
      </c>
      <c r="H143" s="31" t="s">
        <v>591</v>
      </c>
      <c r="I143" s="50" t="s">
        <v>592</v>
      </c>
      <c r="J143" s="31" t="s">
        <v>201</v>
      </c>
      <c r="K143" s="31" t="s">
        <v>48</v>
      </c>
      <c r="L143" s="4" t="s">
        <v>593</v>
      </c>
      <c r="M143" s="31" t="s">
        <v>825</v>
      </c>
      <c r="N143" s="4" t="s">
        <v>36</v>
      </c>
      <c r="O143" s="4">
        <v>1</v>
      </c>
      <c r="P143" s="119" t="s">
        <v>826</v>
      </c>
      <c r="Q143" s="31" t="s">
        <v>827</v>
      </c>
      <c r="R143" s="34">
        <v>45</v>
      </c>
      <c r="S143" s="37">
        <v>230</v>
      </c>
      <c r="T143" s="58">
        <f>SUM(R143:S143)</f>
        <v>275</v>
      </c>
      <c r="U143" s="36">
        <v>46038</v>
      </c>
      <c r="V143" s="34"/>
      <c r="W143" s="34"/>
      <c r="X143" s="4"/>
    </row>
    <row r="144" spans="1:24" ht="15" thickBot="1">
      <c r="A144" s="4" t="s">
        <v>25</v>
      </c>
      <c r="B144" s="4" t="s">
        <v>26</v>
      </c>
      <c r="C144" s="4" t="s">
        <v>27</v>
      </c>
      <c r="D144" s="4" t="s">
        <v>28</v>
      </c>
      <c r="E144" s="4" t="s">
        <v>195</v>
      </c>
      <c r="F144" s="31">
        <v>45853</v>
      </c>
      <c r="G144" s="4">
        <v>5472</v>
      </c>
      <c r="H144" s="31" t="s">
        <v>594</v>
      </c>
      <c r="I144" s="50" t="s">
        <v>595</v>
      </c>
      <c r="J144" s="31" t="s">
        <v>160</v>
      </c>
      <c r="K144" s="31" t="s">
        <v>33</v>
      </c>
      <c r="L144" s="4" t="s">
        <v>596</v>
      </c>
      <c r="M144" s="31" t="s">
        <v>597</v>
      </c>
      <c r="N144" s="4" t="s">
        <v>36</v>
      </c>
      <c r="O144" s="4">
        <v>1</v>
      </c>
      <c r="P144" s="119" t="s">
        <v>598</v>
      </c>
      <c r="Q144" s="31" t="s">
        <v>597</v>
      </c>
      <c r="R144" s="34">
        <v>45</v>
      </c>
      <c r="S144" s="34">
        <v>183.75</v>
      </c>
      <c r="T144" s="58">
        <f t="shared" si="7"/>
        <v>228.75</v>
      </c>
      <c r="U144" s="36">
        <v>45908</v>
      </c>
      <c r="V144" s="34"/>
      <c r="W144" s="122" t="s">
        <v>789</v>
      </c>
      <c r="X144" s="4"/>
    </row>
    <row r="145" spans="1:24" ht="15" thickBot="1">
      <c r="A145" s="4" t="s">
        <v>154</v>
      </c>
      <c r="B145" s="4" t="s">
        <v>155</v>
      </c>
      <c r="C145" s="4">
        <v>616866669</v>
      </c>
      <c r="D145" s="4" t="s">
        <v>156</v>
      </c>
      <c r="E145" s="64" t="s">
        <v>599</v>
      </c>
      <c r="F145" s="31">
        <v>45853</v>
      </c>
      <c r="G145" s="4">
        <v>5473</v>
      </c>
      <c r="H145" s="31" t="s">
        <v>600</v>
      </c>
      <c r="I145" s="50" t="s">
        <v>601</v>
      </c>
      <c r="J145" s="31" t="s">
        <v>160</v>
      </c>
      <c r="K145" s="31" t="s">
        <v>33</v>
      </c>
      <c r="L145" s="31" t="s">
        <v>602</v>
      </c>
      <c r="M145" s="31" t="s">
        <v>603</v>
      </c>
      <c r="N145" s="4" t="s">
        <v>36</v>
      </c>
      <c r="O145" s="4">
        <v>1</v>
      </c>
      <c r="P145" s="119" t="s">
        <v>604</v>
      </c>
      <c r="Q145" s="31" t="s">
        <v>605</v>
      </c>
      <c r="R145" s="34">
        <v>45</v>
      </c>
      <c r="S145" s="59">
        <v>395.5</v>
      </c>
      <c r="T145" s="58">
        <f t="shared" si="7"/>
        <v>440.5</v>
      </c>
      <c r="U145" s="36">
        <v>45908</v>
      </c>
      <c r="V145" s="34"/>
      <c r="W145" s="122" t="s">
        <v>789</v>
      </c>
      <c r="X145" s="4"/>
    </row>
    <row r="146" spans="1:24" ht="15" thickBot="1">
      <c r="A146" s="4" t="s">
        <v>154</v>
      </c>
      <c r="B146" s="4" t="s">
        <v>155</v>
      </c>
      <c r="C146" s="4">
        <v>616866669</v>
      </c>
      <c r="D146" s="4" t="s">
        <v>156</v>
      </c>
      <c r="E146" s="4" t="s">
        <v>157</v>
      </c>
      <c r="F146" s="31">
        <v>45853</v>
      </c>
      <c r="G146" s="4">
        <v>5474</v>
      </c>
      <c r="H146" s="31" t="s">
        <v>606</v>
      </c>
      <c r="I146" s="50" t="s">
        <v>828</v>
      </c>
      <c r="J146" s="31" t="s">
        <v>160</v>
      </c>
      <c r="K146" s="31" t="s">
        <v>33</v>
      </c>
      <c r="L146" s="31" t="s">
        <v>608</v>
      </c>
      <c r="M146" s="31" t="s">
        <v>829</v>
      </c>
      <c r="N146" s="4" t="s">
        <v>36</v>
      </c>
      <c r="O146" s="4">
        <v>1</v>
      </c>
      <c r="P146" s="119" t="s">
        <v>830</v>
      </c>
      <c r="Q146" s="31" t="s">
        <v>831</v>
      </c>
      <c r="R146" s="34">
        <v>45</v>
      </c>
      <c r="S146" s="37">
        <v>215</v>
      </c>
      <c r="T146" s="58">
        <f>SUM(R146:S146)</f>
        <v>260</v>
      </c>
      <c r="U146" s="111">
        <v>45993</v>
      </c>
      <c r="V146" s="34"/>
      <c r="W146" s="34"/>
      <c r="X146" s="4"/>
    </row>
    <row r="147" spans="1:24" ht="15" thickBot="1">
      <c r="A147" s="4" t="s">
        <v>154</v>
      </c>
      <c r="B147" s="4" t="s">
        <v>155</v>
      </c>
      <c r="C147" s="4">
        <v>616866669</v>
      </c>
      <c r="D147" s="64" t="s">
        <v>156</v>
      </c>
      <c r="E147" s="4" t="s">
        <v>157</v>
      </c>
      <c r="F147" s="31">
        <v>45853</v>
      </c>
      <c r="G147" s="4">
        <v>5475</v>
      </c>
      <c r="H147" s="31" t="s">
        <v>609</v>
      </c>
      <c r="I147" s="50" t="s">
        <v>610</v>
      </c>
      <c r="J147" s="31" t="s">
        <v>160</v>
      </c>
      <c r="K147" s="31" t="s">
        <v>33</v>
      </c>
      <c r="L147" s="31" t="s">
        <v>241</v>
      </c>
      <c r="M147" s="31" t="s">
        <v>457</v>
      </c>
      <c r="N147" s="4" t="s">
        <v>36</v>
      </c>
      <c r="O147" s="4">
        <v>1</v>
      </c>
      <c r="P147" s="119" t="s">
        <v>611</v>
      </c>
      <c r="Q147" s="31" t="s">
        <v>55</v>
      </c>
      <c r="R147" s="34">
        <v>45</v>
      </c>
      <c r="S147" s="34">
        <v>163.75</v>
      </c>
      <c r="T147" s="58">
        <f t="shared" si="7"/>
        <v>208.75</v>
      </c>
      <c r="U147" s="36">
        <v>45908</v>
      </c>
      <c r="V147" s="34"/>
      <c r="W147" s="122" t="s">
        <v>789</v>
      </c>
      <c r="X147" s="4"/>
    </row>
    <row r="148" spans="1:24" ht="15" thickBot="1">
      <c r="A148" s="4" t="s">
        <v>154</v>
      </c>
      <c r="B148" s="4" t="s">
        <v>155</v>
      </c>
      <c r="C148" s="4">
        <v>616866669</v>
      </c>
      <c r="D148" s="4" t="s">
        <v>156</v>
      </c>
      <c r="E148" s="4" t="s">
        <v>157</v>
      </c>
      <c r="F148" s="31">
        <v>45853</v>
      </c>
      <c r="G148" s="4">
        <v>5476</v>
      </c>
      <c r="H148" s="31" t="s">
        <v>612</v>
      </c>
      <c r="I148" s="50" t="s">
        <v>613</v>
      </c>
      <c r="J148" s="31" t="s">
        <v>160</v>
      </c>
      <c r="K148" s="31" t="s">
        <v>33</v>
      </c>
      <c r="L148" s="31" t="s">
        <v>241</v>
      </c>
      <c r="M148" s="31" t="s">
        <v>406</v>
      </c>
      <c r="N148" s="4" t="s">
        <v>36</v>
      </c>
      <c r="O148" s="4">
        <v>1</v>
      </c>
      <c r="P148" s="119" t="s">
        <v>37</v>
      </c>
      <c r="Q148" s="31" t="s">
        <v>614</v>
      </c>
      <c r="R148" s="34">
        <v>45</v>
      </c>
      <c r="S148" s="34">
        <v>275.5</v>
      </c>
      <c r="T148" s="58">
        <f t="shared" si="7"/>
        <v>320.5</v>
      </c>
      <c r="U148" s="36">
        <v>45908</v>
      </c>
      <c r="V148" s="34"/>
      <c r="W148" s="122" t="s">
        <v>789</v>
      </c>
      <c r="X148" s="4"/>
    </row>
    <row r="149" spans="1:24" ht="15" thickBot="1">
      <c r="A149" s="4" t="s">
        <v>154</v>
      </c>
      <c r="B149" s="4" t="s">
        <v>155</v>
      </c>
      <c r="C149" s="4">
        <v>616866669</v>
      </c>
      <c r="D149" s="4" t="s">
        <v>156</v>
      </c>
      <c r="E149" s="4" t="s">
        <v>157</v>
      </c>
      <c r="F149" s="31">
        <v>45853</v>
      </c>
      <c r="G149" s="4">
        <v>5477</v>
      </c>
      <c r="H149" s="31" t="s">
        <v>615</v>
      </c>
      <c r="I149" s="50" t="s">
        <v>616</v>
      </c>
      <c r="J149" s="31" t="s">
        <v>160</v>
      </c>
      <c r="K149" s="31" t="s">
        <v>33</v>
      </c>
      <c r="L149" s="31" t="s">
        <v>241</v>
      </c>
      <c r="M149" s="31" t="s">
        <v>457</v>
      </c>
      <c r="N149" s="4" t="s">
        <v>36</v>
      </c>
      <c r="O149" s="4">
        <v>1</v>
      </c>
      <c r="P149" s="119" t="s">
        <v>37</v>
      </c>
      <c r="Q149" s="31" t="s">
        <v>55</v>
      </c>
      <c r="R149" s="34">
        <v>45</v>
      </c>
      <c r="S149" s="59">
        <v>163.75</v>
      </c>
      <c r="T149" s="58">
        <f t="shared" si="7"/>
        <v>208.75</v>
      </c>
      <c r="U149" s="36">
        <v>45908</v>
      </c>
      <c r="V149" s="34"/>
      <c r="W149" s="122" t="s">
        <v>789</v>
      </c>
      <c r="X149" s="4"/>
    </row>
    <row r="150" spans="1:24" ht="15" thickBot="1">
      <c r="A150" s="4" t="s">
        <v>154</v>
      </c>
      <c r="B150" s="4" t="s">
        <v>155</v>
      </c>
      <c r="C150" s="4">
        <v>616866669</v>
      </c>
      <c r="D150" s="4" t="s">
        <v>156</v>
      </c>
      <c r="E150" s="4" t="s">
        <v>157</v>
      </c>
      <c r="F150" s="31">
        <v>45853</v>
      </c>
      <c r="G150" s="4">
        <v>5478</v>
      </c>
      <c r="H150" s="31" t="s">
        <v>353</v>
      </c>
      <c r="I150" s="50" t="s">
        <v>354</v>
      </c>
      <c r="J150" s="31" t="s">
        <v>160</v>
      </c>
      <c r="K150" s="31" t="s">
        <v>33</v>
      </c>
      <c r="L150" s="31" t="s">
        <v>470</v>
      </c>
      <c r="M150" s="31" t="s">
        <v>457</v>
      </c>
      <c r="N150" s="4" t="s">
        <v>36</v>
      </c>
      <c r="O150" s="4">
        <v>1</v>
      </c>
      <c r="P150" s="119" t="s">
        <v>611</v>
      </c>
      <c r="Q150" s="31" t="s">
        <v>55</v>
      </c>
      <c r="R150" s="34">
        <v>45</v>
      </c>
      <c r="S150" s="59">
        <v>163.75</v>
      </c>
      <c r="T150" s="58">
        <f t="shared" si="7"/>
        <v>208.75</v>
      </c>
      <c r="U150" s="36">
        <v>45908</v>
      </c>
      <c r="V150" s="34"/>
      <c r="W150" s="122" t="s">
        <v>789</v>
      </c>
      <c r="X150" s="4"/>
    </row>
    <row r="151" spans="1:24" ht="15" thickBot="1">
      <c r="A151" s="4" t="s">
        <v>154</v>
      </c>
      <c r="B151" s="4" t="s">
        <v>155</v>
      </c>
      <c r="C151" s="4">
        <v>616866669</v>
      </c>
      <c r="D151" s="4" t="s">
        <v>156</v>
      </c>
      <c r="E151" s="4" t="s">
        <v>157</v>
      </c>
      <c r="F151" s="31">
        <v>45853</v>
      </c>
      <c r="G151" s="4">
        <v>5479</v>
      </c>
      <c r="H151" s="31" t="s">
        <v>617</v>
      </c>
      <c r="I151" s="50" t="s">
        <v>618</v>
      </c>
      <c r="J151" s="31" t="s">
        <v>160</v>
      </c>
      <c r="K151" s="31" t="s">
        <v>33</v>
      </c>
      <c r="L151" s="31" t="s">
        <v>619</v>
      </c>
      <c r="M151" s="31" t="s">
        <v>457</v>
      </c>
      <c r="N151" s="4" t="s">
        <v>36</v>
      </c>
      <c r="O151" s="4">
        <v>1</v>
      </c>
      <c r="P151" s="119" t="s">
        <v>620</v>
      </c>
      <c r="Q151" s="31" t="s">
        <v>55</v>
      </c>
      <c r="R151" s="34">
        <v>45</v>
      </c>
      <c r="S151" s="59">
        <v>163.75</v>
      </c>
      <c r="T151" s="58">
        <f t="shared" si="7"/>
        <v>208.75</v>
      </c>
      <c r="U151" s="36">
        <v>45908</v>
      </c>
      <c r="V151" s="34"/>
      <c r="W151" s="122" t="s">
        <v>789</v>
      </c>
      <c r="X151" s="4"/>
    </row>
    <row r="152" spans="1:24" ht="15" thickBot="1">
      <c r="A152" s="4" t="s">
        <v>154</v>
      </c>
      <c r="B152" s="4" t="s">
        <v>155</v>
      </c>
      <c r="C152" s="4">
        <v>616866669</v>
      </c>
      <c r="D152" s="4" t="s">
        <v>156</v>
      </c>
      <c r="E152" s="4" t="s">
        <v>157</v>
      </c>
      <c r="F152" s="31">
        <v>45853</v>
      </c>
      <c r="G152" s="4">
        <v>5480</v>
      </c>
      <c r="H152" s="31" t="s">
        <v>621</v>
      </c>
      <c r="I152" s="50" t="s">
        <v>622</v>
      </c>
      <c r="J152" s="31" t="s">
        <v>160</v>
      </c>
      <c r="K152" s="31" t="s">
        <v>33</v>
      </c>
      <c r="L152" s="31" t="s">
        <v>623</v>
      </c>
      <c r="M152" s="31" t="s">
        <v>34</v>
      </c>
      <c r="N152" s="4" t="s">
        <v>36</v>
      </c>
      <c r="O152" s="4">
        <v>1</v>
      </c>
      <c r="P152" s="119" t="s">
        <v>832</v>
      </c>
      <c r="Q152" s="31" t="s">
        <v>815</v>
      </c>
      <c r="R152" s="34">
        <v>45</v>
      </c>
      <c r="S152" s="37">
        <v>215</v>
      </c>
      <c r="T152" s="58">
        <f>SUM(R152:S152)</f>
        <v>260</v>
      </c>
      <c r="U152" s="111">
        <v>45993</v>
      </c>
      <c r="V152" s="34"/>
      <c r="W152" s="34"/>
      <c r="X152" s="4" t="s">
        <v>833</v>
      </c>
    </row>
    <row r="153" spans="1:24" ht="15" thickBot="1">
      <c r="A153" s="4" t="s">
        <v>154</v>
      </c>
      <c r="B153" s="4" t="s">
        <v>155</v>
      </c>
      <c r="C153" s="4">
        <v>616866669</v>
      </c>
      <c r="D153" s="4" t="s">
        <v>156</v>
      </c>
      <c r="E153" s="4" t="s">
        <v>157</v>
      </c>
      <c r="F153" s="31">
        <v>45853</v>
      </c>
      <c r="G153" s="4">
        <v>5481</v>
      </c>
      <c r="H153" s="31" t="s">
        <v>624</v>
      </c>
      <c r="I153" s="50" t="s">
        <v>625</v>
      </c>
      <c r="J153" s="31" t="s">
        <v>160</v>
      </c>
      <c r="K153" s="31" t="s">
        <v>33</v>
      </c>
      <c r="L153" s="31" t="s">
        <v>626</v>
      </c>
      <c r="M153" s="31" t="s">
        <v>627</v>
      </c>
      <c r="N153" s="4" t="s">
        <v>36</v>
      </c>
      <c r="O153" s="4">
        <v>1</v>
      </c>
      <c r="P153" s="119" t="s">
        <v>37</v>
      </c>
      <c r="Q153" s="31" t="s">
        <v>628</v>
      </c>
      <c r="R153" s="34">
        <v>45</v>
      </c>
      <c r="S153" s="59">
        <v>183.75</v>
      </c>
      <c r="T153" s="58">
        <f t="shared" si="7"/>
        <v>228.75</v>
      </c>
      <c r="U153" s="36">
        <v>45908</v>
      </c>
      <c r="V153" s="34"/>
      <c r="W153" s="122" t="s">
        <v>789</v>
      </c>
      <c r="X153" s="4"/>
    </row>
    <row r="154" spans="1:24" ht="15" thickBot="1">
      <c r="A154" s="4" t="s">
        <v>154</v>
      </c>
      <c r="B154" s="4" t="s">
        <v>155</v>
      </c>
      <c r="C154" s="4">
        <v>616866669</v>
      </c>
      <c r="D154" s="64" t="s">
        <v>156</v>
      </c>
      <c r="E154" s="4" t="s">
        <v>157</v>
      </c>
      <c r="F154" s="31">
        <v>45853</v>
      </c>
      <c r="G154" s="4">
        <v>5482</v>
      </c>
      <c r="H154" s="31" t="s">
        <v>629</v>
      </c>
      <c r="I154" s="50" t="s">
        <v>630</v>
      </c>
      <c r="J154" s="31" t="s">
        <v>216</v>
      </c>
      <c r="K154" s="31" t="s">
        <v>33</v>
      </c>
      <c r="L154" s="31" t="s">
        <v>631</v>
      </c>
      <c r="M154" s="31" t="s">
        <v>632</v>
      </c>
      <c r="N154" s="4" t="s">
        <v>36</v>
      </c>
      <c r="O154" s="4">
        <v>1</v>
      </c>
      <c r="P154" s="119" t="s">
        <v>37</v>
      </c>
      <c r="Q154" s="31" t="s">
        <v>633</v>
      </c>
      <c r="R154" s="34">
        <v>45</v>
      </c>
      <c r="S154" s="59">
        <v>140</v>
      </c>
      <c r="T154" s="58">
        <f t="shared" si="7"/>
        <v>185</v>
      </c>
      <c r="U154" s="36">
        <v>45908</v>
      </c>
      <c r="V154" s="34"/>
      <c r="W154" s="122" t="s">
        <v>789</v>
      </c>
      <c r="X154" s="4"/>
    </row>
    <row r="155" spans="1:24" ht="15" thickBot="1">
      <c r="A155" s="4" t="s">
        <v>154</v>
      </c>
      <c r="B155" s="4" t="s">
        <v>155</v>
      </c>
      <c r="C155" s="4">
        <v>616866669</v>
      </c>
      <c r="D155" s="4" t="s">
        <v>156</v>
      </c>
      <c r="E155" s="4" t="s">
        <v>157</v>
      </c>
      <c r="F155" s="31">
        <v>45853</v>
      </c>
      <c r="G155" s="4">
        <v>5483</v>
      </c>
      <c r="H155" s="31" t="s">
        <v>634</v>
      </c>
      <c r="I155" s="50" t="s">
        <v>635</v>
      </c>
      <c r="J155" s="31" t="s">
        <v>216</v>
      </c>
      <c r="K155" s="31" t="s">
        <v>33</v>
      </c>
      <c r="L155" s="31" t="s">
        <v>636</v>
      </c>
      <c r="M155" s="31" t="s">
        <v>637</v>
      </c>
      <c r="N155" s="4" t="s">
        <v>36</v>
      </c>
      <c r="O155" s="4">
        <v>1</v>
      </c>
      <c r="P155" s="119" t="s">
        <v>37</v>
      </c>
      <c r="Q155" s="31" t="s">
        <v>834</v>
      </c>
      <c r="R155" s="34">
        <v>45</v>
      </c>
      <c r="S155" s="59">
        <v>315</v>
      </c>
      <c r="T155" s="58">
        <f t="shared" si="7"/>
        <v>360</v>
      </c>
      <c r="U155" s="36">
        <v>45908</v>
      </c>
      <c r="V155" s="34"/>
      <c r="W155" s="122" t="s">
        <v>789</v>
      </c>
      <c r="X155" s="4"/>
    </row>
    <row r="156" spans="1:24" ht="15" thickBot="1">
      <c r="A156" s="4" t="s">
        <v>25</v>
      </c>
      <c r="B156" s="4" t="s">
        <v>26</v>
      </c>
      <c r="C156" s="4" t="s">
        <v>27</v>
      </c>
      <c r="D156" s="4" t="s">
        <v>28</v>
      </c>
      <c r="E156" s="4" t="s">
        <v>195</v>
      </c>
      <c r="F156" s="31">
        <v>45862</v>
      </c>
      <c r="G156" s="4">
        <v>5484</v>
      </c>
      <c r="H156" s="4" t="s">
        <v>638</v>
      </c>
      <c r="I156" s="50" t="s">
        <v>639</v>
      </c>
      <c r="J156" s="4" t="s">
        <v>160</v>
      </c>
      <c r="K156" s="31" t="s">
        <v>33</v>
      </c>
      <c r="L156" s="4" t="s">
        <v>640</v>
      </c>
      <c r="M156" s="4" t="s">
        <v>641</v>
      </c>
      <c r="N156" s="4" t="s">
        <v>36</v>
      </c>
      <c r="O156" s="4">
        <v>1</v>
      </c>
      <c r="P156" s="112" t="s">
        <v>37</v>
      </c>
      <c r="Q156" s="31" t="s">
        <v>641</v>
      </c>
      <c r="R156" s="34">
        <v>45</v>
      </c>
      <c r="S156" s="59">
        <v>283.75</v>
      </c>
      <c r="T156" s="58">
        <f t="shared" si="7"/>
        <v>328.75</v>
      </c>
      <c r="U156" s="36">
        <v>45908</v>
      </c>
      <c r="V156" s="34"/>
      <c r="W156" s="122" t="s">
        <v>789</v>
      </c>
      <c r="X156" s="4"/>
    </row>
    <row r="157" spans="1:24" ht="15" thickBot="1">
      <c r="A157" s="4" t="s">
        <v>25</v>
      </c>
      <c r="B157" s="4" t="s">
        <v>26</v>
      </c>
      <c r="C157" s="4" t="s">
        <v>27</v>
      </c>
      <c r="D157" s="4" t="s">
        <v>28</v>
      </c>
      <c r="E157" s="4" t="s">
        <v>195</v>
      </c>
      <c r="F157" s="31">
        <v>45862</v>
      </c>
      <c r="G157" s="4">
        <v>5485</v>
      </c>
      <c r="H157" s="4" t="s">
        <v>638</v>
      </c>
      <c r="I157" s="50" t="s">
        <v>642</v>
      </c>
      <c r="J157" s="4" t="s">
        <v>160</v>
      </c>
      <c r="K157" s="31" t="s">
        <v>33</v>
      </c>
      <c r="L157" s="4" t="s">
        <v>640</v>
      </c>
      <c r="M157" s="4" t="s">
        <v>251</v>
      </c>
      <c r="N157" s="4" t="s">
        <v>36</v>
      </c>
      <c r="O157" s="4">
        <v>1</v>
      </c>
      <c r="P157" s="112" t="s">
        <v>37</v>
      </c>
      <c r="Q157" s="31" t="s">
        <v>791</v>
      </c>
      <c r="R157" s="34">
        <v>45</v>
      </c>
      <c r="S157" s="59">
        <v>215</v>
      </c>
      <c r="T157" s="58">
        <f t="shared" si="7"/>
        <v>260</v>
      </c>
      <c r="U157" s="36">
        <v>45898</v>
      </c>
      <c r="V157" s="34"/>
      <c r="W157" s="122" t="s">
        <v>789</v>
      </c>
      <c r="X157" s="4"/>
    </row>
    <row r="158" spans="1:24" ht="15" thickBot="1">
      <c r="A158" s="4" t="s">
        <v>25</v>
      </c>
      <c r="B158" s="4" t="s">
        <v>26</v>
      </c>
      <c r="C158" s="4" t="s">
        <v>27</v>
      </c>
      <c r="D158" s="64" t="s">
        <v>28</v>
      </c>
      <c r="E158" s="4" t="s">
        <v>195</v>
      </c>
      <c r="F158" s="31">
        <v>45862</v>
      </c>
      <c r="G158" s="4">
        <v>5486</v>
      </c>
      <c r="H158" s="4" t="s">
        <v>643</v>
      </c>
      <c r="I158" s="50" t="s">
        <v>644</v>
      </c>
      <c r="J158" s="4" t="s">
        <v>397</v>
      </c>
      <c r="K158" s="4" t="s">
        <v>48</v>
      </c>
      <c r="L158" s="4" t="s">
        <v>645</v>
      </c>
      <c r="M158" s="4" t="s">
        <v>117</v>
      </c>
      <c r="N158" s="4" t="s">
        <v>36</v>
      </c>
      <c r="O158" s="4">
        <v>1</v>
      </c>
      <c r="P158" s="112" t="s">
        <v>37</v>
      </c>
      <c r="Q158" s="31" t="s">
        <v>117</v>
      </c>
      <c r="R158" s="34">
        <v>45</v>
      </c>
      <c r="S158" s="59">
        <v>215</v>
      </c>
      <c r="T158" s="58">
        <f t="shared" si="7"/>
        <v>260</v>
      </c>
      <c r="U158" s="36">
        <v>45908</v>
      </c>
      <c r="V158" s="34"/>
      <c r="W158" s="122" t="s">
        <v>789</v>
      </c>
      <c r="X158" s="4" t="s">
        <v>835</v>
      </c>
    </row>
    <row r="159" spans="1:24" ht="15" thickBot="1">
      <c r="A159" s="4" t="s">
        <v>25</v>
      </c>
      <c r="B159" s="4" t="s">
        <v>26</v>
      </c>
      <c r="C159" s="4" t="s">
        <v>27</v>
      </c>
      <c r="D159" s="4" t="s">
        <v>28</v>
      </c>
      <c r="E159" s="4" t="s">
        <v>195</v>
      </c>
      <c r="F159" s="31">
        <v>45862</v>
      </c>
      <c r="G159" s="4">
        <v>5487</v>
      </c>
      <c r="H159" s="4" t="s">
        <v>647</v>
      </c>
      <c r="I159" s="50" t="s">
        <v>215</v>
      </c>
      <c r="J159" s="4" t="s">
        <v>216</v>
      </c>
      <c r="K159" s="31" t="s">
        <v>33</v>
      </c>
      <c r="L159" s="4" t="s">
        <v>648</v>
      </c>
      <c r="M159" s="4" t="s">
        <v>603</v>
      </c>
      <c r="N159" s="4" t="s">
        <v>36</v>
      </c>
      <c r="O159" s="4">
        <v>1</v>
      </c>
      <c r="P159" s="112" t="s">
        <v>37</v>
      </c>
      <c r="Q159" s="31" t="s">
        <v>649</v>
      </c>
      <c r="R159" s="34">
        <v>45</v>
      </c>
      <c r="S159" s="59" t="s">
        <v>650</v>
      </c>
      <c r="T159" s="58">
        <f t="shared" si="7"/>
        <v>45</v>
      </c>
      <c r="U159" s="36">
        <v>45898</v>
      </c>
      <c r="V159" s="34"/>
      <c r="W159" s="122" t="s">
        <v>789</v>
      </c>
      <c r="X159" s="4"/>
    </row>
    <row r="160" spans="1:24" ht="15.75" customHeight="1" thickBot="1">
      <c r="A160" s="4" t="s">
        <v>25</v>
      </c>
      <c r="B160" s="4" t="s">
        <v>26</v>
      </c>
      <c r="C160" s="4" t="s">
        <v>27</v>
      </c>
      <c r="D160" s="4" t="s">
        <v>28</v>
      </c>
      <c r="E160" s="4" t="s">
        <v>195</v>
      </c>
      <c r="F160" s="31">
        <v>45862</v>
      </c>
      <c r="G160" s="4">
        <v>5488</v>
      </c>
      <c r="H160" s="4" t="s">
        <v>651</v>
      </c>
      <c r="I160" s="50" t="s">
        <v>652</v>
      </c>
      <c r="J160" s="4" t="s">
        <v>485</v>
      </c>
      <c r="K160" s="4" t="s">
        <v>48</v>
      </c>
      <c r="L160" s="4" t="s">
        <v>653</v>
      </c>
      <c r="M160" s="4" t="s">
        <v>654</v>
      </c>
      <c r="N160" s="4" t="s">
        <v>36</v>
      </c>
      <c r="O160" s="4">
        <v>1</v>
      </c>
      <c r="P160" s="112" t="s">
        <v>655</v>
      </c>
      <c r="Q160" s="31" t="s">
        <v>656</v>
      </c>
      <c r="R160" s="34">
        <v>45</v>
      </c>
      <c r="S160" s="37">
        <v>0</v>
      </c>
      <c r="T160" s="58">
        <f t="shared" si="7"/>
        <v>45</v>
      </c>
      <c r="U160" s="36">
        <v>45898</v>
      </c>
      <c r="V160" s="34"/>
      <c r="W160" s="122" t="s">
        <v>789</v>
      </c>
      <c r="X160" s="4"/>
    </row>
    <row r="161" spans="1:24" ht="15" thickBot="1">
      <c r="A161" s="4" t="s">
        <v>25</v>
      </c>
      <c r="B161" s="4" t="s">
        <v>26</v>
      </c>
      <c r="C161" s="4" t="s">
        <v>27</v>
      </c>
      <c r="D161" s="4" t="s">
        <v>28</v>
      </c>
      <c r="E161" s="4" t="s">
        <v>195</v>
      </c>
      <c r="F161" s="31">
        <v>45862</v>
      </c>
      <c r="G161" s="4">
        <v>5489</v>
      </c>
      <c r="H161" s="4" t="s">
        <v>657</v>
      </c>
      <c r="I161" s="50" t="s">
        <v>658</v>
      </c>
      <c r="J161" s="4" t="s">
        <v>160</v>
      </c>
      <c r="K161" s="31" t="s">
        <v>33</v>
      </c>
      <c r="L161" s="4" t="s">
        <v>659</v>
      </c>
      <c r="M161" s="4" t="s">
        <v>457</v>
      </c>
      <c r="N161" s="4" t="s">
        <v>36</v>
      </c>
      <c r="O161" s="4">
        <v>1</v>
      </c>
      <c r="P161" s="112" t="s">
        <v>660</v>
      </c>
      <c r="Q161" s="31" t="s">
        <v>661</v>
      </c>
      <c r="R161" s="34">
        <v>45</v>
      </c>
      <c r="S161" s="59">
        <v>163.75</v>
      </c>
      <c r="T161" s="58">
        <f t="shared" si="7"/>
        <v>208.75</v>
      </c>
      <c r="U161" s="36">
        <v>45898</v>
      </c>
      <c r="V161" s="34"/>
      <c r="W161" s="122" t="s">
        <v>789</v>
      </c>
      <c r="X161" s="4"/>
    </row>
    <row r="162" spans="1:24" ht="15" thickBot="1">
      <c r="A162" s="4" t="s">
        <v>25</v>
      </c>
      <c r="B162" s="4" t="s">
        <v>26</v>
      </c>
      <c r="C162" s="4" t="s">
        <v>27</v>
      </c>
      <c r="D162" s="4" t="s">
        <v>28</v>
      </c>
      <c r="E162" s="4" t="s">
        <v>195</v>
      </c>
      <c r="F162" s="31">
        <v>45862</v>
      </c>
      <c r="G162" s="4">
        <v>5490</v>
      </c>
      <c r="H162" s="4" t="s">
        <v>662</v>
      </c>
      <c r="I162" s="50" t="s">
        <v>663</v>
      </c>
      <c r="J162" s="4" t="s">
        <v>502</v>
      </c>
      <c r="K162" s="4" t="s">
        <v>33</v>
      </c>
      <c r="L162" s="4" t="s">
        <v>664</v>
      </c>
      <c r="M162" s="4" t="s">
        <v>423</v>
      </c>
      <c r="N162" s="4" t="s">
        <v>36</v>
      </c>
      <c r="O162" s="4">
        <v>1</v>
      </c>
      <c r="P162" s="112" t="s">
        <v>665</v>
      </c>
      <c r="Q162" s="31" t="s">
        <v>423</v>
      </c>
      <c r="R162" s="34">
        <v>45</v>
      </c>
      <c r="S162" s="37">
        <v>111.75</v>
      </c>
      <c r="T162" s="58">
        <f t="shared" si="7"/>
        <v>156.75</v>
      </c>
      <c r="U162" s="36">
        <v>45898</v>
      </c>
      <c r="V162" s="34"/>
      <c r="W162" s="122" t="s">
        <v>789</v>
      </c>
      <c r="X162" s="4"/>
    </row>
    <row r="163" spans="1:24" ht="15" thickBot="1">
      <c r="A163" s="4" t="s">
        <v>25</v>
      </c>
      <c r="B163" s="4" t="s">
        <v>26</v>
      </c>
      <c r="C163" s="4" t="s">
        <v>27</v>
      </c>
      <c r="D163" s="4" t="s">
        <v>28</v>
      </c>
      <c r="E163" s="4" t="s">
        <v>195</v>
      </c>
      <c r="F163" s="31">
        <v>45862</v>
      </c>
      <c r="G163" s="4">
        <v>5491</v>
      </c>
      <c r="H163" s="4" t="s">
        <v>666</v>
      </c>
      <c r="I163" s="50" t="s">
        <v>667</v>
      </c>
      <c r="J163" s="4" t="s">
        <v>201</v>
      </c>
      <c r="K163" s="4" t="s">
        <v>33</v>
      </c>
      <c r="L163" s="4" t="s">
        <v>668</v>
      </c>
      <c r="M163" s="4" t="s">
        <v>669</v>
      </c>
      <c r="N163" s="4" t="s">
        <v>36</v>
      </c>
      <c r="O163" s="4">
        <v>1</v>
      </c>
      <c r="P163" s="112" t="s">
        <v>37</v>
      </c>
      <c r="Q163" s="31" t="s">
        <v>670</v>
      </c>
      <c r="R163" s="34">
        <v>45</v>
      </c>
      <c r="S163" s="59">
        <v>70</v>
      </c>
      <c r="T163" s="58">
        <f t="shared" si="7"/>
        <v>115</v>
      </c>
      <c r="U163" s="36">
        <v>45898</v>
      </c>
      <c r="V163" s="34"/>
      <c r="W163" s="122" t="s">
        <v>789</v>
      </c>
      <c r="X163" s="4"/>
    </row>
    <row r="164" spans="1:24" ht="15" thickBot="1">
      <c r="A164" s="4" t="s">
        <v>25</v>
      </c>
      <c r="B164" s="4" t="s">
        <v>26</v>
      </c>
      <c r="C164" s="4" t="s">
        <v>27</v>
      </c>
      <c r="D164" s="4" t="s">
        <v>28</v>
      </c>
      <c r="E164" s="4" t="s">
        <v>195</v>
      </c>
      <c r="F164" s="31">
        <v>45862</v>
      </c>
      <c r="G164" s="4" t="s">
        <v>836</v>
      </c>
      <c r="H164" s="4" t="s">
        <v>671</v>
      </c>
      <c r="I164" s="50" t="s">
        <v>672</v>
      </c>
      <c r="J164" s="4" t="s">
        <v>379</v>
      </c>
      <c r="K164" s="4" t="s">
        <v>48</v>
      </c>
      <c r="L164" s="4" t="s">
        <v>673</v>
      </c>
      <c r="M164" s="4" t="s">
        <v>112</v>
      </c>
      <c r="N164" s="4" t="s">
        <v>36</v>
      </c>
      <c r="O164" s="4">
        <v>1</v>
      </c>
      <c r="P164" s="112" t="s">
        <v>37</v>
      </c>
      <c r="Q164" s="31" t="s">
        <v>117</v>
      </c>
      <c r="R164" s="34">
        <v>45</v>
      </c>
      <c r="S164" s="37">
        <v>0</v>
      </c>
      <c r="T164" s="58">
        <f t="shared" si="7"/>
        <v>45</v>
      </c>
      <c r="U164" s="36">
        <v>45898</v>
      </c>
      <c r="V164" s="34"/>
      <c r="W164" s="122" t="s">
        <v>789</v>
      </c>
      <c r="X164" s="4"/>
    </row>
    <row r="165" spans="1:24" ht="15" thickBot="1">
      <c r="A165" s="4" t="s">
        <v>25</v>
      </c>
      <c r="B165" s="4" t="s">
        <v>26</v>
      </c>
      <c r="C165" s="4" t="s">
        <v>27</v>
      </c>
      <c r="D165" s="64" t="s">
        <v>28</v>
      </c>
      <c r="E165" s="4" t="s">
        <v>195</v>
      </c>
      <c r="F165" s="31">
        <v>45862</v>
      </c>
      <c r="G165" s="4">
        <v>5493</v>
      </c>
      <c r="H165" s="4" t="s">
        <v>674</v>
      </c>
      <c r="I165" s="50" t="s">
        <v>675</v>
      </c>
      <c r="J165" s="4" t="s">
        <v>216</v>
      </c>
      <c r="K165" s="4" t="s">
        <v>33</v>
      </c>
      <c r="L165" s="4" t="s">
        <v>676</v>
      </c>
      <c r="M165" s="31" t="s">
        <v>258</v>
      </c>
      <c r="N165" s="4" t="s">
        <v>36</v>
      </c>
      <c r="O165" s="4">
        <v>1</v>
      </c>
      <c r="P165" s="112" t="s">
        <v>677</v>
      </c>
      <c r="Q165" s="31" t="s">
        <v>259</v>
      </c>
      <c r="R165" s="34">
        <v>45</v>
      </c>
      <c r="S165" s="59">
        <v>320</v>
      </c>
      <c r="T165" s="58">
        <f t="shared" si="7"/>
        <v>365</v>
      </c>
      <c r="U165" s="36">
        <v>45908</v>
      </c>
      <c r="V165" s="34"/>
      <c r="W165" s="122" t="s">
        <v>789</v>
      </c>
      <c r="X165" s="4"/>
    </row>
    <row r="166" spans="1:24" ht="15" thickBot="1">
      <c r="A166" s="4" t="s">
        <v>25</v>
      </c>
      <c r="B166" s="4" t="s">
        <v>26</v>
      </c>
      <c r="C166" s="4" t="s">
        <v>27</v>
      </c>
      <c r="D166" s="4" t="s">
        <v>28</v>
      </c>
      <c r="E166" s="4" t="s">
        <v>195</v>
      </c>
      <c r="F166" s="31">
        <v>45862</v>
      </c>
      <c r="G166" s="4">
        <v>5494</v>
      </c>
      <c r="H166" s="4" t="s">
        <v>678</v>
      </c>
      <c r="I166" s="50" t="s">
        <v>679</v>
      </c>
      <c r="J166" s="4" t="s">
        <v>160</v>
      </c>
      <c r="K166" s="4" t="s">
        <v>33</v>
      </c>
      <c r="L166" s="4" t="s">
        <v>680</v>
      </c>
      <c r="M166" s="4" t="s">
        <v>837</v>
      </c>
      <c r="N166" s="4" t="s">
        <v>784</v>
      </c>
      <c r="O166" s="4">
        <v>1</v>
      </c>
      <c r="P166" s="112" t="s">
        <v>838</v>
      </c>
      <c r="Q166" s="31" t="s">
        <v>784</v>
      </c>
      <c r="R166" s="34">
        <v>45</v>
      </c>
      <c r="S166" s="37">
        <v>0</v>
      </c>
      <c r="T166" s="58">
        <v>0</v>
      </c>
      <c r="U166" s="36"/>
      <c r="V166" s="34"/>
      <c r="W166" s="34"/>
      <c r="X166" s="4"/>
    </row>
    <row r="167" spans="1:24" ht="15" thickBot="1">
      <c r="A167" s="4" t="s">
        <v>25</v>
      </c>
      <c r="B167" s="4" t="s">
        <v>26</v>
      </c>
      <c r="C167" s="4" t="s">
        <v>27</v>
      </c>
      <c r="D167" s="64" t="s">
        <v>28</v>
      </c>
      <c r="E167" s="4" t="s">
        <v>195</v>
      </c>
      <c r="F167" s="31">
        <v>45862</v>
      </c>
      <c r="G167" s="4">
        <v>5495</v>
      </c>
      <c r="H167" s="4" t="s">
        <v>683</v>
      </c>
      <c r="I167" s="50" t="s">
        <v>684</v>
      </c>
      <c r="J167" s="4" t="s">
        <v>160</v>
      </c>
      <c r="K167" s="4" t="s">
        <v>33</v>
      </c>
      <c r="L167" s="4" t="s">
        <v>685</v>
      </c>
      <c r="M167" s="4" t="s">
        <v>117</v>
      </c>
      <c r="N167" s="4" t="s">
        <v>36</v>
      </c>
      <c r="O167" s="4">
        <v>1</v>
      </c>
      <c r="P167" s="112" t="s">
        <v>686</v>
      </c>
      <c r="Q167" s="31" t="s">
        <v>117</v>
      </c>
      <c r="R167" s="34">
        <v>45</v>
      </c>
      <c r="S167" s="59">
        <v>215</v>
      </c>
      <c r="T167" s="58">
        <f t="shared" ref="T167:T189" si="9">SUM(R167:S167)</f>
        <v>260</v>
      </c>
      <c r="U167" s="36">
        <v>45908</v>
      </c>
      <c r="V167" s="34"/>
      <c r="W167" s="122" t="s">
        <v>789</v>
      </c>
      <c r="X167" s="4"/>
    </row>
    <row r="168" spans="1:24" ht="15" thickBot="1">
      <c r="A168" s="4" t="s">
        <v>25</v>
      </c>
      <c r="B168" s="4" t="s">
        <v>26</v>
      </c>
      <c r="C168" s="4" t="s">
        <v>27</v>
      </c>
      <c r="D168" s="4" t="s">
        <v>28</v>
      </c>
      <c r="E168" s="4" t="s">
        <v>195</v>
      </c>
      <c r="F168" s="31">
        <v>45862</v>
      </c>
      <c r="G168" s="4">
        <v>5496</v>
      </c>
      <c r="H168" s="4" t="s">
        <v>687</v>
      </c>
      <c r="I168" s="50" t="s">
        <v>839</v>
      </c>
      <c r="J168" s="4" t="s">
        <v>502</v>
      </c>
      <c r="K168" s="4" t="s">
        <v>33</v>
      </c>
      <c r="L168" s="4" t="s">
        <v>689</v>
      </c>
      <c r="M168" s="4" t="s">
        <v>840</v>
      </c>
      <c r="N168" s="4" t="s">
        <v>36</v>
      </c>
      <c r="O168" s="4">
        <v>1</v>
      </c>
      <c r="P168" s="119" t="s">
        <v>691</v>
      </c>
      <c r="Q168" s="31" t="s">
        <v>841</v>
      </c>
      <c r="R168" s="34">
        <v>45</v>
      </c>
      <c r="S168" s="37">
        <v>0</v>
      </c>
      <c r="T168" s="58">
        <f t="shared" si="9"/>
        <v>45</v>
      </c>
      <c r="U168" s="36">
        <v>45939</v>
      </c>
      <c r="V168" s="34"/>
      <c r="W168" s="34"/>
      <c r="X168" s="4"/>
    </row>
    <row r="169" spans="1:24" ht="15" thickBot="1">
      <c r="A169" s="4" t="s">
        <v>25</v>
      </c>
      <c r="B169" s="4" t="s">
        <v>26</v>
      </c>
      <c r="C169" s="4" t="s">
        <v>27</v>
      </c>
      <c r="D169" s="4" t="s">
        <v>28</v>
      </c>
      <c r="E169" s="4" t="s">
        <v>195</v>
      </c>
      <c r="F169" s="31">
        <v>45874</v>
      </c>
      <c r="G169" s="4">
        <v>5685</v>
      </c>
      <c r="H169" s="4" t="s">
        <v>692</v>
      </c>
      <c r="I169" s="50" t="s">
        <v>693</v>
      </c>
      <c r="J169" s="4" t="s">
        <v>160</v>
      </c>
      <c r="K169" s="4" t="s">
        <v>33</v>
      </c>
      <c r="L169" s="4" t="s">
        <v>694</v>
      </c>
      <c r="M169" s="4" t="s">
        <v>117</v>
      </c>
      <c r="N169" s="4" t="s">
        <v>36</v>
      </c>
      <c r="O169" s="4">
        <v>1</v>
      </c>
      <c r="P169" s="119" t="s">
        <v>695</v>
      </c>
      <c r="Q169" s="31" t="s">
        <v>117</v>
      </c>
      <c r="R169" s="34">
        <v>45</v>
      </c>
      <c r="S169" s="59">
        <v>215</v>
      </c>
      <c r="T169" s="58">
        <f t="shared" si="9"/>
        <v>260</v>
      </c>
      <c r="U169" s="36">
        <v>45908</v>
      </c>
      <c r="V169" s="34"/>
      <c r="W169" s="122" t="s">
        <v>789</v>
      </c>
      <c r="X169" s="4"/>
    </row>
    <row r="170" spans="1:24" ht="15" thickBot="1">
      <c r="A170" s="4" t="s">
        <v>25</v>
      </c>
      <c r="B170" s="4" t="s">
        <v>26</v>
      </c>
      <c r="C170" s="4" t="s">
        <v>27</v>
      </c>
      <c r="D170" s="4" t="s">
        <v>28</v>
      </c>
      <c r="E170" s="4" t="s">
        <v>195</v>
      </c>
      <c r="F170" s="31">
        <v>45874</v>
      </c>
      <c r="G170" s="4">
        <v>5773</v>
      </c>
      <c r="H170" s="4" t="s">
        <v>696</v>
      </c>
      <c r="I170" s="50" t="s">
        <v>697</v>
      </c>
      <c r="J170" s="4" t="s">
        <v>160</v>
      </c>
      <c r="K170" s="4" t="s">
        <v>33</v>
      </c>
      <c r="L170" s="4" t="s">
        <v>698</v>
      </c>
      <c r="M170" s="4" t="s">
        <v>842</v>
      </c>
      <c r="N170" s="4" t="s">
        <v>36</v>
      </c>
      <c r="O170" s="4">
        <v>1</v>
      </c>
      <c r="P170" s="119" t="s">
        <v>843</v>
      </c>
      <c r="Q170" s="31" t="s">
        <v>842</v>
      </c>
      <c r="R170" s="34">
        <v>45</v>
      </c>
      <c r="S170" s="37">
        <v>374.45</v>
      </c>
      <c r="T170" s="58">
        <f t="shared" si="9"/>
        <v>419.45</v>
      </c>
      <c r="U170" s="36">
        <v>45939</v>
      </c>
      <c r="V170" s="34"/>
      <c r="W170" s="122" t="s">
        <v>789</v>
      </c>
      <c r="X170" s="4"/>
    </row>
    <row r="171" spans="1:24" ht="15" thickBot="1">
      <c r="A171" s="4" t="s">
        <v>25</v>
      </c>
      <c r="B171" s="4" t="s">
        <v>26</v>
      </c>
      <c r="C171" s="4" t="s">
        <v>27</v>
      </c>
      <c r="D171" s="64" t="s">
        <v>28</v>
      </c>
      <c r="E171" s="4" t="s">
        <v>195</v>
      </c>
      <c r="F171" s="31">
        <v>45874</v>
      </c>
      <c r="G171" s="4">
        <v>5774</v>
      </c>
      <c r="H171" s="4" t="s">
        <v>699</v>
      </c>
      <c r="I171" s="50" t="s">
        <v>844</v>
      </c>
      <c r="J171" s="4" t="s">
        <v>160</v>
      </c>
      <c r="K171" s="4" t="s">
        <v>33</v>
      </c>
      <c r="L171" s="4" t="s">
        <v>701</v>
      </c>
      <c r="M171" s="4" t="s">
        <v>733</v>
      </c>
      <c r="N171" s="4" t="s">
        <v>36</v>
      </c>
      <c r="O171" s="4">
        <v>1</v>
      </c>
      <c r="P171" s="119" t="s">
        <v>37</v>
      </c>
      <c r="Q171" s="31" t="s">
        <v>803</v>
      </c>
      <c r="R171" s="34">
        <v>45</v>
      </c>
      <c r="S171" s="37">
        <v>335</v>
      </c>
      <c r="T171" s="58">
        <f t="shared" si="9"/>
        <v>380</v>
      </c>
      <c r="U171" s="36">
        <v>45939</v>
      </c>
      <c r="V171" s="34"/>
      <c r="W171" s="34"/>
      <c r="X171" s="4"/>
    </row>
    <row r="172" spans="1:24" ht="15" thickBot="1">
      <c r="A172" s="4" t="s">
        <v>25</v>
      </c>
      <c r="B172" s="4" t="s">
        <v>26</v>
      </c>
      <c r="C172" s="4" t="s">
        <v>27</v>
      </c>
      <c r="D172" s="64" t="s">
        <v>28</v>
      </c>
      <c r="E172" s="4" t="s">
        <v>195</v>
      </c>
      <c r="F172" s="31">
        <v>45874</v>
      </c>
      <c r="G172" s="4">
        <v>5776</v>
      </c>
      <c r="H172" s="4" t="s">
        <v>703</v>
      </c>
      <c r="I172" s="50" t="s">
        <v>704</v>
      </c>
      <c r="J172" s="4" t="s">
        <v>382</v>
      </c>
      <c r="K172" s="4" t="s">
        <v>33</v>
      </c>
      <c r="L172" s="4" t="s">
        <v>705</v>
      </c>
      <c r="M172" s="4" t="s">
        <v>117</v>
      </c>
      <c r="N172" s="4" t="s">
        <v>36</v>
      </c>
      <c r="O172" s="4">
        <v>1</v>
      </c>
      <c r="P172" s="119" t="s">
        <v>174</v>
      </c>
      <c r="Q172" s="31" t="s">
        <v>117</v>
      </c>
      <c r="R172" s="34">
        <v>45</v>
      </c>
      <c r="S172" s="59">
        <v>215</v>
      </c>
      <c r="T172" s="58">
        <f t="shared" si="9"/>
        <v>260</v>
      </c>
      <c r="U172" s="36">
        <v>45908</v>
      </c>
      <c r="V172" s="34"/>
      <c r="W172" s="122" t="s">
        <v>789</v>
      </c>
      <c r="X172" s="4"/>
    </row>
    <row r="173" spans="1:24" ht="15" thickBot="1">
      <c r="A173" s="4" t="s">
        <v>25</v>
      </c>
      <c r="B173" s="4" t="s">
        <v>26</v>
      </c>
      <c r="C173" s="4" t="s">
        <v>27</v>
      </c>
      <c r="D173" s="4" t="s">
        <v>28</v>
      </c>
      <c r="E173" s="4" t="s">
        <v>195</v>
      </c>
      <c r="F173" s="31">
        <v>45874</v>
      </c>
      <c r="G173" s="4">
        <v>5785</v>
      </c>
      <c r="H173" s="4" t="s">
        <v>706</v>
      </c>
      <c r="I173" s="50" t="s">
        <v>707</v>
      </c>
      <c r="J173" s="4" t="s">
        <v>485</v>
      </c>
      <c r="K173" s="4" t="s">
        <v>33</v>
      </c>
      <c r="L173" s="4" t="s">
        <v>351</v>
      </c>
      <c r="M173" s="4" t="s">
        <v>352</v>
      </c>
      <c r="N173" s="4" t="s">
        <v>36</v>
      </c>
      <c r="O173" s="4">
        <v>1</v>
      </c>
      <c r="P173" s="112" t="s">
        <v>708</v>
      </c>
      <c r="Q173" s="31" t="s">
        <v>352</v>
      </c>
      <c r="R173" s="34">
        <v>45</v>
      </c>
      <c r="S173" s="59">
        <v>120</v>
      </c>
      <c r="T173" s="58">
        <f t="shared" si="9"/>
        <v>165</v>
      </c>
      <c r="U173" s="36">
        <v>45908</v>
      </c>
      <c r="V173" s="34"/>
      <c r="W173" s="122" t="s">
        <v>789</v>
      </c>
      <c r="X173" s="4"/>
    </row>
    <row r="174" spans="1:24" ht="15" thickBot="1">
      <c r="A174" s="4" t="s">
        <v>25</v>
      </c>
      <c r="B174" s="4" t="s">
        <v>26</v>
      </c>
      <c r="C174" s="4" t="s">
        <v>27</v>
      </c>
      <c r="D174" s="4" t="s">
        <v>28</v>
      </c>
      <c r="E174" s="4" t="s">
        <v>195</v>
      </c>
      <c r="F174" s="31">
        <v>45874</v>
      </c>
      <c r="G174" s="4">
        <v>5786</v>
      </c>
      <c r="H174" s="4" t="s">
        <v>709</v>
      </c>
      <c r="I174" s="50" t="s">
        <v>710</v>
      </c>
      <c r="J174" s="4" t="s">
        <v>379</v>
      </c>
      <c r="K174" s="4" t="s">
        <v>33</v>
      </c>
      <c r="L174" s="4" t="s">
        <v>351</v>
      </c>
      <c r="M174" s="31" t="s">
        <v>258</v>
      </c>
      <c r="N174" s="4" t="s">
        <v>36</v>
      </c>
      <c r="O174" s="4">
        <v>1</v>
      </c>
      <c r="P174" s="112" t="s">
        <v>578</v>
      </c>
      <c r="Q174" s="31" t="s">
        <v>352</v>
      </c>
      <c r="R174" s="34">
        <v>45</v>
      </c>
      <c r="S174" s="59">
        <v>120</v>
      </c>
      <c r="T174" s="58">
        <f t="shared" si="9"/>
        <v>165</v>
      </c>
      <c r="U174" s="36">
        <v>45908</v>
      </c>
      <c r="V174" s="34"/>
      <c r="W174" s="122" t="s">
        <v>789</v>
      </c>
      <c r="X174" s="4"/>
    </row>
    <row r="175" spans="1:24" ht="15" thickBot="1">
      <c r="A175" s="4" t="s">
        <v>25</v>
      </c>
      <c r="B175" s="4" t="s">
        <v>26</v>
      </c>
      <c r="C175" s="4" t="s">
        <v>27</v>
      </c>
      <c r="D175" s="4" t="s">
        <v>28</v>
      </c>
      <c r="E175" s="4" t="s">
        <v>195</v>
      </c>
      <c r="F175" s="31">
        <v>45874</v>
      </c>
      <c r="G175" s="4">
        <v>5787</v>
      </c>
      <c r="H175" s="4" t="s">
        <v>711</v>
      </c>
      <c r="I175" s="50" t="s">
        <v>712</v>
      </c>
      <c r="J175" s="4" t="s">
        <v>201</v>
      </c>
      <c r="K175" s="4" t="s">
        <v>33</v>
      </c>
      <c r="L175" s="4" t="s">
        <v>351</v>
      </c>
      <c r="M175" s="4" t="s">
        <v>713</v>
      </c>
      <c r="N175" s="4" t="s">
        <v>36</v>
      </c>
      <c r="O175" s="4">
        <v>1</v>
      </c>
      <c r="P175" s="112" t="s">
        <v>37</v>
      </c>
      <c r="Q175" s="31" t="s">
        <v>352</v>
      </c>
      <c r="R175" s="34">
        <v>45</v>
      </c>
      <c r="S175" s="59">
        <v>120</v>
      </c>
      <c r="T175" s="58">
        <f t="shared" si="9"/>
        <v>165</v>
      </c>
      <c r="U175" s="36">
        <v>45898</v>
      </c>
      <c r="V175" s="34"/>
      <c r="W175" s="122" t="s">
        <v>789</v>
      </c>
      <c r="X175" s="4"/>
    </row>
    <row r="176" spans="1:24" ht="15" thickBot="1">
      <c r="A176" s="4" t="s">
        <v>25</v>
      </c>
      <c r="B176" s="4" t="s">
        <v>26</v>
      </c>
      <c r="C176" s="4" t="s">
        <v>27</v>
      </c>
      <c r="D176" s="4" t="s">
        <v>28</v>
      </c>
      <c r="E176" s="4" t="s">
        <v>195</v>
      </c>
      <c r="F176" s="31">
        <v>45874</v>
      </c>
      <c r="G176" s="4">
        <v>5788</v>
      </c>
      <c r="H176" s="4" t="s">
        <v>714</v>
      </c>
      <c r="I176" s="50" t="s">
        <v>715</v>
      </c>
      <c r="J176" s="4" t="s">
        <v>160</v>
      </c>
      <c r="K176" s="4" t="s">
        <v>33</v>
      </c>
      <c r="L176" s="4" t="s">
        <v>716</v>
      </c>
      <c r="M176" s="4" t="s">
        <v>55</v>
      </c>
      <c r="N176" s="4" t="s">
        <v>36</v>
      </c>
      <c r="O176" s="4">
        <v>1</v>
      </c>
      <c r="P176" s="112" t="s">
        <v>37</v>
      </c>
      <c r="Q176" s="31" t="s">
        <v>55</v>
      </c>
      <c r="R176" s="34">
        <v>45</v>
      </c>
      <c r="S176" s="37">
        <v>163.75</v>
      </c>
      <c r="T176" s="58">
        <f t="shared" si="9"/>
        <v>208.75</v>
      </c>
      <c r="U176" s="36">
        <v>45939</v>
      </c>
      <c r="V176" s="34"/>
      <c r="W176" s="122" t="s">
        <v>789</v>
      </c>
      <c r="X176" s="4"/>
    </row>
    <row r="177" spans="1:24" ht="15" thickBot="1">
      <c r="A177" s="4" t="s">
        <v>25</v>
      </c>
      <c r="B177" s="4" t="s">
        <v>26</v>
      </c>
      <c r="C177" s="4" t="s">
        <v>27</v>
      </c>
      <c r="D177" s="4" t="s">
        <v>28</v>
      </c>
      <c r="E177" s="4" t="s">
        <v>195</v>
      </c>
      <c r="F177" s="31">
        <v>45874</v>
      </c>
      <c r="G177" s="4">
        <v>5789</v>
      </c>
      <c r="H177" s="4" t="s">
        <v>717</v>
      </c>
      <c r="I177" s="50" t="s">
        <v>718</v>
      </c>
      <c r="J177" s="4" t="s">
        <v>382</v>
      </c>
      <c r="K177" s="4" t="s">
        <v>33</v>
      </c>
      <c r="L177" s="4" t="s">
        <v>719</v>
      </c>
      <c r="M177" s="4" t="s">
        <v>117</v>
      </c>
      <c r="N177" s="4" t="s">
        <v>499</v>
      </c>
      <c r="O177" s="4">
        <v>1</v>
      </c>
      <c r="P177" s="119" t="s">
        <v>845</v>
      </c>
      <c r="Q177" s="31"/>
      <c r="R177" s="34">
        <v>45</v>
      </c>
      <c r="S177" s="37">
        <v>0</v>
      </c>
      <c r="T177" s="58">
        <v>0</v>
      </c>
      <c r="U177" s="36"/>
      <c r="V177" s="34"/>
      <c r="W177" s="34"/>
      <c r="X177" s="4"/>
    </row>
    <row r="178" spans="1:24" ht="15" thickBot="1">
      <c r="A178" s="4" t="s">
        <v>25</v>
      </c>
      <c r="B178" s="4" t="s">
        <v>26</v>
      </c>
      <c r="C178" s="4" t="s">
        <v>27</v>
      </c>
      <c r="D178" s="4" t="s">
        <v>28</v>
      </c>
      <c r="E178" s="4" t="s">
        <v>195</v>
      </c>
      <c r="F178" s="31">
        <v>45874</v>
      </c>
      <c r="G178" s="4">
        <v>5790</v>
      </c>
      <c r="H178" s="4" t="s">
        <v>721</v>
      </c>
      <c r="I178" s="50" t="s">
        <v>722</v>
      </c>
      <c r="J178" s="4" t="s">
        <v>382</v>
      </c>
      <c r="K178" s="4" t="s">
        <v>33</v>
      </c>
      <c r="L178" s="4" t="s">
        <v>719</v>
      </c>
      <c r="M178" s="4" t="s">
        <v>723</v>
      </c>
      <c r="N178" s="4" t="s">
        <v>36</v>
      </c>
      <c r="O178" s="4">
        <v>1</v>
      </c>
      <c r="P178" s="112" t="s">
        <v>37</v>
      </c>
      <c r="Q178" s="31" t="s">
        <v>541</v>
      </c>
      <c r="R178" s="34">
        <v>45</v>
      </c>
      <c r="S178" s="59">
        <v>283.75</v>
      </c>
      <c r="T178" s="58">
        <f t="shared" si="9"/>
        <v>328.75</v>
      </c>
      <c r="U178" s="36">
        <v>45908</v>
      </c>
      <c r="V178" s="34"/>
      <c r="W178" s="122" t="s">
        <v>789</v>
      </c>
      <c r="X178" s="4"/>
    </row>
    <row r="179" spans="1:24" ht="15" thickBot="1">
      <c r="A179" s="4" t="s">
        <v>25</v>
      </c>
      <c r="B179" s="4" t="s">
        <v>26</v>
      </c>
      <c r="C179" s="4" t="s">
        <v>27</v>
      </c>
      <c r="D179" s="4" t="s">
        <v>28</v>
      </c>
      <c r="E179" s="4" t="s">
        <v>195</v>
      </c>
      <c r="F179" s="31">
        <v>45874</v>
      </c>
      <c r="G179" s="4">
        <v>5791</v>
      </c>
      <c r="H179" s="4" t="s">
        <v>724</v>
      </c>
      <c r="I179" s="50" t="s">
        <v>725</v>
      </c>
      <c r="J179" s="4" t="s">
        <v>160</v>
      </c>
      <c r="K179" s="4" t="s">
        <v>33</v>
      </c>
      <c r="L179" s="4" t="s">
        <v>290</v>
      </c>
      <c r="M179" s="4" t="s">
        <v>726</v>
      </c>
      <c r="N179" s="4" t="s">
        <v>36</v>
      </c>
      <c r="O179" s="4">
        <v>1</v>
      </c>
      <c r="P179" s="119" t="s">
        <v>846</v>
      </c>
      <c r="Q179" s="31" t="s">
        <v>815</v>
      </c>
      <c r="R179" s="34">
        <v>45</v>
      </c>
      <c r="S179" s="37">
        <v>215</v>
      </c>
      <c r="T179" s="58">
        <f t="shared" si="9"/>
        <v>260</v>
      </c>
      <c r="U179" s="111">
        <v>45993</v>
      </c>
      <c r="V179" s="34"/>
      <c r="W179" s="34"/>
      <c r="X179" s="4"/>
    </row>
    <row r="180" spans="1:24" ht="15" thickBot="1">
      <c r="A180" s="4" t="s">
        <v>25</v>
      </c>
      <c r="B180" s="4" t="s">
        <v>26</v>
      </c>
      <c r="C180" s="4" t="s">
        <v>27</v>
      </c>
      <c r="D180" s="4" t="s">
        <v>28</v>
      </c>
      <c r="E180" s="4" t="s">
        <v>195</v>
      </c>
      <c r="F180" s="31">
        <v>45874</v>
      </c>
      <c r="G180" s="4">
        <v>5793</v>
      </c>
      <c r="H180" s="4" t="s">
        <v>728</v>
      </c>
      <c r="I180" s="50" t="s">
        <v>729</v>
      </c>
      <c r="J180" s="4" t="s">
        <v>160</v>
      </c>
      <c r="K180" s="4" t="s">
        <v>33</v>
      </c>
      <c r="L180" s="4" t="s">
        <v>730</v>
      </c>
      <c r="M180" s="4" t="s">
        <v>348</v>
      </c>
      <c r="N180" s="4" t="s">
        <v>36</v>
      </c>
      <c r="O180" s="4">
        <v>1</v>
      </c>
      <c r="P180" s="119" t="s">
        <v>174</v>
      </c>
      <c r="Q180" s="31" t="s">
        <v>55</v>
      </c>
      <c r="R180" s="34">
        <v>45</v>
      </c>
      <c r="S180" s="37">
        <v>163.75</v>
      </c>
      <c r="T180" s="58">
        <f t="shared" si="9"/>
        <v>208.75</v>
      </c>
      <c r="U180" s="36">
        <v>45939</v>
      </c>
      <c r="V180" s="34"/>
      <c r="W180" s="122" t="s">
        <v>789</v>
      </c>
      <c r="X180" s="4"/>
    </row>
    <row r="181" spans="1:24" ht="15" thickBot="1">
      <c r="A181" s="4" t="s">
        <v>25</v>
      </c>
      <c r="B181" s="4" t="s">
        <v>26</v>
      </c>
      <c r="C181" s="4" t="s">
        <v>27</v>
      </c>
      <c r="D181" s="4" t="s">
        <v>28</v>
      </c>
      <c r="E181" s="4" t="s">
        <v>195</v>
      </c>
      <c r="F181" s="31">
        <v>45874</v>
      </c>
      <c r="G181" s="4">
        <v>5794</v>
      </c>
      <c r="H181" s="4" t="s">
        <v>731</v>
      </c>
      <c r="I181" s="50" t="s">
        <v>847</v>
      </c>
      <c r="J181" s="4" t="s">
        <v>160</v>
      </c>
      <c r="K181" s="4" t="s">
        <v>33</v>
      </c>
      <c r="L181" s="4" t="s">
        <v>701</v>
      </c>
      <c r="M181" s="4" t="s">
        <v>733</v>
      </c>
      <c r="N181" s="4" t="s">
        <v>36</v>
      </c>
      <c r="O181" s="4">
        <v>1</v>
      </c>
      <c r="P181" s="119" t="s">
        <v>37</v>
      </c>
      <c r="Q181" s="31" t="s">
        <v>803</v>
      </c>
      <c r="R181" s="34">
        <v>45</v>
      </c>
      <c r="S181" s="59">
        <v>335</v>
      </c>
      <c r="T181" s="58">
        <f t="shared" si="9"/>
        <v>380</v>
      </c>
      <c r="U181" s="36">
        <v>45908</v>
      </c>
      <c r="V181" s="34"/>
      <c r="W181" s="34"/>
      <c r="X181" s="4"/>
    </row>
    <row r="182" spans="1:24" ht="15" thickBot="1">
      <c r="A182" s="4" t="s">
        <v>25</v>
      </c>
      <c r="B182" s="4" t="s">
        <v>26</v>
      </c>
      <c r="C182" s="4" t="s">
        <v>27</v>
      </c>
      <c r="D182" s="4" t="s">
        <v>28</v>
      </c>
      <c r="E182" s="4" t="s">
        <v>195</v>
      </c>
      <c r="F182" s="31">
        <v>45874</v>
      </c>
      <c r="G182" s="4">
        <v>5795</v>
      </c>
      <c r="H182" s="4" t="s">
        <v>734</v>
      </c>
      <c r="I182" s="50" t="s">
        <v>735</v>
      </c>
      <c r="J182" s="4" t="s">
        <v>397</v>
      </c>
      <c r="K182" s="4" t="s">
        <v>33</v>
      </c>
      <c r="L182" s="4" t="s">
        <v>233</v>
      </c>
      <c r="M182" s="4" t="s">
        <v>117</v>
      </c>
      <c r="N182" s="4" t="s">
        <v>36</v>
      </c>
      <c r="O182" s="4">
        <v>1</v>
      </c>
      <c r="P182" s="119" t="s">
        <v>737</v>
      </c>
      <c r="Q182" s="31" t="s">
        <v>117</v>
      </c>
      <c r="R182" s="34">
        <v>45</v>
      </c>
      <c r="S182" s="59">
        <v>215</v>
      </c>
      <c r="T182" s="58">
        <f t="shared" si="9"/>
        <v>260</v>
      </c>
      <c r="U182" s="36">
        <v>45908</v>
      </c>
      <c r="V182" s="34"/>
      <c r="W182" s="122" t="s">
        <v>789</v>
      </c>
      <c r="X182" s="4"/>
    </row>
    <row r="183" spans="1:24" ht="15" thickBot="1">
      <c r="A183" s="4" t="s">
        <v>25</v>
      </c>
      <c r="B183" s="4" t="s">
        <v>26</v>
      </c>
      <c r="C183" s="4" t="s">
        <v>27</v>
      </c>
      <c r="D183" s="4" t="s">
        <v>28</v>
      </c>
      <c r="E183" s="4" t="s">
        <v>195</v>
      </c>
      <c r="F183" s="31">
        <v>45874</v>
      </c>
      <c r="G183" s="4">
        <v>5796</v>
      </c>
      <c r="H183" s="4" t="s">
        <v>738</v>
      </c>
      <c r="I183" s="50" t="s">
        <v>739</v>
      </c>
      <c r="J183" s="4" t="s">
        <v>160</v>
      </c>
      <c r="K183" s="4" t="s">
        <v>33</v>
      </c>
      <c r="L183" s="4" t="s">
        <v>740</v>
      </c>
      <c r="M183" s="4" t="s">
        <v>848</v>
      </c>
      <c r="N183" s="4" t="s">
        <v>36</v>
      </c>
      <c r="O183" s="4">
        <v>1</v>
      </c>
      <c r="P183" s="119" t="s">
        <v>37</v>
      </c>
      <c r="Q183" s="31" t="s">
        <v>848</v>
      </c>
      <c r="R183" s="34">
        <v>45</v>
      </c>
      <c r="S183" s="37">
        <v>233.75</v>
      </c>
      <c r="T183" s="58">
        <f t="shared" si="9"/>
        <v>278.75</v>
      </c>
      <c r="U183" s="36">
        <v>45939</v>
      </c>
      <c r="V183" s="34"/>
      <c r="W183" s="122" t="s">
        <v>789</v>
      </c>
      <c r="X183" s="4"/>
    </row>
    <row r="184" spans="1:24" ht="28.15" customHeight="1" thickBot="1">
      <c r="A184" s="4" t="s">
        <v>25</v>
      </c>
      <c r="B184" s="4" t="s">
        <v>26</v>
      </c>
      <c r="C184" s="4" t="s">
        <v>27</v>
      </c>
      <c r="D184" s="4" t="s">
        <v>28</v>
      </c>
      <c r="E184" s="4" t="s">
        <v>195</v>
      </c>
      <c r="F184" s="31">
        <v>45839</v>
      </c>
      <c r="G184" s="4" t="s">
        <v>394</v>
      </c>
      <c r="H184" s="4" t="s">
        <v>395</v>
      </c>
      <c r="I184" s="50" t="s">
        <v>741</v>
      </c>
      <c r="J184" s="4" t="s">
        <v>397</v>
      </c>
      <c r="K184" s="4" t="s">
        <v>48</v>
      </c>
      <c r="L184" s="4" t="s">
        <v>210</v>
      </c>
      <c r="M184" s="4" t="s">
        <v>351</v>
      </c>
      <c r="N184" s="4" t="s">
        <v>36</v>
      </c>
      <c r="O184" s="4">
        <v>1</v>
      </c>
      <c r="P184" s="112" t="s">
        <v>351</v>
      </c>
      <c r="Q184" s="4" t="s">
        <v>258</v>
      </c>
      <c r="R184" s="34">
        <v>45</v>
      </c>
      <c r="S184" s="59">
        <v>320</v>
      </c>
      <c r="T184" s="59">
        <f t="shared" si="9"/>
        <v>365</v>
      </c>
      <c r="U184" s="59">
        <v>45908</v>
      </c>
      <c r="V184" s="34"/>
      <c r="W184" s="122" t="s">
        <v>789</v>
      </c>
      <c r="X184" s="4" t="s">
        <v>399</v>
      </c>
    </row>
    <row r="185" spans="1:24" ht="15.75" customHeight="1" thickBot="1">
      <c r="A185" s="4" t="s">
        <v>154</v>
      </c>
      <c r="B185" s="4" t="s">
        <v>155</v>
      </c>
      <c r="C185" s="4">
        <v>616866669</v>
      </c>
      <c r="D185" s="4" t="s">
        <v>156</v>
      </c>
      <c r="E185" s="4" t="s">
        <v>157</v>
      </c>
      <c r="F185" s="31">
        <v>45728</v>
      </c>
      <c r="G185" s="4">
        <v>4035</v>
      </c>
      <c r="H185" s="4" t="s">
        <v>163</v>
      </c>
      <c r="I185" s="50" t="s">
        <v>742</v>
      </c>
      <c r="J185" s="4" t="s">
        <v>160</v>
      </c>
      <c r="K185" s="4" t="s">
        <v>33</v>
      </c>
      <c r="L185" s="4" t="s">
        <v>166</v>
      </c>
      <c r="M185" s="4" t="s">
        <v>351</v>
      </c>
      <c r="N185" s="4" t="s">
        <v>36</v>
      </c>
      <c r="O185" s="4">
        <v>1</v>
      </c>
      <c r="P185" s="112" t="s">
        <v>744</v>
      </c>
      <c r="Q185" s="4" t="s">
        <v>745</v>
      </c>
      <c r="R185" s="34">
        <v>45</v>
      </c>
      <c r="S185" s="59">
        <v>320</v>
      </c>
      <c r="T185" s="59">
        <f t="shared" si="9"/>
        <v>365</v>
      </c>
      <c r="U185" s="59">
        <v>45908</v>
      </c>
      <c r="V185" s="34"/>
      <c r="W185" s="122" t="s">
        <v>789</v>
      </c>
      <c r="X185" s="4" t="s">
        <v>746</v>
      </c>
    </row>
    <row r="186" spans="1:24" ht="18.75" customHeight="1" thickBot="1">
      <c r="A186" s="4" t="s">
        <v>154</v>
      </c>
      <c r="B186" s="4" t="s">
        <v>155</v>
      </c>
      <c r="C186" s="4">
        <v>616866669</v>
      </c>
      <c r="D186" s="4" t="s">
        <v>156</v>
      </c>
      <c r="E186" s="4" t="s">
        <v>157</v>
      </c>
      <c r="F186" s="31">
        <v>45728</v>
      </c>
      <c r="G186" s="4">
        <v>4036</v>
      </c>
      <c r="H186" s="4" t="s">
        <v>170</v>
      </c>
      <c r="I186" s="50" t="s">
        <v>747</v>
      </c>
      <c r="J186" s="4" t="s">
        <v>201</v>
      </c>
      <c r="K186" s="4" t="s">
        <v>48</v>
      </c>
      <c r="L186" s="4" t="s">
        <v>173</v>
      </c>
      <c r="M186" s="4" t="s">
        <v>117</v>
      </c>
      <c r="N186" s="4" t="s">
        <v>36</v>
      </c>
      <c r="O186" s="4">
        <v>1</v>
      </c>
      <c r="P186" s="112" t="s">
        <v>174</v>
      </c>
      <c r="Q186" s="4" t="s">
        <v>748</v>
      </c>
      <c r="R186" s="34">
        <v>45</v>
      </c>
      <c r="S186" s="59">
        <v>273.75</v>
      </c>
      <c r="T186" s="59">
        <f t="shared" si="9"/>
        <v>318.75</v>
      </c>
      <c r="U186" s="59">
        <v>45908</v>
      </c>
      <c r="V186" s="34"/>
      <c r="W186" s="122" t="s">
        <v>789</v>
      </c>
      <c r="X186" s="4" t="s">
        <v>746</v>
      </c>
    </row>
    <row r="187" spans="1:24" ht="15.75" customHeight="1" thickBot="1">
      <c r="A187" s="4" t="s">
        <v>154</v>
      </c>
      <c r="B187" s="4" t="s">
        <v>155</v>
      </c>
      <c r="C187" s="4">
        <v>616866669</v>
      </c>
      <c r="D187" s="4" t="s">
        <v>156</v>
      </c>
      <c r="E187" s="4" t="s">
        <v>157</v>
      </c>
      <c r="F187" s="31">
        <v>45728</v>
      </c>
      <c r="G187" s="4">
        <v>4034</v>
      </c>
      <c r="H187" s="4" t="s">
        <v>186</v>
      </c>
      <c r="I187" s="50" t="s">
        <v>749</v>
      </c>
      <c r="J187" s="4" t="s">
        <v>160</v>
      </c>
      <c r="K187" s="4" t="s">
        <v>33</v>
      </c>
      <c r="L187" s="4" t="s">
        <v>188</v>
      </c>
      <c r="M187" s="4" t="s">
        <v>55</v>
      </c>
      <c r="N187" s="4" t="s">
        <v>36</v>
      </c>
      <c r="O187" s="4">
        <v>1</v>
      </c>
      <c r="P187" s="112" t="s">
        <v>189</v>
      </c>
      <c r="Q187" s="4" t="s">
        <v>55</v>
      </c>
      <c r="R187" s="34">
        <v>45</v>
      </c>
      <c r="S187" s="59">
        <v>163.75</v>
      </c>
      <c r="T187" s="59">
        <f t="shared" si="9"/>
        <v>208.75</v>
      </c>
      <c r="U187" s="59">
        <v>45908</v>
      </c>
      <c r="V187" s="34"/>
      <c r="W187" s="122" t="s">
        <v>789</v>
      </c>
      <c r="X187" s="4" t="s">
        <v>746</v>
      </c>
    </row>
    <row r="188" spans="1:24" ht="15" thickBot="1">
      <c r="A188" s="4" t="s">
        <v>154</v>
      </c>
      <c r="B188" s="4" t="s">
        <v>155</v>
      </c>
      <c r="C188" s="4">
        <v>616866669</v>
      </c>
      <c r="D188" s="4" t="s">
        <v>156</v>
      </c>
      <c r="E188" s="4" t="s">
        <v>283</v>
      </c>
      <c r="F188" s="31">
        <v>45757</v>
      </c>
      <c r="G188" s="4">
        <v>4643</v>
      </c>
      <c r="H188" s="4" t="s">
        <v>362</v>
      </c>
      <c r="I188" s="50" t="s">
        <v>849</v>
      </c>
      <c r="J188" s="4" t="s">
        <v>160</v>
      </c>
      <c r="K188" s="4" t="s">
        <v>33</v>
      </c>
      <c r="L188" s="4" t="s">
        <v>364</v>
      </c>
      <c r="M188" s="4" t="s">
        <v>750</v>
      </c>
      <c r="N188" s="4" t="s">
        <v>36</v>
      </c>
      <c r="O188" s="4">
        <v>1</v>
      </c>
      <c r="P188" s="112" t="s">
        <v>751</v>
      </c>
      <c r="Q188" s="4" t="s">
        <v>352</v>
      </c>
      <c r="R188" s="34">
        <v>45</v>
      </c>
      <c r="S188" s="59">
        <v>120</v>
      </c>
      <c r="T188" s="59">
        <f t="shared" si="9"/>
        <v>165</v>
      </c>
      <c r="U188" s="59">
        <v>45908</v>
      </c>
      <c r="V188" s="34"/>
      <c r="W188" s="122" t="s">
        <v>789</v>
      </c>
      <c r="X188" s="4" t="s">
        <v>169</v>
      </c>
    </row>
    <row r="189" spans="1:24" ht="15" thickBot="1">
      <c r="A189" s="4" t="s">
        <v>25</v>
      </c>
      <c r="B189" s="4" t="s">
        <v>26</v>
      </c>
      <c r="C189" s="4" t="s">
        <v>27</v>
      </c>
      <c r="D189" s="4" t="s">
        <v>28</v>
      </c>
      <c r="E189" s="4" t="s">
        <v>29</v>
      </c>
      <c r="F189" s="31">
        <v>45716</v>
      </c>
      <c r="G189" s="4">
        <v>4024</v>
      </c>
      <c r="H189" s="4" t="s">
        <v>149</v>
      </c>
      <c r="I189" s="50" t="s">
        <v>850</v>
      </c>
      <c r="J189" s="4" t="s">
        <v>160</v>
      </c>
      <c r="K189" s="4" t="s">
        <v>33</v>
      </c>
      <c r="L189" s="4" t="s">
        <v>145</v>
      </c>
      <c r="M189" s="4" t="s">
        <v>117</v>
      </c>
      <c r="N189" s="4" t="s">
        <v>36</v>
      </c>
      <c r="O189" s="4">
        <v>1</v>
      </c>
      <c r="P189" s="112" t="s">
        <v>366</v>
      </c>
      <c r="Q189" s="4" t="s">
        <v>117</v>
      </c>
      <c r="R189" s="34">
        <v>45</v>
      </c>
      <c r="S189" s="59">
        <v>215</v>
      </c>
      <c r="T189" s="59">
        <f t="shared" si="9"/>
        <v>260</v>
      </c>
      <c r="U189" s="59">
        <v>45898</v>
      </c>
      <c r="V189" s="34"/>
      <c r="W189" s="122" t="s">
        <v>789</v>
      </c>
      <c r="X189" s="4"/>
    </row>
    <row r="190" spans="1:24" ht="15" thickBot="1">
      <c r="A190" s="4" t="s">
        <v>25</v>
      </c>
      <c r="B190" s="4" t="s">
        <v>26</v>
      </c>
      <c r="C190" s="4" t="s">
        <v>27</v>
      </c>
      <c r="D190" s="4" t="s">
        <v>28</v>
      </c>
      <c r="E190" s="4" t="s">
        <v>195</v>
      </c>
      <c r="F190" s="31">
        <v>45874</v>
      </c>
      <c r="G190" s="4">
        <v>5775</v>
      </c>
      <c r="H190" s="4" t="s">
        <v>702</v>
      </c>
      <c r="I190" s="50" t="s">
        <v>469</v>
      </c>
      <c r="J190" s="4" t="s">
        <v>160</v>
      </c>
      <c r="K190" s="4" t="s">
        <v>33</v>
      </c>
      <c r="L190" s="4" t="s">
        <v>213</v>
      </c>
      <c r="M190" s="4" t="s">
        <v>55</v>
      </c>
      <c r="N190" s="4" t="s">
        <v>36</v>
      </c>
      <c r="O190" s="4">
        <v>1</v>
      </c>
      <c r="P190" s="112" t="s">
        <v>851</v>
      </c>
      <c r="Q190" s="4" t="s">
        <v>55</v>
      </c>
      <c r="R190" s="34">
        <v>45</v>
      </c>
      <c r="S190" s="34">
        <v>163.75</v>
      </c>
      <c r="T190" s="34">
        <f t="shared" ref="T190:T192" si="10">SUM(R190:S190)</f>
        <v>208.75</v>
      </c>
      <c r="U190" s="36">
        <v>45939</v>
      </c>
      <c r="V190" s="34"/>
      <c r="W190" s="122" t="s">
        <v>789</v>
      </c>
      <c r="X190" s="4"/>
    </row>
    <row r="191" spans="1:24" ht="15" thickBot="1">
      <c r="A191" s="4" t="s">
        <v>25</v>
      </c>
      <c r="B191" s="4" t="s">
        <v>26</v>
      </c>
      <c r="C191" s="4" t="s">
        <v>27</v>
      </c>
      <c r="D191" s="64" t="s">
        <v>28</v>
      </c>
      <c r="E191" s="4" t="s">
        <v>195</v>
      </c>
      <c r="F191" s="31">
        <v>45908</v>
      </c>
      <c r="G191" s="4">
        <v>6154</v>
      </c>
      <c r="H191" s="31" t="s">
        <v>852</v>
      </c>
      <c r="I191" s="50" t="s">
        <v>853</v>
      </c>
      <c r="J191" s="4" t="s">
        <v>382</v>
      </c>
      <c r="K191" s="4" t="s">
        <v>33</v>
      </c>
      <c r="L191" s="4" t="s">
        <v>854</v>
      </c>
      <c r="M191" s="4" t="s">
        <v>55</v>
      </c>
      <c r="N191" s="4" t="s">
        <v>499</v>
      </c>
      <c r="O191" s="4">
        <v>1</v>
      </c>
      <c r="P191" s="112"/>
      <c r="Q191" s="4" t="s">
        <v>55</v>
      </c>
      <c r="R191" s="34">
        <v>45</v>
      </c>
      <c r="S191" s="34">
        <v>163.75</v>
      </c>
      <c r="T191" s="34">
        <f t="shared" si="10"/>
        <v>208.75</v>
      </c>
      <c r="U191" s="36"/>
      <c r="V191" s="34"/>
      <c r="W191" s="122" t="s">
        <v>789</v>
      </c>
      <c r="X191" s="4" t="s">
        <v>262</v>
      </c>
    </row>
    <row r="192" spans="1:24" ht="23.25" customHeight="1" thickBot="1">
      <c r="A192" s="4" t="s">
        <v>25</v>
      </c>
      <c r="B192" s="4" t="s">
        <v>26</v>
      </c>
      <c r="C192" s="4" t="s">
        <v>27</v>
      </c>
      <c r="D192" s="4" t="s">
        <v>28</v>
      </c>
      <c r="E192" s="4" t="s">
        <v>195</v>
      </c>
      <c r="F192" s="31">
        <v>45908</v>
      </c>
      <c r="G192" s="4">
        <v>6155</v>
      </c>
      <c r="H192" s="31" t="s">
        <v>855</v>
      </c>
      <c r="I192" s="50" t="s">
        <v>856</v>
      </c>
      <c r="J192" s="4" t="s">
        <v>485</v>
      </c>
      <c r="K192" s="4" t="s">
        <v>48</v>
      </c>
      <c r="L192" s="4" t="s">
        <v>857</v>
      </c>
      <c r="M192" s="4" t="s">
        <v>858</v>
      </c>
      <c r="N192" s="4" t="s">
        <v>36</v>
      </c>
      <c r="O192" s="4">
        <v>1</v>
      </c>
      <c r="P192" s="112" t="s">
        <v>859</v>
      </c>
      <c r="Q192" s="4" t="s">
        <v>55</v>
      </c>
      <c r="R192" s="34">
        <v>45</v>
      </c>
      <c r="S192" s="34">
        <v>163.75</v>
      </c>
      <c r="T192" s="34">
        <f t="shared" si="10"/>
        <v>208.75</v>
      </c>
      <c r="U192" s="111">
        <v>45993</v>
      </c>
      <c r="V192" s="34"/>
      <c r="W192" s="122" t="s">
        <v>789</v>
      </c>
      <c r="X192" s="4"/>
    </row>
    <row r="193" spans="1:24" ht="15" thickBot="1">
      <c r="A193" s="4" t="s">
        <v>25</v>
      </c>
      <c r="B193" s="4" t="s">
        <v>26</v>
      </c>
      <c r="C193" s="4" t="s">
        <v>27</v>
      </c>
      <c r="D193" s="4" t="s">
        <v>28</v>
      </c>
      <c r="E193" s="4" t="s">
        <v>195</v>
      </c>
      <c r="F193" s="31">
        <v>45908</v>
      </c>
      <c r="G193" s="4">
        <v>6156</v>
      </c>
      <c r="H193" s="31" t="s">
        <v>860</v>
      </c>
      <c r="I193" s="50" t="s">
        <v>861</v>
      </c>
      <c r="J193" s="4" t="s">
        <v>756</v>
      </c>
      <c r="K193" s="4" t="s">
        <v>33</v>
      </c>
      <c r="L193" s="4" t="s">
        <v>862</v>
      </c>
      <c r="M193" s="4" t="s">
        <v>863</v>
      </c>
      <c r="N193" s="4" t="s">
        <v>499</v>
      </c>
      <c r="O193" s="4">
        <v>1</v>
      </c>
      <c r="P193" s="112"/>
      <c r="Q193" s="4" t="s">
        <v>864</v>
      </c>
      <c r="R193" s="34">
        <v>45</v>
      </c>
      <c r="S193" s="34">
        <v>340</v>
      </c>
      <c r="T193" s="34">
        <f>SUM(R193:S193)</f>
        <v>385</v>
      </c>
      <c r="U193" s="36"/>
      <c r="V193" s="34"/>
      <c r="W193" s="122" t="s">
        <v>789</v>
      </c>
      <c r="X193" s="4" t="s">
        <v>262</v>
      </c>
    </row>
    <row r="194" spans="1:24" ht="15" thickBot="1">
      <c r="A194" s="4" t="s">
        <v>25</v>
      </c>
      <c r="B194" s="4" t="s">
        <v>26</v>
      </c>
      <c r="C194" s="4" t="s">
        <v>27</v>
      </c>
      <c r="D194" s="4" t="s">
        <v>28</v>
      </c>
      <c r="E194" s="4" t="s">
        <v>195</v>
      </c>
      <c r="F194" s="31">
        <v>45908</v>
      </c>
      <c r="G194" s="4">
        <v>6158</v>
      </c>
      <c r="H194" s="31" t="s">
        <v>865</v>
      </c>
      <c r="I194" s="50" t="s">
        <v>866</v>
      </c>
      <c r="J194" s="4" t="s">
        <v>379</v>
      </c>
      <c r="K194" s="4" t="s">
        <v>48</v>
      </c>
      <c r="L194" s="4" t="s">
        <v>319</v>
      </c>
      <c r="M194" s="4" t="s">
        <v>867</v>
      </c>
      <c r="N194" s="4" t="s">
        <v>36</v>
      </c>
      <c r="O194" s="4">
        <v>1</v>
      </c>
      <c r="P194" s="112" t="s">
        <v>868</v>
      </c>
      <c r="Q194" s="4" t="s">
        <v>869</v>
      </c>
      <c r="R194" s="34">
        <v>45</v>
      </c>
      <c r="S194" s="37">
        <v>0</v>
      </c>
      <c r="T194" s="58">
        <f t="shared" ref="T194:T197" si="11">SUM(R194:S194)</f>
        <v>45</v>
      </c>
      <c r="U194" s="36">
        <v>45939</v>
      </c>
      <c r="V194" s="34"/>
      <c r="W194" s="122" t="s">
        <v>789</v>
      </c>
      <c r="X194" s="4"/>
    </row>
    <row r="195" spans="1:24" ht="15" thickBot="1">
      <c r="A195" s="4" t="s">
        <v>25</v>
      </c>
      <c r="B195" s="4" t="s">
        <v>26</v>
      </c>
      <c r="C195" s="4" t="s">
        <v>27</v>
      </c>
      <c r="D195" s="4" t="s">
        <v>28</v>
      </c>
      <c r="E195" s="4" t="s">
        <v>195</v>
      </c>
      <c r="F195" s="31">
        <v>45908</v>
      </c>
      <c r="G195" s="4">
        <v>6159</v>
      </c>
      <c r="H195" s="31" t="s">
        <v>870</v>
      </c>
      <c r="I195" s="50" t="s">
        <v>871</v>
      </c>
      <c r="J195" s="4" t="s">
        <v>201</v>
      </c>
      <c r="K195" s="4" t="s">
        <v>48</v>
      </c>
      <c r="L195" s="4" t="s">
        <v>351</v>
      </c>
      <c r="M195" s="4" t="s">
        <v>351</v>
      </c>
      <c r="N195" s="4" t="s">
        <v>36</v>
      </c>
      <c r="O195" s="4">
        <v>1</v>
      </c>
      <c r="P195" s="112" t="s">
        <v>872</v>
      </c>
      <c r="Q195" s="4" t="s">
        <v>352</v>
      </c>
      <c r="R195" s="34">
        <v>45</v>
      </c>
      <c r="S195" s="59">
        <v>160</v>
      </c>
      <c r="T195" s="58">
        <f t="shared" si="11"/>
        <v>205</v>
      </c>
      <c r="U195" s="36">
        <v>45939</v>
      </c>
      <c r="V195" s="34"/>
      <c r="W195" s="122" t="s">
        <v>789</v>
      </c>
      <c r="X195" s="4"/>
    </row>
    <row r="196" spans="1:24" ht="15" thickBot="1">
      <c r="A196" s="4" t="s">
        <v>25</v>
      </c>
      <c r="B196" s="4" t="s">
        <v>26</v>
      </c>
      <c r="C196" s="4" t="s">
        <v>27</v>
      </c>
      <c r="D196" s="4" t="s">
        <v>28</v>
      </c>
      <c r="E196" s="4" t="s">
        <v>195</v>
      </c>
      <c r="F196" s="31">
        <v>45908</v>
      </c>
      <c r="G196" s="4">
        <v>6160</v>
      </c>
      <c r="H196" s="31" t="s">
        <v>873</v>
      </c>
      <c r="I196" s="50" t="s">
        <v>874</v>
      </c>
      <c r="J196" s="4" t="s">
        <v>382</v>
      </c>
      <c r="K196" s="4" t="s">
        <v>33</v>
      </c>
      <c r="L196" s="4" t="s">
        <v>875</v>
      </c>
      <c r="M196" s="4"/>
      <c r="N196" s="4" t="s">
        <v>499</v>
      </c>
      <c r="O196" s="4">
        <v>1</v>
      </c>
      <c r="P196" s="112"/>
      <c r="Q196" s="4"/>
      <c r="R196" s="34">
        <v>45</v>
      </c>
      <c r="S196" s="4"/>
      <c r="T196" s="58">
        <v>0</v>
      </c>
      <c r="U196" s="36"/>
      <c r="V196" s="34"/>
      <c r="W196" s="122" t="s">
        <v>789</v>
      </c>
      <c r="X196" s="4" t="s">
        <v>876</v>
      </c>
    </row>
    <row r="197" spans="1:24" ht="15" thickBot="1">
      <c r="A197" s="4" t="s">
        <v>25</v>
      </c>
      <c r="B197" s="4" t="s">
        <v>26</v>
      </c>
      <c r="C197" s="4" t="s">
        <v>27</v>
      </c>
      <c r="D197" s="4" t="s">
        <v>28</v>
      </c>
      <c r="E197" s="4" t="s">
        <v>195</v>
      </c>
      <c r="F197" s="31">
        <v>45908</v>
      </c>
      <c r="G197" s="4">
        <v>6161</v>
      </c>
      <c r="H197" s="31" t="s">
        <v>877</v>
      </c>
      <c r="I197" s="50" t="s">
        <v>878</v>
      </c>
      <c r="J197" s="4" t="s">
        <v>201</v>
      </c>
      <c r="K197" s="4" t="s">
        <v>48</v>
      </c>
      <c r="L197" s="4" t="s">
        <v>879</v>
      </c>
      <c r="M197" s="4" t="s">
        <v>880</v>
      </c>
      <c r="N197" s="4" t="s">
        <v>36</v>
      </c>
      <c r="O197" s="4">
        <v>1</v>
      </c>
      <c r="P197" s="112" t="s">
        <v>881</v>
      </c>
      <c r="Q197" s="4" t="s">
        <v>134</v>
      </c>
      <c r="R197" s="34">
        <v>45</v>
      </c>
      <c r="S197" s="37">
        <v>0</v>
      </c>
      <c r="T197" s="58">
        <f t="shared" si="11"/>
        <v>45</v>
      </c>
      <c r="U197" s="111">
        <v>45993</v>
      </c>
      <c r="V197" s="34"/>
      <c r="W197" s="122" t="s">
        <v>789</v>
      </c>
      <c r="X197" s="4"/>
    </row>
    <row r="198" spans="1:24" ht="15" thickBot="1">
      <c r="A198" s="4" t="s">
        <v>25</v>
      </c>
      <c r="B198" s="4" t="s">
        <v>26</v>
      </c>
      <c r="C198" s="4" t="s">
        <v>27</v>
      </c>
      <c r="D198" s="4" t="s">
        <v>28</v>
      </c>
      <c r="E198" s="4" t="s">
        <v>195</v>
      </c>
      <c r="F198" s="31">
        <v>45911</v>
      </c>
      <c r="G198" s="4">
        <v>6162</v>
      </c>
      <c r="H198" s="31" t="s">
        <v>882</v>
      </c>
      <c r="I198" s="50" t="s">
        <v>883</v>
      </c>
      <c r="J198" s="4" t="s">
        <v>201</v>
      </c>
      <c r="K198" s="4" t="s">
        <v>48</v>
      </c>
      <c r="L198" s="4" t="s">
        <v>884</v>
      </c>
      <c r="M198" s="4" t="s">
        <v>351</v>
      </c>
      <c r="N198" s="4" t="s">
        <v>36</v>
      </c>
      <c r="O198" s="4">
        <v>1</v>
      </c>
      <c r="P198" s="112" t="s">
        <v>872</v>
      </c>
      <c r="Q198" s="4" t="s">
        <v>352</v>
      </c>
      <c r="R198" s="34">
        <v>45</v>
      </c>
      <c r="S198" s="59">
        <v>160</v>
      </c>
      <c r="T198" s="58">
        <f t="shared" ref="T198:T201" si="12">SUM(R198:S198)</f>
        <v>205</v>
      </c>
      <c r="U198" s="36">
        <v>45939</v>
      </c>
      <c r="V198" s="34"/>
      <c r="W198" s="122" t="s">
        <v>789</v>
      </c>
      <c r="X198" s="4"/>
    </row>
    <row r="199" spans="1:24" ht="15" thickBot="1">
      <c r="A199" s="4" t="s">
        <v>25</v>
      </c>
      <c r="B199" s="4" t="s">
        <v>26</v>
      </c>
      <c r="C199" s="4" t="s">
        <v>27</v>
      </c>
      <c r="D199" s="4" t="s">
        <v>28</v>
      </c>
      <c r="E199" s="4" t="s">
        <v>195</v>
      </c>
      <c r="F199" s="31">
        <v>45911</v>
      </c>
      <c r="G199" s="4">
        <v>6163</v>
      </c>
      <c r="H199" s="31" t="s">
        <v>885</v>
      </c>
      <c r="I199" s="50" t="s">
        <v>886</v>
      </c>
      <c r="J199" s="4" t="s">
        <v>160</v>
      </c>
      <c r="K199" s="4" t="s">
        <v>33</v>
      </c>
      <c r="L199" s="4" t="s">
        <v>887</v>
      </c>
      <c r="M199" s="4" t="s">
        <v>55</v>
      </c>
      <c r="N199" s="4" t="s">
        <v>36</v>
      </c>
      <c r="O199" s="4">
        <v>1</v>
      </c>
      <c r="P199" s="112" t="s">
        <v>888</v>
      </c>
      <c r="Q199" s="4" t="s">
        <v>55</v>
      </c>
      <c r="R199" s="34">
        <v>45</v>
      </c>
      <c r="S199" s="59">
        <v>163.75</v>
      </c>
      <c r="T199" s="58">
        <f t="shared" si="12"/>
        <v>208.75</v>
      </c>
      <c r="U199" s="36">
        <v>45939</v>
      </c>
      <c r="V199" s="34"/>
      <c r="W199" s="122" t="s">
        <v>789</v>
      </c>
      <c r="X199" s="4"/>
    </row>
    <row r="200" spans="1:24" ht="15" thickBot="1">
      <c r="A200" s="4" t="s">
        <v>25</v>
      </c>
      <c r="B200" s="4" t="s">
        <v>26</v>
      </c>
      <c r="C200" s="4" t="s">
        <v>27</v>
      </c>
      <c r="D200" s="4" t="s">
        <v>28</v>
      </c>
      <c r="E200" s="4" t="s">
        <v>195</v>
      </c>
      <c r="F200" s="31">
        <v>45911</v>
      </c>
      <c r="G200" s="4">
        <v>6164</v>
      </c>
      <c r="H200" s="31" t="s">
        <v>889</v>
      </c>
      <c r="I200" s="50" t="s">
        <v>890</v>
      </c>
      <c r="J200" s="4" t="s">
        <v>160</v>
      </c>
      <c r="K200" s="4" t="s">
        <v>33</v>
      </c>
      <c r="L200" s="4" t="s">
        <v>884</v>
      </c>
      <c r="M200" s="4" t="s">
        <v>351</v>
      </c>
      <c r="N200" s="4" t="s">
        <v>36</v>
      </c>
      <c r="O200" s="4">
        <v>1</v>
      </c>
      <c r="P200" s="112" t="s">
        <v>891</v>
      </c>
      <c r="Q200" s="4" t="s">
        <v>352</v>
      </c>
      <c r="R200" s="34">
        <v>45</v>
      </c>
      <c r="S200" s="59">
        <v>160</v>
      </c>
      <c r="T200" s="58">
        <f t="shared" si="12"/>
        <v>205</v>
      </c>
      <c r="U200" s="36">
        <v>45939</v>
      </c>
      <c r="V200" s="34"/>
      <c r="W200" s="122" t="s">
        <v>789</v>
      </c>
      <c r="X200" s="4"/>
    </row>
    <row r="201" spans="1:24" ht="15" thickBot="1">
      <c r="A201" s="4" t="s">
        <v>25</v>
      </c>
      <c r="B201" s="4" t="s">
        <v>26</v>
      </c>
      <c r="C201" s="4" t="s">
        <v>27</v>
      </c>
      <c r="D201" s="4" t="s">
        <v>28</v>
      </c>
      <c r="E201" s="4" t="s">
        <v>195</v>
      </c>
      <c r="F201" s="31">
        <v>45911</v>
      </c>
      <c r="G201" s="4">
        <v>6165</v>
      </c>
      <c r="H201" s="31" t="s">
        <v>892</v>
      </c>
      <c r="I201" s="50" t="s">
        <v>893</v>
      </c>
      <c r="J201" s="4" t="s">
        <v>485</v>
      </c>
      <c r="K201" s="4" t="s">
        <v>48</v>
      </c>
      <c r="L201" s="4" t="s">
        <v>894</v>
      </c>
      <c r="M201" s="4" t="s">
        <v>117</v>
      </c>
      <c r="N201" s="4" t="s">
        <v>36</v>
      </c>
      <c r="O201" s="4">
        <v>1</v>
      </c>
      <c r="P201" s="112" t="s">
        <v>895</v>
      </c>
      <c r="Q201" s="4" t="s">
        <v>117</v>
      </c>
      <c r="R201" s="34">
        <v>45</v>
      </c>
      <c r="S201" s="37">
        <v>0</v>
      </c>
      <c r="T201" s="58">
        <f t="shared" si="12"/>
        <v>45</v>
      </c>
      <c r="U201" s="111">
        <v>45993</v>
      </c>
      <c r="V201" s="34"/>
      <c r="W201" s="34"/>
      <c r="X201" s="4"/>
    </row>
    <row r="202" spans="1:24" ht="15" thickBot="1">
      <c r="A202" s="4" t="s">
        <v>25</v>
      </c>
      <c r="B202" s="4" t="s">
        <v>26</v>
      </c>
      <c r="C202" s="4" t="s">
        <v>27</v>
      </c>
      <c r="D202" s="4" t="s">
        <v>28</v>
      </c>
      <c r="E202" s="4" t="s">
        <v>195</v>
      </c>
      <c r="F202" s="31">
        <v>45911</v>
      </c>
      <c r="G202" s="4">
        <v>6167</v>
      </c>
      <c r="H202" s="31" t="s">
        <v>896</v>
      </c>
      <c r="I202" s="50" t="s">
        <v>897</v>
      </c>
      <c r="J202" s="4" t="s">
        <v>379</v>
      </c>
      <c r="K202" s="4" t="s">
        <v>48</v>
      </c>
      <c r="L202" s="4" t="s">
        <v>884</v>
      </c>
      <c r="M202" s="4" t="s">
        <v>817</v>
      </c>
      <c r="N202" s="4" t="s">
        <v>36</v>
      </c>
      <c r="O202" s="4">
        <v>1</v>
      </c>
      <c r="P202" s="112" t="s">
        <v>872</v>
      </c>
      <c r="Q202" s="4" t="s">
        <v>352</v>
      </c>
      <c r="R202" s="34">
        <v>45</v>
      </c>
      <c r="S202" s="59">
        <v>160</v>
      </c>
      <c r="T202" s="58">
        <f t="shared" ref="T202:T203" si="13">SUM(R202:S202)</f>
        <v>205</v>
      </c>
      <c r="U202" s="36">
        <v>45939</v>
      </c>
      <c r="V202" s="34"/>
      <c r="W202" s="122" t="s">
        <v>789</v>
      </c>
      <c r="X202" s="4"/>
    </row>
    <row r="203" spans="1:24" ht="15" thickBot="1">
      <c r="A203" s="4" t="s">
        <v>25</v>
      </c>
      <c r="B203" s="4" t="s">
        <v>26</v>
      </c>
      <c r="C203" s="4" t="s">
        <v>27</v>
      </c>
      <c r="D203" s="4" t="s">
        <v>28</v>
      </c>
      <c r="E203" s="4" t="s">
        <v>195</v>
      </c>
      <c r="F203" s="31">
        <v>45911</v>
      </c>
      <c r="G203" s="4">
        <v>6169</v>
      </c>
      <c r="H203" s="31" t="s">
        <v>898</v>
      </c>
      <c r="I203" s="50" t="s">
        <v>899</v>
      </c>
      <c r="J203" s="4" t="s">
        <v>201</v>
      </c>
      <c r="K203" s="4" t="s">
        <v>48</v>
      </c>
      <c r="L203" s="4" t="s">
        <v>900</v>
      </c>
      <c r="M203" s="4" t="s">
        <v>55</v>
      </c>
      <c r="N203" s="4" t="s">
        <v>36</v>
      </c>
      <c r="O203" s="4">
        <v>1</v>
      </c>
      <c r="P203" s="112" t="s">
        <v>901</v>
      </c>
      <c r="Q203" s="4" t="s">
        <v>55</v>
      </c>
      <c r="R203" s="34">
        <v>45</v>
      </c>
      <c r="S203" s="59">
        <v>163.75</v>
      </c>
      <c r="T203" s="58">
        <f t="shared" si="13"/>
        <v>208.75</v>
      </c>
      <c r="U203" s="111">
        <v>45993</v>
      </c>
      <c r="V203" s="34"/>
      <c r="W203" s="34"/>
      <c r="X203" s="4"/>
    </row>
    <row r="204" spans="1:24" ht="15" thickBot="1">
      <c r="A204" s="4" t="s">
        <v>25</v>
      </c>
      <c r="B204" s="4" t="s">
        <v>26</v>
      </c>
      <c r="C204" s="4" t="s">
        <v>27</v>
      </c>
      <c r="D204" s="4" t="s">
        <v>28</v>
      </c>
      <c r="E204" s="4" t="s">
        <v>195</v>
      </c>
      <c r="F204" s="31">
        <v>45911</v>
      </c>
      <c r="G204" s="4">
        <v>6170</v>
      </c>
      <c r="H204" s="31" t="s">
        <v>902</v>
      </c>
      <c r="I204" s="50" t="s">
        <v>903</v>
      </c>
      <c r="J204" s="4" t="s">
        <v>160</v>
      </c>
      <c r="K204" s="4" t="s">
        <v>33</v>
      </c>
      <c r="L204" s="4" t="s">
        <v>884</v>
      </c>
      <c r="M204" s="4" t="s">
        <v>817</v>
      </c>
      <c r="N204" s="4" t="s">
        <v>36</v>
      </c>
      <c r="O204" s="4">
        <v>1</v>
      </c>
      <c r="P204" s="112" t="s">
        <v>904</v>
      </c>
      <c r="Q204" s="4" t="s">
        <v>352</v>
      </c>
      <c r="R204" s="34">
        <v>45</v>
      </c>
      <c r="S204" s="59">
        <v>160</v>
      </c>
      <c r="T204" s="58">
        <f t="shared" ref="T204:T205" si="14">SUM(R204:S204)</f>
        <v>205</v>
      </c>
      <c r="U204" s="36">
        <v>45939</v>
      </c>
      <c r="V204" s="34"/>
      <c r="W204" s="122" t="s">
        <v>789</v>
      </c>
      <c r="X204" s="4"/>
    </row>
    <row r="205" spans="1:24" ht="15" thickBot="1">
      <c r="A205" s="4" t="s">
        <v>25</v>
      </c>
      <c r="B205" s="4" t="s">
        <v>26</v>
      </c>
      <c r="C205" s="4" t="s">
        <v>27</v>
      </c>
      <c r="D205" s="4" t="s">
        <v>28</v>
      </c>
      <c r="E205" s="4" t="s">
        <v>195</v>
      </c>
      <c r="F205" s="31">
        <v>45911</v>
      </c>
      <c r="G205" s="4">
        <v>6171</v>
      </c>
      <c r="H205" s="31" t="s">
        <v>905</v>
      </c>
      <c r="I205" s="50" t="s">
        <v>906</v>
      </c>
      <c r="J205" s="4" t="s">
        <v>201</v>
      </c>
      <c r="K205" s="4" t="s">
        <v>48</v>
      </c>
      <c r="L205" s="4" t="s">
        <v>894</v>
      </c>
      <c r="M205" s="4" t="s">
        <v>867</v>
      </c>
      <c r="N205" s="4" t="s">
        <v>36</v>
      </c>
      <c r="O205" s="4">
        <v>1</v>
      </c>
      <c r="P205" s="112" t="s">
        <v>907</v>
      </c>
      <c r="Q205" s="4" t="s">
        <v>869</v>
      </c>
      <c r="R205" s="34">
        <v>45</v>
      </c>
      <c r="S205" s="59">
        <v>0</v>
      </c>
      <c r="T205" s="58">
        <f t="shared" si="14"/>
        <v>45</v>
      </c>
      <c r="U205" s="36">
        <v>45939</v>
      </c>
      <c r="V205" s="34"/>
      <c r="W205" s="122" t="s">
        <v>789</v>
      </c>
      <c r="X205" s="4"/>
    </row>
    <row r="206" spans="1:24" ht="25.5" customHeight="1" thickBot="1">
      <c r="A206" s="4" t="s">
        <v>25</v>
      </c>
      <c r="B206" s="4" t="s">
        <v>26</v>
      </c>
      <c r="C206" s="4" t="s">
        <v>27</v>
      </c>
      <c r="D206" s="4" t="s">
        <v>28</v>
      </c>
      <c r="E206" s="4" t="s">
        <v>195</v>
      </c>
      <c r="F206" s="31">
        <v>45911</v>
      </c>
      <c r="G206" s="4">
        <v>6172</v>
      </c>
      <c r="H206" s="31" t="s">
        <v>908</v>
      </c>
      <c r="I206" s="50" t="s">
        <v>909</v>
      </c>
      <c r="J206" s="4" t="s">
        <v>160</v>
      </c>
      <c r="K206" s="4" t="s">
        <v>33</v>
      </c>
      <c r="L206" s="4" t="s">
        <v>910</v>
      </c>
      <c r="M206" s="4" t="s">
        <v>911</v>
      </c>
      <c r="N206" s="4" t="s">
        <v>36</v>
      </c>
      <c r="O206" s="4">
        <v>1</v>
      </c>
      <c r="P206" s="112" t="s">
        <v>912</v>
      </c>
      <c r="Q206" s="4" t="s">
        <v>913</v>
      </c>
      <c r="R206" s="34">
        <v>45</v>
      </c>
      <c r="S206" s="59">
        <v>378.75</v>
      </c>
      <c r="T206" s="58">
        <f t="shared" ref="T206:T207" si="15">SUM(R206:S206)</f>
        <v>423.75</v>
      </c>
      <c r="U206" s="36">
        <v>45939</v>
      </c>
      <c r="V206" s="34"/>
      <c r="W206" s="122" t="s">
        <v>789</v>
      </c>
      <c r="X206" s="4"/>
    </row>
    <row r="207" spans="1:24" ht="15" thickBot="1">
      <c r="A207" s="4" t="s">
        <v>25</v>
      </c>
      <c r="B207" s="4" t="s">
        <v>26</v>
      </c>
      <c r="C207" s="4" t="s">
        <v>27</v>
      </c>
      <c r="D207" s="4" t="s">
        <v>28</v>
      </c>
      <c r="E207" s="4" t="s">
        <v>195</v>
      </c>
      <c r="F207" s="31">
        <v>45911</v>
      </c>
      <c r="G207" s="4">
        <v>6173</v>
      </c>
      <c r="H207" s="31" t="s">
        <v>914</v>
      </c>
      <c r="I207" s="4" t="s">
        <v>472</v>
      </c>
      <c r="J207" s="4" t="s">
        <v>160</v>
      </c>
      <c r="K207" s="4" t="s">
        <v>33</v>
      </c>
      <c r="L207" s="4" t="s">
        <v>884</v>
      </c>
      <c r="M207" s="4" t="s">
        <v>915</v>
      </c>
      <c r="N207" s="4" t="s">
        <v>36</v>
      </c>
      <c r="O207" s="4">
        <v>1</v>
      </c>
      <c r="P207" s="112" t="s">
        <v>916</v>
      </c>
      <c r="Q207" s="4" t="s">
        <v>917</v>
      </c>
      <c r="R207" s="34">
        <v>45</v>
      </c>
      <c r="S207" s="59">
        <v>240</v>
      </c>
      <c r="T207" s="58">
        <f t="shared" si="15"/>
        <v>285</v>
      </c>
      <c r="U207" s="36">
        <v>45939</v>
      </c>
      <c r="V207" s="34"/>
      <c r="W207" s="122" t="s">
        <v>789</v>
      </c>
      <c r="X207" s="4" t="s">
        <v>918</v>
      </c>
    </row>
    <row r="208" spans="1:24" ht="15" thickBot="1">
      <c r="A208" s="4" t="s">
        <v>25</v>
      </c>
      <c r="B208" s="4" t="s">
        <v>26</v>
      </c>
      <c r="C208" s="4" t="s">
        <v>27</v>
      </c>
      <c r="D208" s="4" t="s">
        <v>28</v>
      </c>
      <c r="E208" s="4" t="s">
        <v>195</v>
      </c>
      <c r="F208" s="31">
        <v>45911</v>
      </c>
      <c r="G208" s="4">
        <v>6174</v>
      </c>
      <c r="H208" s="31" t="s">
        <v>919</v>
      </c>
      <c r="I208" s="4" t="s">
        <v>920</v>
      </c>
      <c r="J208" s="4" t="s">
        <v>216</v>
      </c>
      <c r="K208" s="4" t="s">
        <v>33</v>
      </c>
      <c r="L208" s="4" t="s">
        <v>921</v>
      </c>
      <c r="M208" s="4" t="s">
        <v>922</v>
      </c>
      <c r="N208" s="4" t="s">
        <v>36</v>
      </c>
      <c r="O208" s="4">
        <v>1</v>
      </c>
      <c r="P208" s="112" t="s">
        <v>923</v>
      </c>
      <c r="Q208" s="4" t="s">
        <v>924</v>
      </c>
      <c r="R208" s="34">
        <v>45</v>
      </c>
      <c r="S208" s="59">
        <v>120</v>
      </c>
      <c r="T208" s="58">
        <f>SUM(R208:S208)</f>
        <v>165</v>
      </c>
      <c r="U208" s="111">
        <v>45993</v>
      </c>
      <c r="V208" s="34"/>
      <c r="W208" s="34"/>
      <c r="X208" s="4"/>
    </row>
    <row r="209" spans="1:24" ht="15" thickBot="1">
      <c r="A209" s="4" t="s">
        <v>25</v>
      </c>
      <c r="B209" s="4" t="s">
        <v>26</v>
      </c>
      <c r="C209" s="4" t="s">
        <v>27</v>
      </c>
      <c r="D209" s="4" t="s">
        <v>28</v>
      </c>
      <c r="E209" s="4" t="s">
        <v>195</v>
      </c>
      <c r="F209" s="31">
        <v>45911</v>
      </c>
      <c r="G209" s="4">
        <v>6175</v>
      </c>
      <c r="H209" s="31" t="s">
        <v>925</v>
      </c>
      <c r="I209" s="4" t="s">
        <v>926</v>
      </c>
      <c r="J209" s="4" t="s">
        <v>201</v>
      </c>
      <c r="K209" s="4" t="s">
        <v>3233</v>
      </c>
      <c r="L209" s="4" t="s">
        <v>173</v>
      </c>
      <c r="M209" s="4" t="s">
        <v>3236</v>
      </c>
      <c r="N209" s="4" t="s">
        <v>36</v>
      </c>
      <c r="O209" s="4">
        <v>1</v>
      </c>
      <c r="P209" s="112" t="s">
        <v>3237</v>
      </c>
      <c r="Q209" s="4" t="s">
        <v>3235</v>
      </c>
      <c r="R209" s="34">
        <v>45</v>
      </c>
      <c r="S209" s="59">
        <v>378.75</v>
      </c>
      <c r="T209" s="58">
        <f>SUM(R209:S209)</f>
        <v>423.75</v>
      </c>
      <c r="U209" s="126">
        <v>46072</v>
      </c>
      <c r="V209" s="34"/>
      <c r="W209" s="34"/>
      <c r="X209" s="4" t="s">
        <v>927</v>
      </c>
    </row>
    <row r="210" spans="1:24" ht="15" thickBot="1">
      <c r="A210" s="4" t="s">
        <v>25</v>
      </c>
      <c r="B210" s="4" t="s">
        <v>26</v>
      </c>
      <c r="C210" s="4" t="s">
        <v>27</v>
      </c>
      <c r="D210" s="4" t="s">
        <v>28</v>
      </c>
      <c r="E210" s="4" t="s">
        <v>195</v>
      </c>
      <c r="F210" s="31">
        <v>45911</v>
      </c>
      <c r="G210" s="4">
        <v>6176</v>
      </c>
      <c r="H210" s="31" t="s">
        <v>928</v>
      </c>
      <c r="I210" s="4" t="s">
        <v>929</v>
      </c>
      <c r="J210" s="4" t="s">
        <v>757</v>
      </c>
      <c r="K210" s="4" t="s">
        <v>48</v>
      </c>
      <c r="L210" s="4" t="s">
        <v>930</v>
      </c>
      <c r="M210" s="4" t="s">
        <v>931</v>
      </c>
      <c r="N210" s="4" t="s">
        <v>36</v>
      </c>
      <c r="O210" s="4">
        <v>1</v>
      </c>
      <c r="P210" s="112" t="s">
        <v>932</v>
      </c>
      <c r="Q210" s="4" t="s">
        <v>933</v>
      </c>
      <c r="R210" s="34">
        <v>45</v>
      </c>
      <c r="S210" s="59">
        <v>120</v>
      </c>
      <c r="T210" s="58">
        <f t="shared" ref="T210" si="16">SUM(R210:S210)</f>
        <v>165</v>
      </c>
      <c r="U210" s="111">
        <v>45993</v>
      </c>
      <c r="V210" s="34"/>
      <c r="W210" s="34"/>
      <c r="X210" s="4"/>
    </row>
    <row r="211" spans="1:24" ht="18.75" customHeight="1" thickBot="1">
      <c r="A211" s="4" t="s">
        <v>25</v>
      </c>
      <c r="B211" s="4" t="s">
        <v>26</v>
      </c>
      <c r="C211" s="4" t="s">
        <v>27</v>
      </c>
      <c r="D211" s="4" t="s">
        <v>28</v>
      </c>
      <c r="E211" s="4" t="s">
        <v>195</v>
      </c>
      <c r="F211" s="31">
        <v>45911</v>
      </c>
      <c r="G211" s="4">
        <v>6177</v>
      </c>
      <c r="H211" s="31" t="s">
        <v>934</v>
      </c>
      <c r="I211" s="4" t="s">
        <v>935</v>
      </c>
      <c r="J211" s="4" t="s">
        <v>201</v>
      </c>
      <c r="K211" s="4" t="s">
        <v>48</v>
      </c>
      <c r="L211" s="4" t="s">
        <v>936</v>
      </c>
      <c r="M211" s="4" t="s">
        <v>937</v>
      </c>
      <c r="N211" s="4" t="s">
        <v>36</v>
      </c>
      <c r="O211" s="4">
        <v>1</v>
      </c>
      <c r="P211" s="112" t="s">
        <v>938</v>
      </c>
      <c r="Q211" s="4" t="s">
        <v>939</v>
      </c>
      <c r="R211" s="34">
        <v>45</v>
      </c>
      <c r="S211" s="59">
        <v>0</v>
      </c>
      <c r="T211" s="58">
        <f t="shared" ref="T211" si="17">SUM(R211:S211)</f>
        <v>45</v>
      </c>
      <c r="U211" s="36">
        <v>45939</v>
      </c>
      <c r="V211" s="34"/>
      <c r="W211" s="122" t="s">
        <v>789</v>
      </c>
      <c r="X211" s="4"/>
    </row>
    <row r="212" spans="1:24" ht="15" thickBot="1">
      <c r="A212" s="4" t="s">
        <v>154</v>
      </c>
      <c r="B212" s="4" t="s">
        <v>940</v>
      </c>
      <c r="C212" s="4" t="s">
        <v>941</v>
      </c>
      <c r="D212" s="64" t="s">
        <v>156</v>
      </c>
      <c r="E212" s="4" t="s">
        <v>942</v>
      </c>
      <c r="F212" s="31">
        <v>45911</v>
      </c>
      <c r="G212" s="4">
        <v>6178</v>
      </c>
      <c r="H212" s="31" t="s">
        <v>943</v>
      </c>
      <c r="I212" s="4" t="s">
        <v>944</v>
      </c>
      <c r="J212" s="4" t="s">
        <v>502</v>
      </c>
      <c r="K212" s="4" t="s">
        <v>33</v>
      </c>
      <c r="L212" s="4" t="s">
        <v>351</v>
      </c>
      <c r="M212" s="4" t="s">
        <v>945</v>
      </c>
      <c r="N212" s="4" t="s">
        <v>36</v>
      </c>
      <c r="O212" s="4">
        <v>1</v>
      </c>
      <c r="P212" s="112" t="s">
        <v>946</v>
      </c>
      <c r="Q212" s="4" t="s">
        <v>442</v>
      </c>
      <c r="R212" s="34">
        <v>45</v>
      </c>
      <c r="S212" s="59">
        <v>483.75</v>
      </c>
      <c r="T212" s="58">
        <f t="shared" ref="T212:T213" si="18">SUM(R212:S212)</f>
        <v>528.75</v>
      </c>
      <c r="U212" s="111">
        <v>45993</v>
      </c>
      <c r="V212" s="34"/>
      <c r="W212" s="122" t="s">
        <v>789</v>
      </c>
      <c r="X212" s="4"/>
    </row>
    <row r="213" spans="1:24" ht="15" thickBot="1">
      <c r="A213" s="4" t="s">
        <v>154</v>
      </c>
      <c r="B213" s="4" t="s">
        <v>940</v>
      </c>
      <c r="C213" s="4" t="s">
        <v>941</v>
      </c>
      <c r="D213" s="4" t="s">
        <v>156</v>
      </c>
      <c r="E213" s="4" t="s">
        <v>942</v>
      </c>
      <c r="F213" s="31">
        <v>45911</v>
      </c>
      <c r="G213" s="4">
        <v>6179</v>
      </c>
      <c r="H213" s="31" t="s">
        <v>947</v>
      </c>
      <c r="I213" s="4" t="s">
        <v>948</v>
      </c>
      <c r="J213" s="4" t="s">
        <v>502</v>
      </c>
      <c r="K213" s="4" t="s">
        <v>33</v>
      </c>
      <c r="L213" s="4" t="s">
        <v>351</v>
      </c>
      <c r="M213" s="4" t="s">
        <v>949</v>
      </c>
      <c r="N213" s="4" t="s">
        <v>36</v>
      </c>
      <c r="O213" s="4">
        <v>1</v>
      </c>
      <c r="P213" s="112" t="s">
        <v>950</v>
      </c>
      <c r="Q213" s="4" t="s">
        <v>442</v>
      </c>
      <c r="R213" s="34">
        <v>45</v>
      </c>
      <c r="S213" s="59">
        <v>483.75</v>
      </c>
      <c r="T213" s="58">
        <f t="shared" si="18"/>
        <v>528.75</v>
      </c>
      <c r="U213" s="111">
        <v>45993</v>
      </c>
      <c r="V213" s="34"/>
      <c r="W213" s="34"/>
      <c r="X213" s="4"/>
    </row>
    <row r="214" spans="1:24" ht="15" thickBot="1">
      <c r="A214" s="4" t="s">
        <v>154</v>
      </c>
      <c r="B214" s="4" t="s">
        <v>940</v>
      </c>
      <c r="C214" s="4" t="s">
        <v>941</v>
      </c>
      <c r="D214" s="64" t="s">
        <v>156</v>
      </c>
      <c r="E214" s="4" t="s">
        <v>942</v>
      </c>
      <c r="F214" s="31">
        <v>45911</v>
      </c>
      <c r="G214" s="4">
        <v>6180</v>
      </c>
      <c r="H214" s="31" t="s">
        <v>951</v>
      </c>
      <c r="I214" s="4" t="s">
        <v>952</v>
      </c>
      <c r="J214" s="4" t="s">
        <v>756</v>
      </c>
      <c r="K214" s="4" t="s">
        <v>33</v>
      </c>
      <c r="L214" s="4" t="s">
        <v>953</v>
      </c>
      <c r="M214" s="4" t="s">
        <v>55</v>
      </c>
      <c r="N214" s="4" t="s">
        <v>36</v>
      </c>
      <c r="O214" s="4">
        <v>1</v>
      </c>
      <c r="P214" s="112" t="s">
        <v>954</v>
      </c>
      <c r="Q214" s="4" t="s">
        <v>457</v>
      </c>
      <c r="R214" s="34">
        <v>45</v>
      </c>
      <c r="S214" s="59">
        <v>163.75</v>
      </c>
      <c r="T214" s="58">
        <f t="shared" ref="T214" si="19">SUM(R214:S214)</f>
        <v>208.75</v>
      </c>
      <c r="U214" s="36">
        <v>45939</v>
      </c>
      <c r="V214" s="34"/>
      <c r="W214" s="122" t="s">
        <v>789</v>
      </c>
      <c r="X214" s="4"/>
    </row>
    <row r="215" spans="1:24" ht="15" thickBot="1">
      <c r="A215" s="4" t="s">
        <v>154</v>
      </c>
      <c r="B215" s="4" t="s">
        <v>940</v>
      </c>
      <c r="C215" s="4" t="s">
        <v>941</v>
      </c>
      <c r="D215" s="4" t="s">
        <v>156</v>
      </c>
      <c r="E215" s="4" t="s">
        <v>942</v>
      </c>
      <c r="F215" s="31">
        <v>45911</v>
      </c>
      <c r="G215" s="4">
        <v>6181</v>
      </c>
      <c r="H215" s="31" t="s">
        <v>955</v>
      </c>
      <c r="I215" s="4" t="s">
        <v>956</v>
      </c>
      <c r="J215" s="4" t="s">
        <v>216</v>
      </c>
      <c r="K215" s="4" t="s">
        <v>33</v>
      </c>
      <c r="L215" s="4" t="s">
        <v>957</v>
      </c>
      <c r="M215" s="4" t="s">
        <v>958</v>
      </c>
      <c r="N215" s="4" t="s">
        <v>36</v>
      </c>
      <c r="O215" s="4">
        <v>1</v>
      </c>
      <c r="P215" s="112"/>
      <c r="Q215" s="4" t="s">
        <v>959</v>
      </c>
      <c r="R215" s="34">
        <v>45</v>
      </c>
      <c r="S215" s="59">
        <v>235</v>
      </c>
      <c r="T215" s="58">
        <f>SUM(R215:S215)</f>
        <v>280</v>
      </c>
      <c r="U215" s="126">
        <v>46072</v>
      </c>
      <c r="V215" s="34"/>
      <c r="W215" s="34"/>
      <c r="X215" s="4" t="s">
        <v>927</v>
      </c>
    </row>
    <row r="216" spans="1:24" ht="15" thickBot="1">
      <c r="A216" s="4" t="s">
        <v>154</v>
      </c>
      <c r="B216" s="4" t="s">
        <v>940</v>
      </c>
      <c r="C216" s="4" t="s">
        <v>941</v>
      </c>
      <c r="D216" s="4" t="s">
        <v>156</v>
      </c>
      <c r="E216" s="4" t="s">
        <v>942</v>
      </c>
      <c r="F216" s="31">
        <v>45911</v>
      </c>
      <c r="G216" s="4">
        <v>6182</v>
      </c>
      <c r="H216" s="31" t="s">
        <v>960</v>
      </c>
      <c r="I216" s="4" t="s">
        <v>961</v>
      </c>
      <c r="J216" s="4" t="s">
        <v>216</v>
      </c>
      <c r="K216" s="4" t="s">
        <v>33</v>
      </c>
      <c r="L216" s="4" t="s">
        <v>957</v>
      </c>
      <c r="M216" s="4" t="s">
        <v>962</v>
      </c>
      <c r="N216" s="4" t="s">
        <v>36</v>
      </c>
      <c r="O216" s="4">
        <v>1</v>
      </c>
      <c r="P216" s="112" t="s">
        <v>963</v>
      </c>
      <c r="Q216" s="4" t="s">
        <v>3238</v>
      </c>
      <c r="R216" s="34">
        <v>45</v>
      </c>
      <c r="S216" s="59">
        <v>555</v>
      </c>
      <c r="T216" s="58">
        <f>SUM(R216:S216)</f>
        <v>600</v>
      </c>
      <c r="U216" s="126">
        <v>46072</v>
      </c>
      <c r="V216" s="34"/>
      <c r="W216" s="34"/>
      <c r="X216" s="4" t="s">
        <v>927</v>
      </c>
    </row>
    <row r="217" spans="1:24" ht="15" thickBot="1">
      <c r="A217" s="4" t="s">
        <v>154</v>
      </c>
      <c r="B217" s="4" t="s">
        <v>940</v>
      </c>
      <c r="C217" s="4" t="s">
        <v>941</v>
      </c>
      <c r="D217" s="4" t="s">
        <v>156</v>
      </c>
      <c r="E217" s="4" t="s">
        <v>942</v>
      </c>
      <c r="F217" s="31">
        <v>45911</v>
      </c>
      <c r="G217" s="4">
        <v>6183</v>
      </c>
      <c r="H217" s="31" t="s">
        <v>964</v>
      </c>
      <c r="I217" s="4" t="s">
        <v>965</v>
      </c>
      <c r="J217" s="4" t="s">
        <v>216</v>
      </c>
      <c r="K217" s="4" t="s">
        <v>33</v>
      </c>
      <c r="L217" s="4" t="s">
        <v>957</v>
      </c>
      <c r="M217" s="4" t="s">
        <v>962</v>
      </c>
      <c r="N217" s="4" t="s">
        <v>36</v>
      </c>
      <c r="O217" s="4">
        <v>1</v>
      </c>
      <c r="P217" s="112" t="s">
        <v>963</v>
      </c>
      <c r="Q217" s="4" t="s">
        <v>962</v>
      </c>
      <c r="R217" s="34">
        <v>45</v>
      </c>
      <c r="S217" s="59">
        <v>555</v>
      </c>
      <c r="T217" s="58">
        <f>SUM(R217:S217)</f>
        <v>600</v>
      </c>
      <c r="U217" s="126">
        <v>46072</v>
      </c>
      <c r="V217" s="34"/>
      <c r="W217" s="34"/>
      <c r="X217" s="4" t="s">
        <v>927</v>
      </c>
    </row>
    <row r="218" spans="1:24" ht="15" thickBot="1">
      <c r="A218" s="4" t="s">
        <v>154</v>
      </c>
      <c r="B218" s="4" t="s">
        <v>940</v>
      </c>
      <c r="C218" s="4" t="s">
        <v>941</v>
      </c>
      <c r="D218" s="4" t="s">
        <v>156</v>
      </c>
      <c r="E218" s="4" t="s">
        <v>942</v>
      </c>
      <c r="F218" s="31">
        <v>45911</v>
      </c>
      <c r="G218" s="4">
        <v>6184</v>
      </c>
      <c r="H218" s="31" t="s">
        <v>966</v>
      </c>
      <c r="I218" s="4" t="s">
        <v>967</v>
      </c>
      <c r="J218" s="4" t="s">
        <v>201</v>
      </c>
      <c r="K218" s="4" t="s">
        <v>48</v>
      </c>
      <c r="L218" s="4" t="s">
        <v>968</v>
      </c>
      <c r="M218" s="4" t="s">
        <v>348</v>
      </c>
      <c r="N218" s="4" t="s">
        <v>36</v>
      </c>
      <c r="O218" s="4">
        <v>1</v>
      </c>
      <c r="P218" s="112" t="s">
        <v>969</v>
      </c>
      <c r="Q218" s="4" t="s">
        <v>55</v>
      </c>
      <c r="R218" s="34">
        <v>45</v>
      </c>
      <c r="S218" s="37">
        <v>163.75</v>
      </c>
      <c r="T218" s="58">
        <f>SUM(R218:S218)</f>
        <v>208.75</v>
      </c>
      <c r="U218" s="36">
        <v>46038</v>
      </c>
      <c r="V218" s="34"/>
      <c r="W218" s="34"/>
      <c r="X218" s="4"/>
    </row>
    <row r="219" spans="1:24" ht="15" thickBot="1">
      <c r="A219" s="4" t="s">
        <v>154</v>
      </c>
      <c r="B219" s="4" t="s">
        <v>940</v>
      </c>
      <c r="C219" s="4" t="s">
        <v>941</v>
      </c>
      <c r="D219" s="4" t="s">
        <v>156</v>
      </c>
      <c r="E219" s="4" t="s">
        <v>942</v>
      </c>
      <c r="F219" s="31">
        <v>45911</v>
      </c>
      <c r="G219" s="4">
        <v>6185</v>
      </c>
      <c r="H219" s="31" t="s">
        <v>970</v>
      </c>
      <c r="I219" s="4" t="s">
        <v>971</v>
      </c>
      <c r="J219" s="4" t="s">
        <v>160</v>
      </c>
      <c r="K219" s="4" t="s">
        <v>33</v>
      </c>
      <c r="L219" s="4" t="s">
        <v>213</v>
      </c>
      <c r="M219" s="4" t="s">
        <v>55</v>
      </c>
      <c r="N219" s="4" t="s">
        <v>36</v>
      </c>
      <c r="O219" s="4">
        <v>1</v>
      </c>
      <c r="P219" s="112" t="s">
        <v>972</v>
      </c>
      <c r="Q219" s="4" t="s">
        <v>457</v>
      </c>
      <c r="R219" s="34">
        <v>45</v>
      </c>
      <c r="S219" s="59">
        <v>163.75</v>
      </c>
      <c r="T219" s="58">
        <f t="shared" ref="T219:T221" si="20">SUM(R219:S219)</f>
        <v>208.75</v>
      </c>
      <c r="U219" s="36">
        <v>45939</v>
      </c>
      <c r="V219" s="34"/>
      <c r="W219" s="122" t="s">
        <v>789</v>
      </c>
      <c r="X219" s="4"/>
    </row>
    <row r="220" spans="1:24" ht="15" thickBot="1">
      <c r="A220" s="4" t="s">
        <v>154</v>
      </c>
      <c r="B220" s="4" t="s">
        <v>940</v>
      </c>
      <c r="C220" s="4" t="s">
        <v>941</v>
      </c>
      <c r="D220" s="4" t="s">
        <v>156</v>
      </c>
      <c r="E220" s="4" t="s">
        <v>942</v>
      </c>
      <c r="F220" s="31">
        <v>45911</v>
      </c>
      <c r="G220" s="4">
        <v>6186</v>
      </c>
      <c r="H220" s="31" t="s">
        <v>973</v>
      </c>
      <c r="I220" s="4" t="s">
        <v>974</v>
      </c>
      <c r="J220" s="4" t="s">
        <v>160</v>
      </c>
      <c r="K220" s="4" t="s">
        <v>33</v>
      </c>
      <c r="L220" s="4" t="s">
        <v>975</v>
      </c>
      <c r="M220" s="4" t="s">
        <v>976</v>
      </c>
      <c r="N220" s="4" t="s">
        <v>36</v>
      </c>
      <c r="O220" s="4">
        <v>1</v>
      </c>
      <c r="P220" s="112" t="s">
        <v>977</v>
      </c>
      <c r="Q220" s="4" t="s">
        <v>978</v>
      </c>
      <c r="R220" s="34">
        <v>45</v>
      </c>
      <c r="S220" s="59">
        <v>183.75</v>
      </c>
      <c r="T220" s="58">
        <f t="shared" si="20"/>
        <v>228.75</v>
      </c>
      <c r="U220" s="36">
        <v>45939</v>
      </c>
      <c r="V220" s="34"/>
      <c r="W220" s="122" t="s">
        <v>789</v>
      </c>
      <c r="X220" s="4"/>
    </row>
    <row r="221" spans="1:24" ht="15" thickBot="1">
      <c r="A221" s="4" t="s">
        <v>154</v>
      </c>
      <c r="B221" s="4" t="s">
        <v>940</v>
      </c>
      <c r="C221" s="4" t="s">
        <v>941</v>
      </c>
      <c r="D221" s="4" t="s">
        <v>156</v>
      </c>
      <c r="E221" s="4" t="s">
        <v>942</v>
      </c>
      <c r="F221" s="31">
        <v>45911</v>
      </c>
      <c r="G221" s="4">
        <v>6187</v>
      </c>
      <c r="H221" s="31" t="s">
        <v>979</v>
      </c>
      <c r="I221" s="4" t="s">
        <v>980</v>
      </c>
      <c r="J221" s="4" t="s">
        <v>201</v>
      </c>
      <c r="K221" s="4" t="s">
        <v>48</v>
      </c>
      <c r="L221" s="4" t="s">
        <v>981</v>
      </c>
      <c r="M221" s="4" t="s">
        <v>55</v>
      </c>
      <c r="N221" s="4" t="s">
        <v>36</v>
      </c>
      <c r="O221" s="4">
        <v>1</v>
      </c>
      <c r="P221" s="112" t="s">
        <v>982</v>
      </c>
      <c r="Q221" s="4" t="s">
        <v>457</v>
      </c>
      <c r="R221" s="34">
        <v>45</v>
      </c>
      <c r="S221" s="58">
        <v>0</v>
      </c>
      <c r="T221" s="58">
        <f t="shared" si="20"/>
        <v>45</v>
      </c>
      <c r="U221" s="111">
        <v>45993</v>
      </c>
      <c r="V221" s="34"/>
      <c r="W221" s="34"/>
      <c r="X221" s="4"/>
    </row>
    <row r="222" spans="1:24" ht="15" thickBot="1">
      <c r="A222" s="4" t="s">
        <v>25</v>
      </c>
      <c r="B222" s="4" t="s">
        <v>26</v>
      </c>
      <c r="C222" s="4" t="s">
        <v>27</v>
      </c>
      <c r="D222" s="4" t="s">
        <v>28</v>
      </c>
      <c r="E222" s="4" t="s">
        <v>195</v>
      </c>
      <c r="F222" s="4">
        <v>45874</v>
      </c>
      <c r="G222" s="4">
        <v>5792</v>
      </c>
      <c r="H222" s="4" t="s">
        <v>279</v>
      </c>
      <c r="I222" s="81" t="s">
        <v>280</v>
      </c>
      <c r="J222" s="4" t="s">
        <v>160</v>
      </c>
      <c r="K222" s="4" t="s">
        <v>33</v>
      </c>
      <c r="L222" s="4" t="s">
        <v>653</v>
      </c>
      <c r="M222" s="4" t="s">
        <v>653</v>
      </c>
      <c r="N222" s="4" t="s">
        <v>36</v>
      </c>
      <c r="O222" s="4">
        <v>1</v>
      </c>
      <c r="P222" s="112" t="s">
        <v>983</v>
      </c>
      <c r="Q222" s="4" t="s">
        <v>984</v>
      </c>
      <c r="R222" s="34">
        <v>45</v>
      </c>
      <c r="S222" s="37">
        <v>185</v>
      </c>
      <c r="T222" s="58">
        <f>SUM(R222:S222)</f>
        <v>230</v>
      </c>
      <c r="U222" s="36">
        <v>46038</v>
      </c>
      <c r="V222" s="34"/>
      <c r="W222" s="122" t="s">
        <v>789</v>
      </c>
      <c r="X222" s="4"/>
    </row>
    <row r="223" spans="1:24" ht="16.5" customHeight="1" thickBot="1">
      <c r="A223" s="4" t="s">
        <v>154</v>
      </c>
      <c r="B223" s="4" t="s">
        <v>155</v>
      </c>
      <c r="C223" s="4">
        <v>616866669</v>
      </c>
      <c r="D223" s="4" t="s">
        <v>156</v>
      </c>
      <c r="E223" s="4" t="s">
        <v>599</v>
      </c>
      <c r="F223" s="31">
        <v>45917</v>
      </c>
      <c r="G223" s="4">
        <v>6188</v>
      </c>
      <c r="H223" s="4" t="s">
        <v>985</v>
      </c>
      <c r="I223" s="81" t="s">
        <v>986</v>
      </c>
      <c r="J223" s="4" t="s">
        <v>160</v>
      </c>
      <c r="K223" s="4" t="s">
        <v>33</v>
      </c>
      <c r="L223" s="4" t="s">
        <v>987</v>
      </c>
      <c r="M223" s="4" t="s">
        <v>988</v>
      </c>
      <c r="N223" s="4" t="s">
        <v>499</v>
      </c>
      <c r="O223" s="4">
        <v>1</v>
      </c>
      <c r="P223" s="112" t="s">
        <v>989</v>
      </c>
      <c r="Q223" s="4"/>
      <c r="R223" s="34">
        <v>45</v>
      </c>
      <c r="S223" s="4"/>
      <c r="T223" s="58">
        <v>0</v>
      </c>
      <c r="U223" s="36"/>
      <c r="V223" s="34"/>
      <c r="W223" s="34"/>
      <c r="X223" s="4"/>
    </row>
    <row r="224" spans="1:24" ht="24" customHeight="1" thickBot="1">
      <c r="A224" s="4" t="s">
        <v>154</v>
      </c>
      <c r="B224" s="4" t="s">
        <v>155</v>
      </c>
      <c r="C224" s="4">
        <v>616866669</v>
      </c>
      <c r="D224" s="4" t="s">
        <v>156</v>
      </c>
      <c r="E224" s="4" t="s">
        <v>599</v>
      </c>
      <c r="F224" s="31">
        <v>45917</v>
      </c>
      <c r="G224" s="4">
        <v>6189</v>
      </c>
      <c r="H224" s="4" t="s">
        <v>990</v>
      </c>
      <c r="I224" s="4" t="s">
        <v>991</v>
      </c>
      <c r="J224" s="4" t="s">
        <v>216</v>
      </c>
      <c r="K224" s="4" t="s">
        <v>33</v>
      </c>
      <c r="L224" s="4" t="s">
        <v>992</v>
      </c>
      <c r="M224" s="4" t="s">
        <v>993</v>
      </c>
      <c r="N224" s="4" t="s">
        <v>36</v>
      </c>
      <c r="O224" s="4">
        <v>1</v>
      </c>
      <c r="P224" s="112"/>
      <c r="Q224" s="4" t="s">
        <v>457</v>
      </c>
      <c r="R224" s="34">
        <v>45</v>
      </c>
      <c r="S224" s="58">
        <v>163.75</v>
      </c>
      <c r="T224" s="58">
        <f>SUM(R224:S224)</f>
        <v>208.75</v>
      </c>
      <c r="U224" s="111">
        <v>45993</v>
      </c>
      <c r="V224" s="34"/>
      <c r="W224" s="34"/>
      <c r="X224" s="4" t="s">
        <v>833</v>
      </c>
    </row>
    <row r="225" spans="1:24" ht="22.5" customHeight="1" thickBot="1">
      <c r="A225" s="4" t="s">
        <v>154</v>
      </c>
      <c r="B225" s="4" t="s">
        <v>155</v>
      </c>
      <c r="C225" s="4">
        <v>616866669</v>
      </c>
      <c r="D225" s="4" t="s">
        <v>156</v>
      </c>
      <c r="E225" s="4" t="s">
        <v>599</v>
      </c>
      <c r="F225" s="31">
        <v>45917</v>
      </c>
      <c r="G225" s="4">
        <v>6190</v>
      </c>
      <c r="H225" s="4" t="s">
        <v>994</v>
      </c>
      <c r="I225" s="4" t="s">
        <v>995</v>
      </c>
      <c r="J225" s="4" t="s">
        <v>502</v>
      </c>
      <c r="K225" s="4" t="s">
        <v>33</v>
      </c>
      <c r="L225" s="4" t="s">
        <v>996</v>
      </c>
      <c r="M225" s="4" t="s">
        <v>997</v>
      </c>
      <c r="N225" s="4" t="s">
        <v>36</v>
      </c>
      <c r="O225" s="4">
        <v>1</v>
      </c>
      <c r="P225" s="112"/>
      <c r="Q225" s="4" t="s">
        <v>998</v>
      </c>
      <c r="R225" s="34">
        <v>45</v>
      </c>
      <c r="S225" s="59">
        <v>183.75</v>
      </c>
      <c r="T225" s="58">
        <f t="shared" ref="T225" si="21">SUM(R225:S225)</f>
        <v>228.75</v>
      </c>
      <c r="U225" s="111">
        <v>45993</v>
      </c>
      <c r="V225" s="34"/>
      <c r="W225" s="34"/>
      <c r="X225" s="4"/>
    </row>
    <row r="226" spans="1:24" ht="22.5" customHeight="1" thickBot="1">
      <c r="A226" s="4" t="s">
        <v>154</v>
      </c>
      <c r="B226" s="4" t="s">
        <v>155</v>
      </c>
      <c r="C226" s="4">
        <v>616866669</v>
      </c>
      <c r="D226" s="4" t="s">
        <v>156</v>
      </c>
      <c r="E226" s="4" t="s">
        <v>599</v>
      </c>
      <c r="F226" s="31">
        <v>45917</v>
      </c>
      <c r="G226" s="4">
        <v>6191</v>
      </c>
      <c r="H226" s="4" t="s">
        <v>999</v>
      </c>
      <c r="I226" s="4" t="s">
        <v>1000</v>
      </c>
      <c r="J226" s="4" t="s">
        <v>160</v>
      </c>
      <c r="K226" s="4" t="s">
        <v>33</v>
      </c>
      <c r="L226" s="4" t="s">
        <v>1001</v>
      </c>
      <c r="M226" s="4" t="s">
        <v>1002</v>
      </c>
      <c r="N226" s="4" t="s">
        <v>36</v>
      </c>
      <c r="O226" s="4">
        <v>1</v>
      </c>
      <c r="P226" s="112" t="s">
        <v>1003</v>
      </c>
      <c r="Q226" s="4" t="s">
        <v>457</v>
      </c>
      <c r="R226" s="34">
        <v>45</v>
      </c>
      <c r="S226" s="59">
        <v>163.75</v>
      </c>
      <c r="T226" s="58">
        <f t="shared" ref="T226:T228" si="22">SUM(R226:S226)</f>
        <v>208.75</v>
      </c>
      <c r="U226" s="36">
        <v>45939</v>
      </c>
      <c r="V226" s="34"/>
      <c r="W226" s="122" t="s">
        <v>789</v>
      </c>
      <c r="X226" s="4"/>
    </row>
    <row r="227" spans="1:24" ht="25.5" customHeight="1" thickBot="1">
      <c r="A227" s="4" t="s">
        <v>154</v>
      </c>
      <c r="B227" s="4" t="s">
        <v>155</v>
      </c>
      <c r="C227" s="4">
        <v>616866669</v>
      </c>
      <c r="D227" s="4" t="s">
        <v>156</v>
      </c>
      <c r="E227" s="4" t="s">
        <v>599</v>
      </c>
      <c r="F227" s="31">
        <v>45917</v>
      </c>
      <c r="G227" s="4">
        <v>6192</v>
      </c>
      <c r="H227" s="4" t="s">
        <v>1004</v>
      </c>
      <c r="I227" s="4" t="s">
        <v>1005</v>
      </c>
      <c r="J227" s="4" t="s">
        <v>160</v>
      </c>
      <c r="K227" s="4" t="s">
        <v>33</v>
      </c>
      <c r="L227" s="4" t="s">
        <v>241</v>
      </c>
      <c r="M227" s="4" t="s">
        <v>1006</v>
      </c>
      <c r="N227" s="4" t="s">
        <v>36</v>
      </c>
      <c r="O227" s="4">
        <v>1</v>
      </c>
      <c r="P227" s="112" t="s">
        <v>1007</v>
      </c>
      <c r="Q227" s="4" t="s">
        <v>457</v>
      </c>
      <c r="R227" s="34">
        <v>45</v>
      </c>
      <c r="S227" s="59">
        <v>163.75</v>
      </c>
      <c r="T227" s="58">
        <f t="shared" si="22"/>
        <v>208.75</v>
      </c>
      <c r="U227" s="36">
        <v>45939</v>
      </c>
      <c r="V227" s="34"/>
      <c r="W227" s="122" t="s">
        <v>789</v>
      </c>
      <c r="X227" s="4"/>
    </row>
    <row r="228" spans="1:24" ht="15" thickBot="1">
      <c r="A228" s="4" t="s">
        <v>154</v>
      </c>
      <c r="B228" s="4" t="s">
        <v>155</v>
      </c>
      <c r="C228" s="4">
        <v>616866669</v>
      </c>
      <c r="D228" s="4" t="s">
        <v>156</v>
      </c>
      <c r="E228" s="4" t="s">
        <v>599</v>
      </c>
      <c r="F228" s="31">
        <v>45917</v>
      </c>
      <c r="G228" s="4">
        <v>6193</v>
      </c>
      <c r="H228" s="4" t="s">
        <v>1008</v>
      </c>
      <c r="I228" s="4" t="s">
        <v>1009</v>
      </c>
      <c r="J228" s="4" t="s">
        <v>160</v>
      </c>
      <c r="K228" s="4" t="s">
        <v>33</v>
      </c>
      <c r="L228" s="4" t="s">
        <v>512</v>
      </c>
      <c r="M228" s="4" t="s">
        <v>406</v>
      </c>
      <c r="N228" s="4" t="s">
        <v>36</v>
      </c>
      <c r="O228" s="4">
        <v>1</v>
      </c>
      <c r="P228" s="112" t="s">
        <v>1010</v>
      </c>
      <c r="Q228" s="4" t="s">
        <v>1011</v>
      </c>
      <c r="R228" s="34">
        <v>45</v>
      </c>
      <c r="S228" s="59">
        <v>275.5</v>
      </c>
      <c r="T228" s="58">
        <f t="shared" si="22"/>
        <v>320.5</v>
      </c>
      <c r="U228" s="36">
        <v>45939</v>
      </c>
      <c r="V228" s="34"/>
      <c r="W228" s="122" t="s">
        <v>789</v>
      </c>
      <c r="X228" s="4"/>
    </row>
    <row r="229" spans="1:24" ht="15" thickBot="1">
      <c r="A229" s="4" t="s">
        <v>154</v>
      </c>
      <c r="B229" s="4" t="s">
        <v>155</v>
      </c>
      <c r="C229" s="4">
        <v>616866669</v>
      </c>
      <c r="D229" s="4" t="s">
        <v>156</v>
      </c>
      <c r="E229" s="4" t="s">
        <v>599</v>
      </c>
      <c r="F229" s="31">
        <v>45917</v>
      </c>
      <c r="G229" s="4">
        <v>6194</v>
      </c>
      <c r="H229" s="4" t="s">
        <v>1012</v>
      </c>
      <c r="I229" s="4" t="s">
        <v>1013</v>
      </c>
      <c r="J229" s="4" t="s">
        <v>201</v>
      </c>
      <c r="K229" s="4" t="s">
        <v>48</v>
      </c>
      <c r="L229" s="4" t="s">
        <v>351</v>
      </c>
      <c r="M229" s="4" t="s">
        <v>1014</v>
      </c>
      <c r="N229" s="4" t="s">
        <v>36</v>
      </c>
      <c r="O229" s="4">
        <v>1</v>
      </c>
      <c r="P229" s="112" t="s">
        <v>1015</v>
      </c>
      <c r="Q229" s="4" t="s">
        <v>352</v>
      </c>
      <c r="R229" s="34">
        <v>45</v>
      </c>
      <c r="S229" s="59">
        <v>260</v>
      </c>
      <c r="T229" s="58">
        <f t="shared" ref="T229:T232" si="23">SUM(R229:S229)</f>
        <v>305</v>
      </c>
      <c r="U229" s="36">
        <v>45939</v>
      </c>
      <c r="V229" s="34"/>
      <c r="W229" s="122" t="s">
        <v>789</v>
      </c>
      <c r="X229" s="4"/>
    </row>
    <row r="230" spans="1:24" ht="15" thickBot="1">
      <c r="A230" s="4" t="s">
        <v>154</v>
      </c>
      <c r="B230" s="4" t="s">
        <v>155</v>
      </c>
      <c r="C230" s="4">
        <v>616866669</v>
      </c>
      <c r="D230" s="4" t="s">
        <v>156</v>
      </c>
      <c r="E230" s="4" t="s">
        <v>599</v>
      </c>
      <c r="F230" s="31">
        <v>45917</v>
      </c>
      <c r="G230" s="4">
        <v>6195</v>
      </c>
      <c r="H230" s="4" t="s">
        <v>1016</v>
      </c>
      <c r="I230" s="50" t="s">
        <v>1017</v>
      </c>
      <c r="J230" s="4" t="s">
        <v>160</v>
      </c>
      <c r="K230" s="4" t="s">
        <v>33</v>
      </c>
      <c r="L230" s="4" t="s">
        <v>1018</v>
      </c>
      <c r="M230" s="4" t="s">
        <v>911</v>
      </c>
      <c r="N230" s="4" t="s">
        <v>499</v>
      </c>
      <c r="O230" s="4">
        <v>1</v>
      </c>
      <c r="P230" s="112" t="s">
        <v>1019</v>
      </c>
      <c r="Q230" s="4" t="s">
        <v>911</v>
      </c>
      <c r="R230" s="34">
        <v>45</v>
      </c>
      <c r="S230" s="4"/>
      <c r="T230" s="58">
        <v>0</v>
      </c>
      <c r="U230" s="36"/>
      <c r="V230" s="34"/>
      <c r="W230" s="34"/>
      <c r="X230" s="4" t="s">
        <v>262</v>
      </c>
    </row>
    <row r="231" spans="1:24" ht="15" thickBot="1">
      <c r="A231" s="4" t="s">
        <v>154</v>
      </c>
      <c r="B231" s="4" t="s">
        <v>155</v>
      </c>
      <c r="C231" s="4">
        <v>616866669</v>
      </c>
      <c r="D231" s="4" t="s">
        <v>156</v>
      </c>
      <c r="E231" s="4" t="s">
        <v>599</v>
      </c>
      <c r="F231" s="31">
        <v>45917</v>
      </c>
      <c r="G231" s="4">
        <v>6196</v>
      </c>
      <c r="H231" s="4" t="s">
        <v>1020</v>
      </c>
      <c r="I231" s="50" t="s">
        <v>1021</v>
      </c>
      <c r="J231" s="4" t="s">
        <v>160</v>
      </c>
      <c r="K231" s="4" t="s">
        <v>33</v>
      </c>
      <c r="L231" s="4" t="s">
        <v>1022</v>
      </c>
      <c r="M231" s="4" t="s">
        <v>34</v>
      </c>
      <c r="N231" s="4" t="s">
        <v>36</v>
      </c>
      <c r="O231" s="4">
        <v>1</v>
      </c>
      <c r="P231" s="112" t="s">
        <v>1023</v>
      </c>
      <c r="Q231" s="4" t="s">
        <v>117</v>
      </c>
      <c r="R231" s="34">
        <v>45</v>
      </c>
      <c r="S231" s="59">
        <v>215</v>
      </c>
      <c r="T231" s="58">
        <f t="shared" si="23"/>
        <v>260</v>
      </c>
      <c r="U231" s="36">
        <v>45939</v>
      </c>
      <c r="V231" s="34"/>
      <c r="W231" s="122" t="s">
        <v>789</v>
      </c>
      <c r="X231" s="4"/>
    </row>
    <row r="232" spans="1:24" ht="15" thickBot="1">
      <c r="A232" s="4" t="s">
        <v>154</v>
      </c>
      <c r="B232" s="4" t="s">
        <v>155</v>
      </c>
      <c r="C232" s="4">
        <v>616866669</v>
      </c>
      <c r="D232" s="4" t="s">
        <v>156</v>
      </c>
      <c r="E232" s="4" t="s">
        <v>599</v>
      </c>
      <c r="F232" s="31">
        <v>45917</v>
      </c>
      <c r="G232" s="4">
        <v>6197</v>
      </c>
      <c r="H232" s="4" t="s">
        <v>1024</v>
      </c>
      <c r="I232" s="4" t="s">
        <v>1025</v>
      </c>
      <c r="J232" s="4" t="s">
        <v>201</v>
      </c>
      <c r="K232" s="4" t="s">
        <v>48</v>
      </c>
      <c r="L232" s="4" t="s">
        <v>213</v>
      </c>
      <c r="M232" s="4" t="s">
        <v>348</v>
      </c>
      <c r="N232" s="4" t="s">
        <v>36</v>
      </c>
      <c r="O232" s="4">
        <v>1</v>
      </c>
      <c r="P232" s="112" t="s">
        <v>982</v>
      </c>
      <c r="Q232" s="4" t="s">
        <v>55</v>
      </c>
      <c r="R232" s="34">
        <v>45</v>
      </c>
      <c r="S232" s="59">
        <v>0</v>
      </c>
      <c r="T232" s="58">
        <f t="shared" si="23"/>
        <v>45</v>
      </c>
      <c r="U232" s="111">
        <v>45993</v>
      </c>
      <c r="V232" s="34"/>
      <c r="W232" s="34"/>
      <c r="X232" s="4"/>
    </row>
    <row r="233" spans="1:24" ht="15" thickBot="1">
      <c r="A233" s="4" t="s">
        <v>154</v>
      </c>
      <c r="B233" s="4" t="s">
        <v>155</v>
      </c>
      <c r="C233" s="4">
        <v>616866669</v>
      </c>
      <c r="D233" s="4" t="s">
        <v>156</v>
      </c>
      <c r="E233" s="4" t="s">
        <v>599</v>
      </c>
      <c r="F233" s="31">
        <v>45917</v>
      </c>
      <c r="G233" s="4">
        <v>6198</v>
      </c>
      <c r="H233" s="4" t="s">
        <v>1026</v>
      </c>
      <c r="I233" s="4" t="s">
        <v>1027</v>
      </c>
      <c r="J233" s="4" t="s">
        <v>216</v>
      </c>
      <c r="K233" s="4" t="s">
        <v>33</v>
      </c>
      <c r="L233" s="4" t="s">
        <v>1028</v>
      </c>
      <c r="M233" s="4" t="s">
        <v>1029</v>
      </c>
      <c r="N233" s="4" t="s">
        <v>36</v>
      </c>
      <c r="O233" s="4">
        <v>1</v>
      </c>
      <c r="P233" s="112" t="s">
        <v>1030</v>
      </c>
      <c r="Q233" s="4" t="s">
        <v>1029</v>
      </c>
      <c r="R233" s="34">
        <v>45</v>
      </c>
      <c r="S233" s="59">
        <v>231.75</v>
      </c>
      <c r="T233" s="58">
        <f>SUM(R233:S233)</f>
        <v>276.75</v>
      </c>
      <c r="U233" s="111">
        <v>45993</v>
      </c>
      <c r="V233" s="34"/>
      <c r="W233" s="34"/>
      <c r="X233" s="4" t="s">
        <v>833</v>
      </c>
    </row>
    <row r="234" spans="1:24" ht="15" thickBot="1">
      <c r="A234" s="4" t="s">
        <v>154</v>
      </c>
      <c r="B234" s="4" t="s">
        <v>155</v>
      </c>
      <c r="C234" s="4">
        <v>616866669</v>
      </c>
      <c r="D234" s="4" t="s">
        <v>156</v>
      </c>
      <c r="E234" s="4" t="s">
        <v>599</v>
      </c>
      <c r="F234" s="31">
        <v>45917</v>
      </c>
      <c r="G234" s="4">
        <v>6199</v>
      </c>
      <c r="H234" s="4" t="s">
        <v>1031</v>
      </c>
      <c r="I234" s="4" t="s">
        <v>1032</v>
      </c>
      <c r="J234" s="4" t="s">
        <v>160</v>
      </c>
      <c r="K234" s="4" t="s">
        <v>33</v>
      </c>
      <c r="L234" s="4" t="s">
        <v>213</v>
      </c>
      <c r="M234" s="4" t="s">
        <v>168</v>
      </c>
      <c r="N234" s="4" t="s">
        <v>36</v>
      </c>
      <c r="O234" s="4">
        <v>1</v>
      </c>
      <c r="P234" s="112" t="s">
        <v>1033</v>
      </c>
      <c r="Q234" s="4" t="s">
        <v>55</v>
      </c>
      <c r="R234" s="34">
        <v>45</v>
      </c>
      <c r="S234" s="59">
        <v>163.75</v>
      </c>
      <c r="T234" s="58">
        <f t="shared" ref="T234" si="24">SUM(R234:S234)</f>
        <v>208.75</v>
      </c>
      <c r="U234" s="36">
        <v>45939</v>
      </c>
      <c r="V234" s="34"/>
      <c r="W234" s="122" t="s">
        <v>789</v>
      </c>
      <c r="X234" s="4"/>
    </row>
    <row r="235" spans="1:24" ht="15" thickBot="1">
      <c r="A235" s="4" t="s">
        <v>154</v>
      </c>
      <c r="B235" s="4" t="s">
        <v>155</v>
      </c>
      <c r="C235" s="4">
        <v>616866669</v>
      </c>
      <c r="D235" s="4" t="s">
        <v>156</v>
      </c>
      <c r="E235" s="4" t="s">
        <v>599</v>
      </c>
      <c r="F235" s="31">
        <v>45917</v>
      </c>
      <c r="G235" s="4">
        <v>6200</v>
      </c>
      <c r="H235" s="4" t="s">
        <v>1034</v>
      </c>
      <c r="I235" s="4" t="s">
        <v>1035</v>
      </c>
      <c r="J235" s="4" t="s">
        <v>379</v>
      </c>
      <c r="K235" s="4" t="s">
        <v>48</v>
      </c>
      <c r="L235" s="4" t="s">
        <v>351</v>
      </c>
      <c r="M235" s="4" t="s">
        <v>352</v>
      </c>
      <c r="N235" s="4" t="s">
        <v>36</v>
      </c>
      <c r="O235" s="4">
        <v>1</v>
      </c>
      <c r="P235" s="112" t="s">
        <v>872</v>
      </c>
      <c r="Q235" s="4" t="s">
        <v>352</v>
      </c>
      <c r="R235" s="34">
        <v>45</v>
      </c>
      <c r="S235" s="59">
        <v>160</v>
      </c>
      <c r="T235" s="58">
        <f t="shared" ref="T235" si="25">SUM(R235:S235)</f>
        <v>205</v>
      </c>
      <c r="U235" s="36">
        <v>45939</v>
      </c>
      <c r="V235" s="34"/>
      <c r="W235" s="122" t="s">
        <v>789</v>
      </c>
      <c r="X235" s="4"/>
    </row>
    <row r="236" spans="1:24" ht="15" thickBot="1">
      <c r="A236" s="4" t="s">
        <v>154</v>
      </c>
      <c r="B236" s="4" t="s">
        <v>155</v>
      </c>
      <c r="C236" s="4">
        <v>616866669</v>
      </c>
      <c r="D236" s="4" t="s">
        <v>156</v>
      </c>
      <c r="E236" s="4" t="s">
        <v>599</v>
      </c>
      <c r="F236" s="31">
        <v>45917</v>
      </c>
      <c r="G236" s="4">
        <v>6201</v>
      </c>
      <c r="H236" s="4" t="s">
        <v>1036</v>
      </c>
      <c r="I236" s="4" t="s">
        <v>1037</v>
      </c>
      <c r="J236" s="4" t="s">
        <v>216</v>
      </c>
      <c r="K236" s="4" t="s">
        <v>33</v>
      </c>
      <c r="L236" s="4" t="s">
        <v>1038</v>
      </c>
      <c r="M236" s="4" t="s">
        <v>1039</v>
      </c>
      <c r="N236" s="4" t="s">
        <v>36</v>
      </c>
      <c r="O236" s="4">
        <v>1</v>
      </c>
      <c r="P236" s="112" t="s">
        <v>1040</v>
      </c>
      <c r="Q236" s="4" t="s">
        <v>1041</v>
      </c>
      <c r="R236" s="34">
        <v>45</v>
      </c>
      <c r="S236" s="59">
        <v>235</v>
      </c>
      <c r="T236" s="58">
        <f t="shared" ref="T236:T244" si="26">SUM(R236:S236)</f>
        <v>280</v>
      </c>
      <c r="U236" s="111">
        <v>45993</v>
      </c>
      <c r="V236" s="34"/>
      <c r="W236" s="34"/>
      <c r="X236" s="4"/>
    </row>
    <row r="237" spans="1:24" ht="15" thickBot="1">
      <c r="A237" s="4" t="s">
        <v>154</v>
      </c>
      <c r="B237" s="4" t="s">
        <v>155</v>
      </c>
      <c r="C237" s="4">
        <v>616866669</v>
      </c>
      <c r="D237" s="4" t="s">
        <v>156</v>
      </c>
      <c r="E237" s="4" t="s">
        <v>599</v>
      </c>
      <c r="F237" s="31">
        <v>45917</v>
      </c>
      <c r="G237" s="4">
        <v>6202</v>
      </c>
      <c r="H237" s="4" t="s">
        <v>1042</v>
      </c>
      <c r="I237" s="4" t="s">
        <v>1043</v>
      </c>
      <c r="J237" s="4" t="s">
        <v>216</v>
      </c>
      <c r="K237" s="4" t="s">
        <v>33</v>
      </c>
      <c r="L237" s="4" t="s">
        <v>319</v>
      </c>
      <c r="M237" s="4" t="s">
        <v>1044</v>
      </c>
      <c r="N237" s="4" t="s">
        <v>36</v>
      </c>
      <c r="O237" s="4">
        <v>1</v>
      </c>
      <c r="P237" s="112" t="s">
        <v>1040</v>
      </c>
      <c r="Q237" s="4" t="s">
        <v>1041</v>
      </c>
      <c r="R237" s="34">
        <v>45</v>
      </c>
      <c r="S237" s="59">
        <v>235</v>
      </c>
      <c r="T237" s="58">
        <f t="shared" si="26"/>
        <v>280</v>
      </c>
      <c r="U237" s="111">
        <v>45993</v>
      </c>
      <c r="V237" s="34"/>
      <c r="W237" s="34"/>
      <c r="X237" s="4"/>
    </row>
    <row r="238" spans="1:24" ht="15" thickBot="1">
      <c r="A238" s="4" t="s">
        <v>25</v>
      </c>
      <c r="B238" s="4" t="s">
        <v>26</v>
      </c>
      <c r="C238" s="4" t="s">
        <v>27</v>
      </c>
      <c r="D238" s="4" t="s">
        <v>28</v>
      </c>
      <c r="E238" s="4" t="s">
        <v>29</v>
      </c>
      <c r="F238" s="31">
        <v>45930</v>
      </c>
      <c r="G238" s="4">
        <v>6777</v>
      </c>
      <c r="H238" s="4" t="s">
        <v>1045</v>
      </c>
      <c r="I238" s="4" t="s">
        <v>1046</v>
      </c>
      <c r="J238" s="4" t="s">
        <v>160</v>
      </c>
      <c r="K238" s="4" t="s">
        <v>33</v>
      </c>
      <c r="L238" s="4" t="s">
        <v>884</v>
      </c>
      <c r="M238" s="4" t="s">
        <v>713</v>
      </c>
      <c r="N238" s="4" t="s">
        <v>36</v>
      </c>
      <c r="O238" s="4">
        <v>1</v>
      </c>
      <c r="P238" s="112" t="s">
        <v>351</v>
      </c>
      <c r="Q238" s="4" t="s">
        <v>352</v>
      </c>
      <c r="R238" s="34">
        <v>45</v>
      </c>
      <c r="S238" s="59">
        <v>160</v>
      </c>
      <c r="T238" s="58">
        <f t="shared" si="26"/>
        <v>205</v>
      </c>
      <c r="U238" s="111">
        <v>45993</v>
      </c>
      <c r="V238" s="34"/>
      <c r="W238" s="34"/>
      <c r="X238" s="4"/>
    </row>
    <row r="239" spans="1:24" ht="15" thickBot="1">
      <c r="A239" s="4" t="s">
        <v>25</v>
      </c>
      <c r="B239" s="4" t="s">
        <v>26</v>
      </c>
      <c r="C239" s="4" t="s">
        <v>27</v>
      </c>
      <c r="D239" s="4" t="s">
        <v>28</v>
      </c>
      <c r="E239" s="4" t="s">
        <v>29</v>
      </c>
      <c r="F239" s="31">
        <v>45930</v>
      </c>
      <c r="G239" s="4">
        <v>6778</v>
      </c>
      <c r="H239" s="4" t="s">
        <v>1047</v>
      </c>
      <c r="I239" s="4" t="s">
        <v>1048</v>
      </c>
      <c r="J239" s="4" t="s">
        <v>160</v>
      </c>
      <c r="K239" s="4" t="s">
        <v>3232</v>
      </c>
      <c r="L239" s="4" t="s">
        <v>1049</v>
      </c>
      <c r="M239" s="4" t="s">
        <v>1050</v>
      </c>
      <c r="N239" s="4" t="s">
        <v>36</v>
      </c>
      <c r="O239" s="4">
        <v>1</v>
      </c>
      <c r="P239" s="112"/>
      <c r="Q239" s="4" t="s">
        <v>1050</v>
      </c>
      <c r="R239" s="34">
        <v>45</v>
      </c>
      <c r="S239" s="59">
        <v>350</v>
      </c>
      <c r="T239" s="58">
        <f t="shared" si="26"/>
        <v>395</v>
      </c>
      <c r="U239" s="126">
        <v>46072</v>
      </c>
      <c r="V239" s="34"/>
      <c r="W239" s="34"/>
      <c r="X239" s="4" t="s">
        <v>927</v>
      </c>
    </row>
    <row r="240" spans="1:24" ht="15" thickBot="1">
      <c r="A240" s="4" t="s">
        <v>25</v>
      </c>
      <c r="B240" s="4" t="s">
        <v>26</v>
      </c>
      <c r="C240" s="4" t="s">
        <v>27</v>
      </c>
      <c r="D240" s="4" t="s">
        <v>28</v>
      </c>
      <c r="E240" s="4" t="s">
        <v>29</v>
      </c>
      <c r="F240" s="31">
        <v>45930</v>
      </c>
      <c r="G240" s="4">
        <v>6779</v>
      </c>
      <c r="H240" s="4" t="s">
        <v>1051</v>
      </c>
      <c r="I240" s="4" t="s">
        <v>1052</v>
      </c>
      <c r="J240" s="4" t="s">
        <v>160</v>
      </c>
      <c r="K240" s="4" t="s">
        <v>33</v>
      </c>
      <c r="L240" s="4" t="s">
        <v>437</v>
      </c>
      <c r="M240" s="4" t="s">
        <v>457</v>
      </c>
      <c r="N240" s="4" t="s">
        <v>36</v>
      </c>
      <c r="O240" s="4">
        <v>1</v>
      </c>
      <c r="P240" s="112" t="s">
        <v>1053</v>
      </c>
      <c r="Q240" s="4" t="s">
        <v>1054</v>
      </c>
      <c r="R240" s="34">
        <v>45</v>
      </c>
      <c r="S240" s="59">
        <v>163.75</v>
      </c>
      <c r="T240" s="58">
        <f t="shared" si="26"/>
        <v>208.75</v>
      </c>
      <c r="U240" s="111">
        <v>45993</v>
      </c>
      <c r="V240" s="34"/>
      <c r="W240" s="34"/>
      <c r="X240" s="4"/>
    </row>
    <row r="241" spans="1:24" ht="15" thickBot="1">
      <c r="A241" s="4" t="s">
        <v>25</v>
      </c>
      <c r="B241" s="4" t="s">
        <v>26</v>
      </c>
      <c r="C241" s="4" t="s">
        <v>27</v>
      </c>
      <c r="D241" s="4" t="s">
        <v>28</v>
      </c>
      <c r="E241" s="4" t="s">
        <v>29</v>
      </c>
      <c r="F241" s="31">
        <v>45930</v>
      </c>
      <c r="G241" s="4">
        <v>6780</v>
      </c>
      <c r="H241" s="4" t="s">
        <v>562</v>
      </c>
      <c r="I241" s="4" t="s">
        <v>563</v>
      </c>
      <c r="J241" s="4" t="s">
        <v>160</v>
      </c>
      <c r="K241" s="4" t="s">
        <v>33</v>
      </c>
      <c r="L241" s="4" t="s">
        <v>1055</v>
      </c>
      <c r="M241" s="4" t="s">
        <v>66</v>
      </c>
      <c r="N241" s="4" t="s">
        <v>36</v>
      </c>
      <c r="O241" s="4">
        <v>1</v>
      </c>
      <c r="P241" s="112"/>
      <c r="Q241" s="4" t="s">
        <v>66</v>
      </c>
      <c r="R241" s="34">
        <v>45</v>
      </c>
      <c r="S241" s="59">
        <v>120</v>
      </c>
      <c r="T241" s="58">
        <f t="shared" si="26"/>
        <v>165</v>
      </c>
      <c r="U241" s="126">
        <v>46085</v>
      </c>
      <c r="V241" s="34"/>
      <c r="W241" s="122" t="s">
        <v>789</v>
      </c>
      <c r="X241" s="4" t="s">
        <v>262</v>
      </c>
    </row>
    <row r="242" spans="1:24" ht="15" thickBot="1">
      <c r="A242" s="4" t="s">
        <v>25</v>
      </c>
      <c r="B242" s="4" t="s">
        <v>26</v>
      </c>
      <c r="C242" s="4" t="s">
        <v>27</v>
      </c>
      <c r="D242" s="4" t="s">
        <v>28</v>
      </c>
      <c r="E242" s="4" t="s">
        <v>29</v>
      </c>
      <c r="F242" s="31">
        <v>45930</v>
      </c>
      <c r="G242" s="4">
        <v>6782</v>
      </c>
      <c r="H242" s="4" t="s">
        <v>1056</v>
      </c>
      <c r="I242" s="4" t="s">
        <v>1057</v>
      </c>
      <c r="J242" s="4" t="s">
        <v>201</v>
      </c>
      <c r="K242" s="4" t="s">
        <v>3233</v>
      </c>
      <c r="L242" s="4" t="s">
        <v>701</v>
      </c>
      <c r="M242" s="4" t="s">
        <v>1058</v>
      </c>
      <c r="N242" s="4" t="s">
        <v>36</v>
      </c>
      <c r="O242" s="4">
        <v>1</v>
      </c>
      <c r="P242" s="112"/>
      <c r="Q242" s="4" t="s">
        <v>3228</v>
      </c>
      <c r="R242" s="34">
        <v>45</v>
      </c>
      <c r="S242" s="59">
        <v>0</v>
      </c>
      <c r="T242" s="58">
        <f t="shared" si="26"/>
        <v>45</v>
      </c>
      <c r="U242" s="126">
        <v>46072</v>
      </c>
      <c r="V242" s="34"/>
      <c r="W242" s="34"/>
      <c r="X242" s="4"/>
    </row>
    <row r="243" spans="1:24" ht="15" thickBot="1">
      <c r="A243" s="4" t="s">
        <v>25</v>
      </c>
      <c r="B243" s="4" t="s">
        <v>26</v>
      </c>
      <c r="C243" s="4" t="s">
        <v>27</v>
      </c>
      <c r="D243" s="4" t="s">
        <v>28</v>
      </c>
      <c r="E243" s="4" t="s">
        <v>29</v>
      </c>
      <c r="F243" s="31">
        <v>45930</v>
      </c>
      <c r="G243" s="4">
        <v>6783</v>
      </c>
      <c r="H243" s="4" t="s">
        <v>1059</v>
      </c>
      <c r="I243" s="4" t="s">
        <v>1060</v>
      </c>
      <c r="J243" s="4" t="s">
        <v>201</v>
      </c>
      <c r="K243" s="4" t="s">
        <v>48</v>
      </c>
      <c r="L243" s="4" t="s">
        <v>351</v>
      </c>
      <c r="M243" s="4"/>
      <c r="N243" s="4" t="s">
        <v>36</v>
      </c>
      <c r="O243" s="4">
        <v>1</v>
      </c>
      <c r="P243" s="112" t="s">
        <v>1061</v>
      </c>
      <c r="Q243" s="4" t="s">
        <v>352</v>
      </c>
      <c r="R243" s="34">
        <v>45</v>
      </c>
      <c r="S243" s="59">
        <v>160</v>
      </c>
      <c r="T243" s="58">
        <f t="shared" si="26"/>
        <v>205</v>
      </c>
      <c r="U243" s="36">
        <v>46038</v>
      </c>
      <c r="V243" s="34"/>
      <c r="W243" s="34"/>
      <c r="X243" s="4"/>
    </row>
    <row r="244" spans="1:24" ht="15" thickBot="1">
      <c r="A244" s="4" t="s">
        <v>25</v>
      </c>
      <c r="B244" s="4" t="s">
        <v>26</v>
      </c>
      <c r="C244" s="4" t="s">
        <v>27</v>
      </c>
      <c r="D244" s="4" t="s">
        <v>28</v>
      </c>
      <c r="E244" s="4" t="s">
        <v>29</v>
      </c>
      <c r="F244" s="31">
        <v>45930</v>
      </c>
      <c r="G244" s="4">
        <v>6784</v>
      </c>
      <c r="H244" s="4" t="s">
        <v>1062</v>
      </c>
      <c r="I244" s="4" t="s">
        <v>1063</v>
      </c>
      <c r="J244" s="4" t="s">
        <v>379</v>
      </c>
      <c r="K244" s="4" t="s">
        <v>48</v>
      </c>
      <c r="L244" s="4" t="s">
        <v>351</v>
      </c>
      <c r="M244" s="4"/>
      <c r="N244" s="4" t="s">
        <v>36</v>
      </c>
      <c r="O244" s="4">
        <v>1</v>
      </c>
      <c r="P244" s="112" t="s">
        <v>1061</v>
      </c>
      <c r="Q244" s="4" t="s">
        <v>352</v>
      </c>
      <c r="R244" s="34">
        <v>45</v>
      </c>
      <c r="S244" s="59">
        <v>160</v>
      </c>
      <c r="T244" s="58">
        <f t="shared" si="26"/>
        <v>205</v>
      </c>
      <c r="U244" s="36">
        <v>46038</v>
      </c>
      <c r="V244" s="34"/>
      <c r="W244" s="34"/>
      <c r="X244" s="4"/>
    </row>
    <row r="245" spans="1:24" ht="29.5" thickBot="1">
      <c r="A245" s="4" t="s">
        <v>25</v>
      </c>
      <c r="B245" s="4" t="s">
        <v>26</v>
      </c>
      <c r="C245" s="4" t="s">
        <v>27</v>
      </c>
      <c r="D245" s="4" t="s">
        <v>28</v>
      </c>
      <c r="E245" s="4" t="s">
        <v>29</v>
      </c>
      <c r="F245" s="31">
        <v>45930</v>
      </c>
      <c r="G245" s="4">
        <v>6785</v>
      </c>
      <c r="H245" s="4" t="s">
        <v>671</v>
      </c>
      <c r="I245" s="90" t="s">
        <v>672</v>
      </c>
      <c r="J245" s="4" t="s">
        <v>379</v>
      </c>
      <c r="K245" s="4" t="s">
        <v>48</v>
      </c>
      <c r="L245" s="4" t="s">
        <v>1064</v>
      </c>
      <c r="M245" s="4" t="s">
        <v>3670</v>
      </c>
      <c r="N245" s="4" t="s">
        <v>36</v>
      </c>
      <c r="O245" s="4">
        <v>1</v>
      </c>
      <c r="P245" s="112"/>
      <c r="Q245" s="4" t="s">
        <v>3670</v>
      </c>
      <c r="R245" s="34">
        <v>45</v>
      </c>
      <c r="S245" s="59">
        <v>0</v>
      </c>
      <c r="T245" s="58">
        <f>SUM(R245:S245)</f>
        <v>45</v>
      </c>
      <c r="U245" s="36">
        <v>46122</v>
      </c>
      <c r="V245" s="34"/>
      <c r="W245" s="122" t="s">
        <v>789</v>
      </c>
      <c r="X245" s="34"/>
    </row>
    <row r="246" spans="1:24" ht="15" thickBot="1">
      <c r="A246" s="4" t="s">
        <v>25</v>
      </c>
      <c r="B246" s="4" t="s">
        <v>26</v>
      </c>
      <c r="C246" s="4" t="s">
        <v>27</v>
      </c>
      <c r="D246" s="4" t="s">
        <v>28</v>
      </c>
      <c r="E246" s="4" t="s">
        <v>29</v>
      </c>
      <c r="F246" s="31">
        <v>45930</v>
      </c>
      <c r="G246" s="4">
        <v>6787</v>
      </c>
      <c r="H246" s="4" t="s">
        <v>1065</v>
      </c>
      <c r="I246" s="4" t="s">
        <v>1066</v>
      </c>
      <c r="J246" s="4" t="s">
        <v>201</v>
      </c>
      <c r="K246" s="4" t="s">
        <v>48</v>
      </c>
      <c r="L246" s="4" t="s">
        <v>351</v>
      </c>
      <c r="M246" s="4" t="s">
        <v>1067</v>
      </c>
      <c r="N246" s="4" t="s">
        <v>36</v>
      </c>
      <c r="O246" s="4">
        <v>1</v>
      </c>
      <c r="P246" s="112"/>
      <c r="Q246" s="4" t="s">
        <v>352</v>
      </c>
      <c r="R246" s="34">
        <v>45</v>
      </c>
      <c r="S246" s="59">
        <v>163.75</v>
      </c>
      <c r="T246" s="58">
        <f>SUM(R246:S246)</f>
        <v>208.75</v>
      </c>
      <c r="U246" s="111">
        <v>45993</v>
      </c>
      <c r="V246" s="34"/>
      <c r="W246" s="34"/>
      <c r="X246" s="34"/>
    </row>
    <row r="247" spans="1:24" ht="15" thickBot="1">
      <c r="A247" s="4" t="s">
        <v>25</v>
      </c>
      <c r="B247" s="4" t="s">
        <v>26</v>
      </c>
      <c r="C247" s="4" t="s">
        <v>27</v>
      </c>
      <c r="D247" s="4" t="s">
        <v>28</v>
      </c>
      <c r="E247" s="4" t="s">
        <v>29</v>
      </c>
      <c r="F247" s="31">
        <v>45930</v>
      </c>
      <c r="G247" s="4">
        <v>6788</v>
      </c>
      <c r="H247" s="4" t="s">
        <v>1068</v>
      </c>
      <c r="I247" s="4" t="s">
        <v>1069</v>
      </c>
      <c r="J247" s="4" t="s">
        <v>160</v>
      </c>
      <c r="K247" s="4" t="s">
        <v>33</v>
      </c>
      <c r="L247" s="4" t="s">
        <v>910</v>
      </c>
      <c r="M247" s="4" t="s">
        <v>261</v>
      </c>
      <c r="N247" s="4" t="s">
        <v>36</v>
      </c>
      <c r="O247" s="4">
        <v>1</v>
      </c>
      <c r="P247" s="112" t="s">
        <v>1070</v>
      </c>
      <c r="Q247" s="4" t="s">
        <v>1071</v>
      </c>
      <c r="R247" s="34">
        <v>45</v>
      </c>
      <c r="S247" s="59">
        <v>335</v>
      </c>
      <c r="T247" s="58">
        <f>SUM(R247:S247)</f>
        <v>380</v>
      </c>
      <c r="U247" s="111">
        <v>45993</v>
      </c>
      <c r="V247" s="34"/>
      <c r="W247" s="122" t="s">
        <v>789</v>
      </c>
      <c r="X247" s="34"/>
    </row>
    <row r="248" spans="1:24" ht="15" thickBot="1">
      <c r="A248" s="4" t="s">
        <v>25</v>
      </c>
      <c r="B248" s="4" t="s">
        <v>26</v>
      </c>
      <c r="C248" s="4" t="s">
        <v>27</v>
      </c>
      <c r="D248" s="64" t="s">
        <v>28</v>
      </c>
      <c r="E248" s="4" t="s">
        <v>29</v>
      </c>
      <c r="F248" s="31">
        <v>45930</v>
      </c>
      <c r="G248" s="4">
        <v>6789</v>
      </c>
      <c r="H248" s="4" t="s">
        <v>1072</v>
      </c>
      <c r="I248" s="4" t="s">
        <v>1073</v>
      </c>
      <c r="J248" s="4" t="s">
        <v>485</v>
      </c>
      <c r="K248" s="4" t="s">
        <v>3233</v>
      </c>
      <c r="L248" s="4" t="s">
        <v>910</v>
      </c>
      <c r="M248" s="4"/>
      <c r="N248" s="4" t="s">
        <v>36</v>
      </c>
      <c r="O248" s="4">
        <v>1</v>
      </c>
      <c r="P248" s="112"/>
      <c r="Q248" s="4" t="s">
        <v>560</v>
      </c>
      <c r="R248" s="34">
        <v>45</v>
      </c>
      <c r="S248" s="59">
        <v>0</v>
      </c>
      <c r="T248" s="58">
        <f>SUM(R248:S248)</f>
        <v>45</v>
      </c>
      <c r="U248" s="126">
        <v>46072</v>
      </c>
      <c r="V248" s="34"/>
      <c r="W248" s="34"/>
      <c r="X248" s="34"/>
    </row>
    <row r="249" spans="1:24" ht="15" thickBot="1">
      <c r="A249" s="4" t="s">
        <v>25</v>
      </c>
      <c r="B249" s="4" t="s">
        <v>26</v>
      </c>
      <c r="C249" s="4" t="s">
        <v>27</v>
      </c>
      <c r="D249" s="4" t="s">
        <v>28</v>
      </c>
      <c r="E249" s="4" t="s">
        <v>29</v>
      </c>
      <c r="F249" s="31">
        <v>45930</v>
      </c>
      <c r="G249" s="4">
        <v>6790</v>
      </c>
      <c r="H249" s="4" t="s">
        <v>1074</v>
      </c>
      <c r="I249" s="4" t="s">
        <v>1075</v>
      </c>
      <c r="J249" s="4" t="s">
        <v>379</v>
      </c>
      <c r="K249" s="4" t="s">
        <v>48</v>
      </c>
      <c r="L249" s="4" t="s">
        <v>241</v>
      </c>
      <c r="M249" s="4"/>
      <c r="N249" s="4" t="s">
        <v>499</v>
      </c>
      <c r="O249" s="4">
        <v>1</v>
      </c>
      <c r="P249" s="112"/>
      <c r="Q249" s="4"/>
      <c r="R249" s="34">
        <v>45</v>
      </c>
      <c r="S249" s="4"/>
      <c r="T249" s="58">
        <v>0</v>
      </c>
      <c r="U249" s="36"/>
      <c r="V249" s="34"/>
      <c r="W249" s="34"/>
      <c r="X249" s="34"/>
    </row>
    <row r="250" spans="1:24" ht="15" thickBot="1">
      <c r="A250" s="4" t="s">
        <v>25</v>
      </c>
      <c r="B250" s="4" t="s">
        <v>26</v>
      </c>
      <c r="C250" s="4" t="s">
        <v>27</v>
      </c>
      <c r="D250" s="4" t="s">
        <v>28</v>
      </c>
      <c r="E250" s="4" t="s">
        <v>29</v>
      </c>
      <c r="F250" s="31">
        <v>45930</v>
      </c>
      <c r="G250" s="4">
        <v>6791</v>
      </c>
      <c r="H250" s="4" t="s">
        <v>1076</v>
      </c>
      <c r="I250" s="4" t="s">
        <v>1077</v>
      </c>
      <c r="J250" s="4" t="s">
        <v>160</v>
      </c>
      <c r="K250" s="4" t="s">
        <v>33</v>
      </c>
      <c r="L250" s="4" t="s">
        <v>470</v>
      </c>
      <c r="M250" s="4" t="s">
        <v>457</v>
      </c>
      <c r="N250" s="4" t="s">
        <v>36</v>
      </c>
      <c r="O250" s="4">
        <v>1</v>
      </c>
      <c r="P250" s="112"/>
      <c r="Q250" s="4" t="s">
        <v>1054</v>
      </c>
      <c r="R250" s="34">
        <v>45</v>
      </c>
      <c r="S250" s="59">
        <v>163.75</v>
      </c>
      <c r="T250" s="58">
        <f t="shared" ref="T250:T255" si="27">SUM(R250:S250)</f>
        <v>208.75</v>
      </c>
      <c r="U250" s="111">
        <v>45993</v>
      </c>
      <c r="V250" s="34"/>
      <c r="W250" s="122" t="s">
        <v>789</v>
      </c>
      <c r="X250" s="34"/>
    </row>
    <row r="251" spans="1:24" ht="15" thickBot="1">
      <c r="A251" s="4" t="s">
        <v>25</v>
      </c>
      <c r="B251" s="4" t="s">
        <v>26</v>
      </c>
      <c r="C251" s="4" t="s">
        <v>27</v>
      </c>
      <c r="D251" s="4" t="s">
        <v>28</v>
      </c>
      <c r="E251" s="4" t="s">
        <v>29</v>
      </c>
      <c r="F251" s="31">
        <v>45930</v>
      </c>
      <c r="G251" s="4">
        <v>6792</v>
      </c>
      <c r="H251" s="4" t="s">
        <v>1078</v>
      </c>
      <c r="I251" s="4" t="s">
        <v>1079</v>
      </c>
      <c r="J251" s="4" t="s">
        <v>160</v>
      </c>
      <c r="K251" s="4" t="s">
        <v>33</v>
      </c>
      <c r="L251" s="4" t="s">
        <v>1080</v>
      </c>
      <c r="M251" s="4" t="s">
        <v>1081</v>
      </c>
      <c r="N251" s="4" t="s">
        <v>36</v>
      </c>
      <c r="O251" s="4">
        <v>1</v>
      </c>
      <c r="P251" s="112" t="s">
        <v>1082</v>
      </c>
      <c r="Q251" s="4" t="s">
        <v>117</v>
      </c>
      <c r="R251" s="34">
        <v>45</v>
      </c>
      <c r="S251" s="59">
        <v>215</v>
      </c>
      <c r="T251" s="58">
        <f t="shared" si="27"/>
        <v>260</v>
      </c>
      <c r="U251" s="36">
        <v>46038</v>
      </c>
      <c r="V251" s="34"/>
      <c r="W251" s="34"/>
      <c r="X251" s="4" t="s">
        <v>1083</v>
      </c>
    </row>
    <row r="252" spans="1:24" ht="15" thickBot="1">
      <c r="A252" s="4" t="s">
        <v>25</v>
      </c>
      <c r="B252" s="4" t="s">
        <v>26</v>
      </c>
      <c r="C252" s="4">
        <v>682687160</v>
      </c>
      <c r="D252" s="4" t="s">
        <v>28</v>
      </c>
      <c r="E252" s="4" t="s">
        <v>195</v>
      </c>
      <c r="F252" s="31">
        <v>45945</v>
      </c>
      <c r="G252" s="4"/>
      <c r="H252" s="4" t="s">
        <v>1084</v>
      </c>
      <c r="I252" s="4" t="s">
        <v>1085</v>
      </c>
      <c r="J252" s="4" t="s">
        <v>160</v>
      </c>
      <c r="K252" s="4" t="s">
        <v>3232</v>
      </c>
      <c r="L252" s="4" t="s">
        <v>1086</v>
      </c>
      <c r="M252" s="4" t="s">
        <v>1087</v>
      </c>
      <c r="N252" s="4" t="s">
        <v>36</v>
      </c>
      <c r="O252" s="4">
        <v>1</v>
      </c>
      <c r="P252" s="112"/>
      <c r="Q252" s="4" t="s">
        <v>406</v>
      </c>
      <c r="R252" s="34">
        <v>45</v>
      </c>
      <c r="S252" s="59">
        <v>275.5</v>
      </c>
      <c r="T252" s="58">
        <f t="shared" si="27"/>
        <v>320.5</v>
      </c>
      <c r="U252" s="126">
        <v>46072</v>
      </c>
      <c r="V252" s="34"/>
      <c r="W252" s="34"/>
      <c r="X252" s="34" t="s">
        <v>262</v>
      </c>
    </row>
    <row r="253" spans="1:24" ht="15" thickBot="1">
      <c r="A253" s="4" t="s">
        <v>25</v>
      </c>
      <c r="B253" s="4" t="s">
        <v>26</v>
      </c>
      <c r="C253" s="4">
        <v>682687160</v>
      </c>
      <c r="D253" s="4" t="s">
        <v>28</v>
      </c>
      <c r="E253" s="4" t="s">
        <v>195</v>
      </c>
      <c r="F253" s="31">
        <v>45945</v>
      </c>
      <c r="G253" s="4"/>
      <c r="H253" s="4" t="s">
        <v>1088</v>
      </c>
      <c r="I253" s="4" t="s">
        <v>1089</v>
      </c>
      <c r="J253" s="4" t="s">
        <v>160</v>
      </c>
      <c r="K253" s="4" t="s">
        <v>3232</v>
      </c>
      <c r="L253" s="4" t="s">
        <v>512</v>
      </c>
      <c r="M253" s="4" t="s">
        <v>1090</v>
      </c>
      <c r="N253" s="4" t="s">
        <v>36</v>
      </c>
      <c r="O253" s="4">
        <v>1</v>
      </c>
      <c r="P253" s="112"/>
      <c r="Q253" s="4" t="s">
        <v>406</v>
      </c>
      <c r="R253" s="34">
        <v>45</v>
      </c>
      <c r="S253" s="59">
        <v>275.5</v>
      </c>
      <c r="T253" s="58">
        <f t="shared" si="27"/>
        <v>320.5</v>
      </c>
      <c r="U253" s="126">
        <v>46072</v>
      </c>
      <c r="V253" s="34"/>
      <c r="W253" s="34"/>
      <c r="X253" s="4" t="s">
        <v>262</v>
      </c>
    </row>
    <row r="254" spans="1:24" ht="15" thickBot="1">
      <c r="A254" s="4" t="s">
        <v>25</v>
      </c>
      <c r="B254" s="4" t="s">
        <v>26</v>
      </c>
      <c r="C254" s="4">
        <v>682687160</v>
      </c>
      <c r="D254" s="4" t="s">
        <v>28</v>
      </c>
      <c r="E254" s="4" t="s">
        <v>195</v>
      </c>
      <c r="F254" s="31">
        <v>45945</v>
      </c>
      <c r="G254" s="4"/>
      <c r="H254" s="4" t="s">
        <v>1091</v>
      </c>
      <c r="I254" s="4" t="s">
        <v>1092</v>
      </c>
      <c r="J254" s="4" t="s">
        <v>160</v>
      </c>
      <c r="K254" s="4" t="s">
        <v>33</v>
      </c>
      <c r="L254" s="4" t="s">
        <v>478</v>
      </c>
      <c r="M254" s="4"/>
      <c r="N254" s="4" t="s">
        <v>36</v>
      </c>
      <c r="O254" s="4">
        <v>1</v>
      </c>
      <c r="P254" s="112"/>
      <c r="Q254" s="4" t="s">
        <v>1054</v>
      </c>
      <c r="R254" s="34">
        <v>45</v>
      </c>
      <c r="S254" s="59">
        <v>163.75</v>
      </c>
      <c r="T254" s="58">
        <f t="shared" si="27"/>
        <v>208.75</v>
      </c>
      <c r="U254" s="111">
        <v>46010</v>
      </c>
      <c r="V254" s="34"/>
      <c r="W254" s="34"/>
      <c r="X254" s="34"/>
    </row>
    <row r="255" spans="1:24" ht="15" thickBot="1">
      <c r="A255" s="4" t="s">
        <v>25</v>
      </c>
      <c r="B255" s="4" t="s">
        <v>26</v>
      </c>
      <c r="C255" s="4">
        <v>682687160</v>
      </c>
      <c r="D255" s="4" t="s">
        <v>28</v>
      </c>
      <c r="E255" s="4" t="s">
        <v>195</v>
      </c>
      <c r="F255" s="31">
        <v>45945</v>
      </c>
      <c r="G255" s="4"/>
      <c r="H255" s="4" t="s">
        <v>1093</v>
      </c>
      <c r="I255" s="4" t="s">
        <v>1094</v>
      </c>
      <c r="J255" s="4" t="s">
        <v>160</v>
      </c>
      <c r="K255" s="4" t="s">
        <v>3232</v>
      </c>
      <c r="L255" s="4" t="s">
        <v>1095</v>
      </c>
      <c r="M255" s="4"/>
      <c r="N255" s="4" t="s">
        <v>36</v>
      </c>
      <c r="O255" s="4">
        <v>1</v>
      </c>
      <c r="P255" s="112"/>
      <c r="Q255" s="4" t="s">
        <v>1096</v>
      </c>
      <c r="R255" s="34">
        <v>45</v>
      </c>
      <c r="S255" s="59">
        <v>233.75</v>
      </c>
      <c r="T255" s="58">
        <f t="shared" si="27"/>
        <v>278.75</v>
      </c>
      <c r="U255" s="126">
        <v>46072</v>
      </c>
      <c r="V255" s="34"/>
      <c r="W255" s="34"/>
      <c r="X255" s="34"/>
    </row>
    <row r="256" spans="1:24" ht="15" thickBot="1">
      <c r="A256" s="4" t="s">
        <v>25</v>
      </c>
      <c r="B256" s="4" t="s">
        <v>26</v>
      </c>
      <c r="C256" s="4">
        <v>682687160</v>
      </c>
      <c r="D256" s="4" t="s">
        <v>28</v>
      </c>
      <c r="E256" s="4" t="s">
        <v>195</v>
      </c>
      <c r="F256" s="31">
        <v>45945</v>
      </c>
      <c r="G256" s="4"/>
      <c r="H256" s="4" t="s">
        <v>1097</v>
      </c>
      <c r="I256" s="4" t="s">
        <v>1098</v>
      </c>
      <c r="J256" s="4" t="s">
        <v>502</v>
      </c>
      <c r="K256" s="4" t="s">
        <v>3232</v>
      </c>
      <c r="L256" s="4" t="s">
        <v>351</v>
      </c>
      <c r="M256" s="4" t="s">
        <v>1099</v>
      </c>
      <c r="N256" s="4" t="s">
        <v>36</v>
      </c>
      <c r="O256" s="4">
        <v>1</v>
      </c>
      <c r="P256" s="112"/>
      <c r="Q256" s="4" t="s">
        <v>1099</v>
      </c>
      <c r="R256" s="34">
        <v>45</v>
      </c>
      <c r="S256" s="59">
        <v>440</v>
      </c>
      <c r="T256" s="58">
        <f t="shared" ref="T256:T261" si="28">SUM(R256:S256)</f>
        <v>485</v>
      </c>
      <c r="U256" s="126">
        <v>46072</v>
      </c>
      <c r="V256" s="34"/>
      <c r="W256" s="34"/>
      <c r="X256" s="4" t="s">
        <v>262</v>
      </c>
    </row>
    <row r="257" spans="1:24" ht="15" thickBot="1">
      <c r="A257" s="4" t="s">
        <v>25</v>
      </c>
      <c r="B257" s="4" t="s">
        <v>26</v>
      </c>
      <c r="C257" s="4">
        <v>682687160</v>
      </c>
      <c r="D257" s="4" t="s">
        <v>28</v>
      </c>
      <c r="E257" s="4" t="s">
        <v>195</v>
      </c>
      <c r="F257" s="31">
        <v>45945</v>
      </c>
      <c r="G257" s="4"/>
      <c r="H257" s="4" t="s">
        <v>1100</v>
      </c>
      <c r="I257" s="4" t="s">
        <v>1101</v>
      </c>
      <c r="J257" s="4" t="s">
        <v>382</v>
      </c>
      <c r="K257" s="4" t="s">
        <v>33</v>
      </c>
      <c r="L257" s="4" t="s">
        <v>1102</v>
      </c>
      <c r="M257" s="4" t="s">
        <v>194</v>
      </c>
      <c r="N257" s="4" t="s">
        <v>36</v>
      </c>
      <c r="O257" s="4">
        <v>1</v>
      </c>
      <c r="P257" s="112" t="s">
        <v>1103</v>
      </c>
      <c r="Q257" s="4" t="s">
        <v>194</v>
      </c>
      <c r="R257" s="34">
        <v>45</v>
      </c>
      <c r="S257" s="59">
        <v>100</v>
      </c>
      <c r="T257" s="58">
        <f t="shared" si="28"/>
        <v>145</v>
      </c>
      <c r="U257" s="111">
        <v>45993</v>
      </c>
      <c r="V257" s="34"/>
      <c r="W257" s="34"/>
      <c r="X257" s="34"/>
    </row>
    <row r="258" spans="1:24" ht="15" thickBot="1">
      <c r="A258" s="4" t="s">
        <v>25</v>
      </c>
      <c r="B258" s="4" t="s">
        <v>26</v>
      </c>
      <c r="C258" s="4">
        <v>682687160</v>
      </c>
      <c r="D258" s="4" t="s">
        <v>28</v>
      </c>
      <c r="E258" s="4" t="s">
        <v>195</v>
      </c>
      <c r="F258" s="31">
        <v>45945</v>
      </c>
      <c r="G258" s="4"/>
      <c r="H258" s="4" t="s">
        <v>1104</v>
      </c>
      <c r="I258" s="4" t="s">
        <v>1105</v>
      </c>
      <c r="J258" s="4" t="s">
        <v>382</v>
      </c>
      <c r="K258" s="4" t="s">
        <v>33</v>
      </c>
      <c r="L258" s="4" t="s">
        <v>1106</v>
      </c>
      <c r="M258" s="4"/>
      <c r="N258" s="4" t="s">
        <v>36</v>
      </c>
      <c r="O258" s="4">
        <v>1</v>
      </c>
      <c r="P258" s="112"/>
      <c r="Q258" s="4" t="s">
        <v>194</v>
      </c>
      <c r="R258" s="34">
        <v>45</v>
      </c>
      <c r="S258" s="59">
        <v>100</v>
      </c>
      <c r="T258" s="58">
        <f t="shared" si="28"/>
        <v>145</v>
      </c>
      <c r="U258" s="111">
        <v>46010</v>
      </c>
      <c r="V258" s="34"/>
      <c r="W258" s="34"/>
      <c r="X258" s="34"/>
    </row>
    <row r="259" spans="1:24" ht="15" thickBot="1">
      <c r="A259" s="4" t="s">
        <v>25</v>
      </c>
      <c r="B259" s="4" t="s">
        <v>26</v>
      </c>
      <c r="C259" s="4">
        <v>682687160</v>
      </c>
      <c r="D259" s="4" t="s">
        <v>28</v>
      </c>
      <c r="E259" s="4" t="s">
        <v>195</v>
      </c>
      <c r="F259" s="31">
        <v>45945</v>
      </c>
      <c r="G259" s="4"/>
      <c r="H259" s="4" t="s">
        <v>1107</v>
      </c>
      <c r="I259" s="4" t="s">
        <v>1108</v>
      </c>
      <c r="J259" s="4" t="s">
        <v>382</v>
      </c>
      <c r="K259" s="4" t="s">
        <v>33</v>
      </c>
      <c r="L259" s="4" t="s">
        <v>1109</v>
      </c>
      <c r="M259" s="4" t="s">
        <v>457</v>
      </c>
      <c r="N259" s="4" t="s">
        <v>36</v>
      </c>
      <c r="O259" s="4">
        <v>1</v>
      </c>
      <c r="P259" s="112"/>
      <c r="Q259" s="4" t="s">
        <v>457</v>
      </c>
      <c r="R259" s="34">
        <v>45</v>
      </c>
      <c r="S259" s="59">
        <v>163.75</v>
      </c>
      <c r="T259" s="58">
        <f t="shared" si="28"/>
        <v>208.75</v>
      </c>
      <c r="U259" s="111">
        <v>46010</v>
      </c>
      <c r="V259" s="34"/>
      <c r="W259" s="34"/>
      <c r="X259" s="34"/>
    </row>
    <row r="260" spans="1:24" ht="20.25" customHeight="1" thickBot="1">
      <c r="A260" s="4" t="s">
        <v>25</v>
      </c>
      <c r="B260" s="4" t="s">
        <v>26</v>
      </c>
      <c r="C260" s="4">
        <v>682687160</v>
      </c>
      <c r="D260" s="4" t="s">
        <v>28</v>
      </c>
      <c r="E260" s="4" t="s">
        <v>195</v>
      </c>
      <c r="F260" s="31">
        <v>45945</v>
      </c>
      <c r="G260" s="4"/>
      <c r="H260" s="4" t="s">
        <v>1110</v>
      </c>
      <c r="I260" s="4" t="s">
        <v>1111</v>
      </c>
      <c r="J260" s="4" t="s">
        <v>201</v>
      </c>
      <c r="K260" s="4" t="s">
        <v>48</v>
      </c>
      <c r="L260" s="4" t="s">
        <v>1112</v>
      </c>
      <c r="M260" s="4"/>
      <c r="N260" s="4" t="s">
        <v>36</v>
      </c>
      <c r="O260" s="4">
        <v>1</v>
      </c>
      <c r="P260" s="112" t="s">
        <v>1113</v>
      </c>
      <c r="Q260" s="4" t="s">
        <v>1114</v>
      </c>
      <c r="R260" s="34">
        <v>45</v>
      </c>
      <c r="S260" s="59">
        <v>271.75</v>
      </c>
      <c r="T260" s="58">
        <f t="shared" si="28"/>
        <v>316.75</v>
      </c>
      <c r="U260" s="111">
        <v>46010</v>
      </c>
      <c r="V260" s="34"/>
      <c r="W260" s="34"/>
      <c r="X260" s="34"/>
    </row>
    <row r="261" spans="1:24" ht="15" thickBot="1">
      <c r="A261" s="4" t="s">
        <v>25</v>
      </c>
      <c r="B261" s="4" t="s">
        <v>26</v>
      </c>
      <c r="C261" s="4">
        <v>682687160</v>
      </c>
      <c r="D261" s="4" t="s">
        <v>28</v>
      </c>
      <c r="E261" s="4" t="s">
        <v>195</v>
      </c>
      <c r="F261" s="31">
        <v>45945</v>
      </c>
      <c r="G261" s="4"/>
      <c r="H261" s="4" t="s">
        <v>1115</v>
      </c>
      <c r="I261" s="4" t="s">
        <v>1116</v>
      </c>
      <c r="J261" s="4" t="s">
        <v>502</v>
      </c>
      <c r="K261" s="4" t="s">
        <v>33</v>
      </c>
      <c r="L261" s="4" t="s">
        <v>1117</v>
      </c>
      <c r="M261" s="4" t="s">
        <v>1118</v>
      </c>
      <c r="N261" s="4" t="s">
        <v>36</v>
      </c>
      <c r="O261" s="4">
        <v>1</v>
      </c>
      <c r="P261" s="112" t="s">
        <v>1119</v>
      </c>
      <c r="Q261" s="4" t="s">
        <v>1118</v>
      </c>
      <c r="R261" s="34">
        <v>45</v>
      </c>
      <c r="S261" s="59">
        <v>263.75</v>
      </c>
      <c r="T261" s="58">
        <f t="shared" si="28"/>
        <v>308.75</v>
      </c>
      <c r="U261" s="111">
        <v>45993</v>
      </c>
      <c r="V261" s="34"/>
      <c r="W261" s="34"/>
      <c r="X261" s="34"/>
    </row>
    <row r="262" spans="1:24" ht="15" thickBot="1">
      <c r="A262" s="4" t="s">
        <v>25</v>
      </c>
      <c r="B262" s="4" t="s">
        <v>26</v>
      </c>
      <c r="C262" s="4">
        <v>682687160</v>
      </c>
      <c r="D262" s="4" t="s">
        <v>28</v>
      </c>
      <c r="E262" s="4" t="s">
        <v>195</v>
      </c>
      <c r="F262" s="31">
        <v>45945</v>
      </c>
      <c r="G262" s="4"/>
      <c r="H262" s="4" t="s">
        <v>1120</v>
      </c>
      <c r="I262" s="4" t="s">
        <v>1121</v>
      </c>
      <c r="J262" s="4" t="s">
        <v>502</v>
      </c>
      <c r="K262" s="4" t="s">
        <v>33</v>
      </c>
      <c r="L262" s="4" t="s">
        <v>173</v>
      </c>
      <c r="M262" s="4" t="s">
        <v>1122</v>
      </c>
      <c r="N262" s="4" t="s">
        <v>36</v>
      </c>
      <c r="O262" s="4">
        <v>1</v>
      </c>
      <c r="P262" s="112"/>
      <c r="Q262" s="4" t="s">
        <v>1123</v>
      </c>
      <c r="R262" s="34">
        <v>45</v>
      </c>
      <c r="S262" s="59">
        <v>388.75</v>
      </c>
      <c r="T262" s="58">
        <f>SUM(R262:S262)</f>
        <v>433.75</v>
      </c>
      <c r="U262" s="36">
        <v>46122</v>
      </c>
      <c r="V262" s="34"/>
      <c r="W262" s="34"/>
      <c r="X262" s="4" t="s">
        <v>3714</v>
      </c>
    </row>
    <row r="263" spans="1:24" ht="15" thickBot="1">
      <c r="A263" s="4" t="s">
        <v>25</v>
      </c>
      <c r="B263" s="4" t="s">
        <v>26</v>
      </c>
      <c r="C263" s="4">
        <v>682687160</v>
      </c>
      <c r="D263" s="4" t="s">
        <v>28</v>
      </c>
      <c r="E263" s="4" t="s">
        <v>195</v>
      </c>
      <c r="F263" s="31">
        <v>45945</v>
      </c>
      <c r="G263" s="4"/>
      <c r="H263" s="4" t="s">
        <v>1125</v>
      </c>
      <c r="I263" s="4" t="s">
        <v>1126</v>
      </c>
      <c r="J263" s="4" t="s">
        <v>160</v>
      </c>
      <c r="K263" s="4" t="s">
        <v>33</v>
      </c>
      <c r="L263" s="4" t="s">
        <v>1109</v>
      </c>
      <c r="M263" s="4" t="s">
        <v>1127</v>
      </c>
      <c r="N263" s="4" t="s">
        <v>499</v>
      </c>
      <c r="O263" s="4">
        <v>1</v>
      </c>
      <c r="P263" s="112"/>
      <c r="Q263" s="4"/>
      <c r="R263" s="34">
        <v>45</v>
      </c>
      <c r="S263" s="4"/>
      <c r="T263" s="58">
        <v>0</v>
      </c>
      <c r="U263" s="111"/>
      <c r="V263" s="34"/>
      <c r="W263" s="34"/>
      <c r="X263" s="34"/>
    </row>
    <row r="264" spans="1:24" ht="15" thickBot="1">
      <c r="A264" s="4" t="s">
        <v>25</v>
      </c>
      <c r="B264" s="4" t="s">
        <v>26</v>
      </c>
      <c r="C264" s="4">
        <v>682687160</v>
      </c>
      <c r="D264" s="4" t="s">
        <v>28</v>
      </c>
      <c r="E264" s="4" t="s">
        <v>195</v>
      </c>
      <c r="F264" s="31">
        <v>45945</v>
      </c>
      <c r="G264" s="4"/>
      <c r="H264" s="4" t="s">
        <v>1128</v>
      </c>
      <c r="I264" s="4" t="s">
        <v>1129</v>
      </c>
      <c r="J264" s="4" t="s">
        <v>216</v>
      </c>
      <c r="K264" s="4" t="s">
        <v>33</v>
      </c>
      <c r="L264" s="4" t="s">
        <v>210</v>
      </c>
      <c r="M264" s="4" t="s">
        <v>1130</v>
      </c>
      <c r="N264" s="4" t="s">
        <v>36</v>
      </c>
      <c r="O264" s="4">
        <v>1</v>
      </c>
      <c r="P264" s="112"/>
      <c r="Q264" s="4" t="s">
        <v>1118</v>
      </c>
      <c r="R264" s="34">
        <v>45</v>
      </c>
      <c r="S264" s="59">
        <v>263.75</v>
      </c>
      <c r="T264" s="58">
        <f>SUM(R264:S264)</f>
        <v>308.75</v>
      </c>
      <c r="U264" s="36">
        <v>46038</v>
      </c>
      <c r="V264" s="34"/>
      <c r="W264" s="34"/>
      <c r="X264" s="34"/>
    </row>
    <row r="265" spans="1:24" ht="15" thickBot="1">
      <c r="A265" s="4" t="s">
        <v>25</v>
      </c>
      <c r="B265" s="4" t="s">
        <v>26</v>
      </c>
      <c r="C265" s="4">
        <v>682687160</v>
      </c>
      <c r="D265" s="4" t="s">
        <v>28</v>
      </c>
      <c r="E265" s="4" t="s">
        <v>195</v>
      </c>
      <c r="F265" s="31">
        <v>45945</v>
      </c>
      <c r="G265" s="4"/>
      <c r="H265" s="4" t="s">
        <v>1131</v>
      </c>
      <c r="I265" s="4" t="s">
        <v>1132</v>
      </c>
      <c r="J265" s="4" t="s">
        <v>160</v>
      </c>
      <c r="K265" s="4" t="s">
        <v>33</v>
      </c>
      <c r="L265" s="4" t="s">
        <v>1133</v>
      </c>
      <c r="M265" s="4"/>
      <c r="N265" s="4" t="s">
        <v>36</v>
      </c>
      <c r="O265" s="4">
        <v>1</v>
      </c>
      <c r="P265" s="112" t="s">
        <v>1134</v>
      </c>
      <c r="Q265" s="4" t="s">
        <v>194</v>
      </c>
      <c r="R265" s="34">
        <v>45</v>
      </c>
      <c r="S265" s="34">
        <v>100</v>
      </c>
      <c r="T265" s="58">
        <f>SUM(R265:S265)</f>
        <v>145</v>
      </c>
      <c r="U265" s="111">
        <v>45993</v>
      </c>
      <c r="V265" s="34"/>
      <c r="W265" s="34"/>
      <c r="X265" s="34"/>
    </row>
    <row r="266" spans="1:24" ht="15" thickBot="1">
      <c r="A266" s="4" t="s">
        <v>25</v>
      </c>
      <c r="B266" s="4" t="s">
        <v>26</v>
      </c>
      <c r="C266" s="4">
        <v>682687160</v>
      </c>
      <c r="D266" s="4" t="s">
        <v>28</v>
      </c>
      <c r="E266" s="4" t="s">
        <v>195</v>
      </c>
      <c r="F266" s="31">
        <v>45945</v>
      </c>
      <c r="G266" s="4"/>
      <c r="H266" s="4" t="s">
        <v>1135</v>
      </c>
      <c r="I266" s="4" t="s">
        <v>1136</v>
      </c>
      <c r="J266" s="4" t="s">
        <v>502</v>
      </c>
      <c r="K266" s="4" t="s">
        <v>33</v>
      </c>
      <c r="L266" s="4" t="s">
        <v>1137</v>
      </c>
      <c r="M266" s="4" t="s">
        <v>1138</v>
      </c>
      <c r="N266" s="4" t="s">
        <v>36</v>
      </c>
      <c r="O266" s="4">
        <v>1</v>
      </c>
      <c r="P266" s="112"/>
      <c r="Q266" s="4" t="s">
        <v>1139</v>
      </c>
      <c r="R266" s="34">
        <v>45</v>
      </c>
      <c r="S266" s="59">
        <v>140</v>
      </c>
      <c r="T266" s="58">
        <f>SUM(R266:S266)</f>
        <v>185</v>
      </c>
      <c r="U266" s="111">
        <v>46010</v>
      </c>
      <c r="V266" s="34"/>
      <c r="W266" s="34"/>
      <c r="X266" s="34"/>
    </row>
    <row r="267" spans="1:24" ht="15" thickBot="1">
      <c r="A267" s="4" t="s">
        <v>25</v>
      </c>
      <c r="B267" s="4" t="s">
        <v>26</v>
      </c>
      <c r="C267" s="4">
        <v>682687160</v>
      </c>
      <c r="D267" s="4" t="s">
        <v>28</v>
      </c>
      <c r="E267" s="4" t="s">
        <v>195</v>
      </c>
      <c r="F267" s="31">
        <v>45945</v>
      </c>
      <c r="G267" s="4"/>
      <c r="H267" s="4" t="s">
        <v>1140</v>
      </c>
      <c r="I267" s="4" t="s">
        <v>1141</v>
      </c>
      <c r="J267" s="4" t="s">
        <v>160</v>
      </c>
      <c r="K267" s="4" t="s">
        <v>33</v>
      </c>
      <c r="L267" s="4" t="s">
        <v>1142</v>
      </c>
      <c r="M267" s="4"/>
      <c r="N267" s="4" t="s">
        <v>36</v>
      </c>
      <c r="O267" s="4">
        <v>1</v>
      </c>
      <c r="P267" s="112"/>
      <c r="Q267" s="4" t="s">
        <v>457</v>
      </c>
      <c r="R267" s="34">
        <v>45</v>
      </c>
      <c r="S267" s="59">
        <v>163.75</v>
      </c>
      <c r="T267" s="58">
        <f>SUM(R267:S267)</f>
        <v>208.75</v>
      </c>
      <c r="U267" s="36">
        <v>46122</v>
      </c>
      <c r="V267" s="34"/>
      <c r="W267" s="34"/>
      <c r="X267" s="34"/>
    </row>
    <row r="268" spans="1:24" ht="15" thickBot="1">
      <c r="A268" s="4" t="s">
        <v>25</v>
      </c>
      <c r="B268" s="4" t="s">
        <v>26</v>
      </c>
      <c r="C268" s="4">
        <v>682687160</v>
      </c>
      <c r="D268" s="4" t="s">
        <v>28</v>
      </c>
      <c r="E268" s="4" t="s">
        <v>195</v>
      </c>
      <c r="F268" s="31">
        <v>45945</v>
      </c>
      <c r="G268" s="4"/>
      <c r="H268" s="4" t="s">
        <v>1143</v>
      </c>
      <c r="I268" s="4" t="s">
        <v>1144</v>
      </c>
      <c r="J268" s="4" t="s">
        <v>160</v>
      </c>
      <c r="K268" s="4" t="s">
        <v>33</v>
      </c>
      <c r="L268" s="4" t="s">
        <v>1145</v>
      </c>
      <c r="M268" s="4" t="s">
        <v>1146</v>
      </c>
      <c r="N268" s="4" t="s">
        <v>36</v>
      </c>
      <c r="O268" s="4">
        <v>1</v>
      </c>
      <c r="P268" s="112"/>
      <c r="Q268" s="45">
        <f>+W266</f>
        <v>0</v>
      </c>
      <c r="R268" s="34">
        <v>45</v>
      </c>
      <c r="S268" s="34">
        <v>120.49000000000001</v>
      </c>
      <c r="T268" s="58">
        <f>SUM(R268:S268)</f>
        <v>165.49</v>
      </c>
      <c r="U268" s="111">
        <v>46010</v>
      </c>
      <c r="V268" s="34"/>
      <c r="W268" s="34"/>
      <c r="X268" s="34"/>
    </row>
    <row r="269" spans="1:24" ht="15" thickBot="1">
      <c r="A269" s="4" t="s">
        <v>25</v>
      </c>
      <c r="B269" s="4" t="s">
        <v>26</v>
      </c>
      <c r="C269" s="4">
        <v>682687160</v>
      </c>
      <c r="D269" s="4" t="s">
        <v>28</v>
      </c>
      <c r="E269" s="4" t="s">
        <v>195</v>
      </c>
      <c r="F269" s="31">
        <v>45945</v>
      </c>
      <c r="G269" s="4"/>
      <c r="H269" s="4" t="s">
        <v>1147</v>
      </c>
      <c r="I269" s="4" t="s">
        <v>1148</v>
      </c>
      <c r="J269" s="4" t="s">
        <v>379</v>
      </c>
      <c r="K269" s="4" t="s">
        <v>48</v>
      </c>
      <c r="L269" s="4" t="s">
        <v>1149</v>
      </c>
      <c r="M269" s="4"/>
      <c r="N269" s="4" t="s">
        <v>499</v>
      </c>
      <c r="O269" s="4">
        <v>1</v>
      </c>
      <c r="P269" s="112"/>
      <c r="Q269" s="4"/>
      <c r="R269" s="34">
        <v>45</v>
      </c>
      <c r="S269" s="4"/>
      <c r="T269" s="58">
        <v>0</v>
      </c>
      <c r="U269" s="111"/>
      <c r="V269" s="34"/>
      <c r="W269" s="34"/>
      <c r="X269" s="34"/>
    </row>
    <row r="270" spans="1:24" ht="15" thickBot="1">
      <c r="A270" s="4" t="s">
        <v>25</v>
      </c>
      <c r="B270" s="4" t="s">
        <v>26</v>
      </c>
      <c r="C270" s="4">
        <v>682687160</v>
      </c>
      <c r="D270" s="4" t="s">
        <v>28</v>
      </c>
      <c r="E270" s="4" t="s">
        <v>195</v>
      </c>
      <c r="F270" s="31">
        <v>45945</v>
      </c>
      <c r="G270" s="4"/>
      <c r="H270" s="4" t="s">
        <v>1150</v>
      </c>
      <c r="I270" s="4" t="s">
        <v>1151</v>
      </c>
      <c r="J270" s="4" t="s">
        <v>160</v>
      </c>
      <c r="K270" s="4" t="s">
        <v>33</v>
      </c>
      <c r="L270" s="4" t="s">
        <v>213</v>
      </c>
      <c r="M270" s="4"/>
      <c r="N270" s="4" t="s">
        <v>36</v>
      </c>
      <c r="O270" s="4">
        <v>1</v>
      </c>
      <c r="P270" s="112"/>
      <c r="Q270" s="4" t="s">
        <v>457</v>
      </c>
      <c r="R270" s="34">
        <v>45</v>
      </c>
      <c r="S270" s="34">
        <v>163.75</v>
      </c>
      <c r="T270" s="58">
        <f>SUM(R270:S270)</f>
        <v>208.75</v>
      </c>
      <c r="U270" s="111">
        <v>45993</v>
      </c>
      <c r="V270" s="34"/>
      <c r="W270" s="34"/>
      <c r="X270" s="34"/>
    </row>
    <row r="271" spans="1:24" ht="15" thickBot="1">
      <c r="A271" s="4" t="s">
        <v>25</v>
      </c>
      <c r="B271" s="4" t="s">
        <v>26</v>
      </c>
      <c r="C271" s="4">
        <v>682687160</v>
      </c>
      <c r="D271" s="4" t="s">
        <v>28</v>
      </c>
      <c r="E271" s="4" t="s">
        <v>195</v>
      </c>
      <c r="F271" s="31">
        <v>45945</v>
      </c>
      <c r="G271" s="4"/>
      <c r="H271" s="4" t="s">
        <v>1152</v>
      </c>
      <c r="I271" s="4" t="s">
        <v>1153</v>
      </c>
      <c r="J271" s="4" t="s">
        <v>160</v>
      </c>
      <c r="K271" s="4" t="s">
        <v>33</v>
      </c>
      <c r="L271" s="4" t="s">
        <v>1154</v>
      </c>
      <c r="M271" s="4" t="s">
        <v>1155</v>
      </c>
      <c r="N271" s="4" t="s">
        <v>36</v>
      </c>
      <c r="O271" s="4">
        <v>1</v>
      </c>
      <c r="P271" s="112" t="s">
        <v>1156</v>
      </c>
      <c r="Q271" s="4" t="s">
        <v>1157</v>
      </c>
      <c r="R271" s="34">
        <v>45</v>
      </c>
      <c r="S271" s="34">
        <v>215</v>
      </c>
      <c r="T271" s="58">
        <f>SUM(R271:S271)</f>
        <v>260</v>
      </c>
      <c r="U271" s="111">
        <v>45993</v>
      </c>
      <c r="V271" s="34"/>
      <c r="W271" s="34"/>
      <c r="X271" s="34"/>
    </row>
    <row r="272" spans="1:24" ht="15" thickBot="1">
      <c r="A272" s="4" t="s">
        <v>25</v>
      </c>
      <c r="B272" s="4" t="s">
        <v>26</v>
      </c>
      <c r="C272" s="4">
        <v>682687160</v>
      </c>
      <c r="D272" s="4" t="s">
        <v>28</v>
      </c>
      <c r="E272" s="4" t="s">
        <v>195</v>
      </c>
      <c r="F272" s="31">
        <v>45945</v>
      </c>
      <c r="G272" s="4"/>
      <c r="H272" s="4" t="s">
        <v>1158</v>
      </c>
      <c r="I272" s="4" t="s">
        <v>1159</v>
      </c>
      <c r="J272" s="4" t="s">
        <v>382</v>
      </c>
      <c r="K272" s="4" t="s">
        <v>3232</v>
      </c>
      <c r="L272" s="4" t="s">
        <v>1160</v>
      </c>
      <c r="M272" s="4" t="s">
        <v>457</v>
      </c>
      <c r="N272" s="4" t="s">
        <v>36</v>
      </c>
      <c r="O272" s="4">
        <v>1</v>
      </c>
      <c r="P272" s="112"/>
      <c r="Q272" s="4" t="s">
        <v>457</v>
      </c>
      <c r="R272" s="34">
        <v>45</v>
      </c>
      <c r="S272" s="59">
        <v>163.75</v>
      </c>
      <c r="T272" s="58">
        <f t="shared" ref="T272:T274" si="29">SUM(R272:S272)</f>
        <v>208.75</v>
      </c>
      <c r="U272" s="126">
        <v>46072</v>
      </c>
      <c r="V272" s="34"/>
      <c r="W272" s="34"/>
      <c r="X272" s="34"/>
    </row>
    <row r="273" spans="1:24" ht="15" thickBot="1">
      <c r="A273" s="4" t="s">
        <v>25</v>
      </c>
      <c r="B273" s="4" t="s">
        <v>26</v>
      </c>
      <c r="C273" s="4">
        <v>682687160</v>
      </c>
      <c r="D273" s="4" t="s">
        <v>28</v>
      </c>
      <c r="E273" s="4" t="s">
        <v>195</v>
      </c>
      <c r="F273" s="31">
        <v>45945</v>
      </c>
      <c r="G273" s="4"/>
      <c r="H273" s="4" t="s">
        <v>1161</v>
      </c>
      <c r="I273" s="4" t="s">
        <v>1162</v>
      </c>
      <c r="J273" s="4" t="s">
        <v>485</v>
      </c>
      <c r="K273" s="4" t="s">
        <v>48</v>
      </c>
      <c r="L273" s="4" t="s">
        <v>351</v>
      </c>
      <c r="M273" s="4"/>
      <c r="N273" s="4" t="s">
        <v>499</v>
      </c>
      <c r="O273" s="4">
        <v>1</v>
      </c>
      <c r="P273" s="112"/>
      <c r="Q273" s="4"/>
      <c r="R273" s="34">
        <v>45</v>
      </c>
      <c r="S273" s="4"/>
      <c r="T273" s="58">
        <v>0</v>
      </c>
      <c r="U273" s="111"/>
      <c r="V273" s="34"/>
      <c r="W273" s="34"/>
      <c r="X273" s="34"/>
    </row>
    <row r="274" spans="1:24" ht="15" thickBot="1">
      <c r="A274" s="4" t="s">
        <v>1163</v>
      </c>
      <c r="B274" s="4" t="s">
        <v>26</v>
      </c>
      <c r="C274" s="4">
        <v>682687160</v>
      </c>
      <c r="D274" s="4" t="s">
        <v>1164</v>
      </c>
      <c r="E274" s="4" t="s">
        <v>599</v>
      </c>
      <c r="F274" s="31">
        <v>45941</v>
      </c>
      <c r="G274" s="4"/>
      <c r="H274" s="4" t="s">
        <v>1166</v>
      </c>
      <c r="I274" s="4" t="s">
        <v>1167</v>
      </c>
      <c r="J274" s="4" t="s">
        <v>201</v>
      </c>
      <c r="K274" s="4" t="s">
        <v>48</v>
      </c>
      <c r="L274" s="4" t="s">
        <v>290</v>
      </c>
      <c r="M274" s="4"/>
      <c r="N274" s="4" t="s">
        <v>36</v>
      </c>
      <c r="O274" s="4">
        <v>1</v>
      </c>
      <c r="P274" s="112"/>
      <c r="Q274" s="4" t="s">
        <v>3692</v>
      </c>
      <c r="R274" s="34">
        <v>45</v>
      </c>
      <c r="S274" s="59">
        <v>77</v>
      </c>
      <c r="T274" s="58">
        <f t="shared" si="29"/>
        <v>122</v>
      </c>
      <c r="U274" s="36">
        <v>46122</v>
      </c>
      <c r="V274" s="34"/>
      <c r="W274" s="122" t="s">
        <v>789</v>
      </c>
      <c r="X274" s="34"/>
    </row>
    <row r="275" spans="1:24" ht="15" thickBot="1">
      <c r="A275" s="4" t="s">
        <v>1163</v>
      </c>
      <c r="B275" s="4" t="s">
        <v>26</v>
      </c>
      <c r="C275" s="4">
        <v>682687160</v>
      </c>
      <c r="D275" s="4" t="s">
        <v>1164</v>
      </c>
      <c r="E275" s="4" t="s">
        <v>1165</v>
      </c>
      <c r="F275" s="31">
        <v>45941</v>
      </c>
      <c r="G275" s="4"/>
      <c r="H275" s="4" t="s">
        <v>1168</v>
      </c>
      <c r="I275" s="4" t="s">
        <v>1169</v>
      </c>
      <c r="J275" s="4" t="s">
        <v>160</v>
      </c>
      <c r="K275" s="4" t="s">
        <v>33</v>
      </c>
      <c r="L275" s="4" t="s">
        <v>290</v>
      </c>
      <c r="M275" s="4" t="s">
        <v>1170</v>
      </c>
      <c r="N275" s="4" t="s">
        <v>36</v>
      </c>
      <c r="O275" s="4">
        <v>1</v>
      </c>
      <c r="P275" s="112"/>
      <c r="Q275" s="4" t="s">
        <v>134</v>
      </c>
      <c r="R275" s="34">
        <v>45</v>
      </c>
      <c r="S275" s="34">
        <v>77</v>
      </c>
      <c r="T275" s="58">
        <f>SUM(R275:S275)</f>
        <v>122</v>
      </c>
      <c r="U275" s="111">
        <v>45993</v>
      </c>
      <c r="V275" s="4"/>
      <c r="W275" s="4"/>
      <c r="X275" s="4"/>
    </row>
    <row r="276" spans="1:24" ht="15" thickBot="1">
      <c r="A276" s="4" t="s">
        <v>1163</v>
      </c>
      <c r="B276" s="4" t="s">
        <v>26</v>
      </c>
      <c r="C276" s="4">
        <v>682687160</v>
      </c>
      <c r="D276" s="4" t="s">
        <v>1164</v>
      </c>
      <c r="E276" s="4" t="s">
        <v>1165</v>
      </c>
      <c r="F276" s="31">
        <v>45941</v>
      </c>
      <c r="G276" s="4"/>
      <c r="H276" s="4" t="s">
        <v>609</v>
      </c>
      <c r="I276" s="4" t="s">
        <v>610</v>
      </c>
      <c r="J276" s="4" t="s">
        <v>160</v>
      </c>
      <c r="K276" s="4" t="s">
        <v>33</v>
      </c>
      <c r="L276" s="4" t="s">
        <v>1171</v>
      </c>
      <c r="M276" s="4" t="s">
        <v>1172</v>
      </c>
      <c r="N276" s="4" t="s">
        <v>36</v>
      </c>
      <c r="O276" s="4">
        <v>1</v>
      </c>
      <c r="P276" s="112" t="s">
        <v>1173</v>
      </c>
      <c r="Q276" s="4" t="s">
        <v>457</v>
      </c>
      <c r="R276" s="34">
        <v>45</v>
      </c>
      <c r="S276" s="34">
        <v>163.75</v>
      </c>
      <c r="T276" s="58">
        <f>SUM(R276:S276)</f>
        <v>208.75</v>
      </c>
      <c r="U276" s="111">
        <v>45993</v>
      </c>
      <c r="V276" s="4"/>
      <c r="W276" s="122" t="s">
        <v>789</v>
      </c>
      <c r="X276" s="4"/>
    </row>
    <row r="277" spans="1:24" ht="15" thickBot="1">
      <c r="A277" s="4" t="s">
        <v>1163</v>
      </c>
      <c r="B277" s="4" t="s">
        <v>26</v>
      </c>
      <c r="C277" s="4">
        <v>682687160</v>
      </c>
      <c r="D277" s="4" t="s">
        <v>1164</v>
      </c>
      <c r="E277" s="4" t="s">
        <v>1165</v>
      </c>
      <c r="F277" s="31">
        <v>45941</v>
      </c>
      <c r="G277" s="4"/>
      <c r="H277" s="4" t="s">
        <v>1174</v>
      </c>
      <c r="I277" s="4" t="s">
        <v>1175</v>
      </c>
      <c r="J277" s="4" t="s">
        <v>160</v>
      </c>
      <c r="K277" s="4" t="s">
        <v>33</v>
      </c>
      <c r="L277" s="4" t="s">
        <v>301</v>
      </c>
      <c r="M277" s="4" t="s">
        <v>1176</v>
      </c>
      <c r="N277" s="4" t="s">
        <v>36</v>
      </c>
      <c r="O277" s="4">
        <v>1</v>
      </c>
      <c r="P277" s="112"/>
      <c r="Q277" s="4" t="s">
        <v>1177</v>
      </c>
      <c r="R277" s="34">
        <v>45</v>
      </c>
      <c r="S277" s="34">
        <v>378.75</v>
      </c>
      <c r="T277" s="58">
        <f>SUM(R277:S277)</f>
        <v>423.75</v>
      </c>
      <c r="U277" s="111">
        <v>46010</v>
      </c>
      <c r="V277" s="4"/>
      <c r="W277" s="4"/>
      <c r="X277" s="4" t="s">
        <v>251</v>
      </c>
    </row>
    <row r="278" spans="1:24" ht="15" thickBot="1">
      <c r="A278" s="4" t="s">
        <v>1163</v>
      </c>
      <c r="B278" s="4" t="s">
        <v>26</v>
      </c>
      <c r="C278" s="4">
        <v>682687160</v>
      </c>
      <c r="D278" s="4" t="s">
        <v>1164</v>
      </c>
      <c r="E278" s="4" t="s">
        <v>1165</v>
      </c>
      <c r="F278" s="31">
        <v>45941</v>
      </c>
      <c r="G278" s="4"/>
      <c r="H278" s="4" t="s">
        <v>1178</v>
      </c>
      <c r="I278" s="4" t="s">
        <v>1179</v>
      </c>
      <c r="J278" s="4" t="s">
        <v>160</v>
      </c>
      <c r="K278" s="4" t="s">
        <v>33</v>
      </c>
      <c r="L278" s="4" t="s">
        <v>351</v>
      </c>
      <c r="M278" s="4" t="s">
        <v>1180</v>
      </c>
      <c r="N278" s="4" t="s">
        <v>36</v>
      </c>
      <c r="O278" s="4">
        <v>1</v>
      </c>
      <c r="P278" s="112"/>
      <c r="Q278" s="4" t="s">
        <v>352</v>
      </c>
      <c r="R278" s="34">
        <v>45</v>
      </c>
      <c r="S278" s="34">
        <v>82</v>
      </c>
      <c r="T278" s="58">
        <f>SUM(R278:S278)</f>
        <v>127</v>
      </c>
      <c r="U278" s="111">
        <v>45993</v>
      </c>
      <c r="V278" s="4"/>
      <c r="W278" s="4"/>
      <c r="X278" s="4"/>
    </row>
    <row r="279" spans="1:24" ht="15" thickBot="1">
      <c r="A279" s="4" t="s">
        <v>1163</v>
      </c>
      <c r="B279" s="4" t="s">
        <v>26</v>
      </c>
      <c r="C279" s="4">
        <v>682687160</v>
      </c>
      <c r="D279" s="4" t="s">
        <v>1164</v>
      </c>
      <c r="E279" s="4" t="s">
        <v>1165</v>
      </c>
      <c r="F279" s="31">
        <v>45941</v>
      </c>
      <c r="G279" s="4"/>
      <c r="H279" s="4" t="s">
        <v>1181</v>
      </c>
      <c r="I279" s="51" t="s">
        <v>1182</v>
      </c>
      <c r="J279" s="4" t="s">
        <v>160</v>
      </c>
      <c r="K279" s="4" t="s">
        <v>33</v>
      </c>
      <c r="L279" s="4" t="s">
        <v>1183</v>
      </c>
      <c r="M279" s="4" t="s">
        <v>1127</v>
      </c>
      <c r="N279" s="4" t="s">
        <v>499</v>
      </c>
      <c r="O279" s="4">
        <v>1</v>
      </c>
      <c r="P279" s="112"/>
      <c r="Q279" s="4" t="s">
        <v>457</v>
      </c>
      <c r="R279" s="34">
        <v>45</v>
      </c>
      <c r="S279" s="4"/>
      <c r="T279" s="58">
        <v>0</v>
      </c>
      <c r="U279" s="111"/>
      <c r="V279" s="4"/>
      <c r="W279" s="4"/>
      <c r="X279" s="4" t="s">
        <v>262</v>
      </c>
    </row>
    <row r="280" spans="1:24" ht="15" thickBot="1">
      <c r="A280" s="4" t="s">
        <v>1163</v>
      </c>
      <c r="B280" s="4" t="s">
        <v>26</v>
      </c>
      <c r="C280" s="4">
        <v>682687160</v>
      </c>
      <c r="D280" s="4" t="s">
        <v>1164</v>
      </c>
      <c r="E280" s="4" t="s">
        <v>1165</v>
      </c>
      <c r="F280" s="31">
        <v>45941</v>
      </c>
      <c r="G280" s="4"/>
      <c r="H280" s="4" t="s">
        <v>1184</v>
      </c>
      <c r="I280" s="4" t="s">
        <v>1185</v>
      </c>
      <c r="J280" s="4" t="s">
        <v>160</v>
      </c>
      <c r="K280" s="4" t="s">
        <v>33</v>
      </c>
      <c r="L280" s="4" t="s">
        <v>1186</v>
      </c>
      <c r="M280" s="4" t="s">
        <v>1081</v>
      </c>
      <c r="N280" s="4" t="s">
        <v>36</v>
      </c>
      <c r="O280" s="4">
        <v>1</v>
      </c>
      <c r="P280" s="112"/>
      <c r="Q280" s="4" t="s">
        <v>117</v>
      </c>
      <c r="R280" s="34">
        <v>45</v>
      </c>
      <c r="S280" s="34">
        <v>215</v>
      </c>
      <c r="T280" s="58">
        <f>SUM(R280:S280)</f>
        <v>260</v>
      </c>
      <c r="U280" s="36">
        <v>46038</v>
      </c>
      <c r="V280" s="4"/>
      <c r="W280" s="4"/>
      <c r="X280" s="4" t="s">
        <v>1083</v>
      </c>
    </row>
    <row r="281" spans="1:24" ht="15" thickBot="1">
      <c r="A281" s="4" t="s">
        <v>1163</v>
      </c>
      <c r="B281" s="4" t="s">
        <v>26</v>
      </c>
      <c r="C281" s="4">
        <v>682687160</v>
      </c>
      <c r="D281" s="4" t="s">
        <v>1164</v>
      </c>
      <c r="E281" s="4" t="s">
        <v>1165</v>
      </c>
      <c r="F281" s="31">
        <v>45941</v>
      </c>
      <c r="G281" s="4"/>
      <c r="H281" s="4" t="s">
        <v>1187</v>
      </c>
      <c r="I281" s="4" t="s">
        <v>1188</v>
      </c>
      <c r="J281" s="4" t="s">
        <v>160</v>
      </c>
      <c r="K281" s="4" t="s">
        <v>33</v>
      </c>
      <c r="L281" s="4" t="s">
        <v>301</v>
      </c>
      <c r="M281" s="4"/>
      <c r="N281" s="4" t="s">
        <v>36</v>
      </c>
      <c r="O281" s="4">
        <v>1</v>
      </c>
      <c r="P281" s="112"/>
      <c r="Q281" s="4" t="s">
        <v>261</v>
      </c>
      <c r="R281" s="34">
        <v>45</v>
      </c>
      <c r="S281" s="34">
        <v>215</v>
      </c>
      <c r="T281" s="58">
        <f>SUM(R281:S281)</f>
        <v>260</v>
      </c>
      <c r="U281" s="36">
        <v>46010</v>
      </c>
      <c r="V281" s="4"/>
      <c r="W281" s="4"/>
      <c r="X281" s="4" t="s">
        <v>251</v>
      </c>
    </row>
    <row r="282" spans="1:24" ht="15" thickBot="1">
      <c r="A282" s="4" t="s">
        <v>1163</v>
      </c>
      <c r="B282" s="4" t="s">
        <v>26</v>
      </c>
      <c r="C282" s="4">
        <v>682687160</v>
      </c>
      <c r="D282" s="4" t="s">
        <v>1164</v>
      </c>
      <c r="E282" s="4" t="s">
        <v>1165</v>
      </c>
      <c r="F282" s="31">
        <v>45941</v>
      </c>
      <c r="G282" s="4"/>
      <c r="H282" s="4" t="s">
        <v>1189</v>
      </c>
      <c r="I282" s="4" t="s">
        <v>1190</v>
      </c>
      <c r="J282" s="4" t="s">
        <v>160</v>
      </c>
      <c r="K282" s="4" t="s">
        <v>33</v>
      </c>
      <c r="L282" s="4" t="s">
        <v>1191</v>
      </c>
      <c r="M282" s="4" t="s">
        <v>1192</v>
      </c>
      <c r="N282" s="4" t="s">
        <v>36</v>
      </c>
      <c r="O282" s="4">
        <v>1</v>
      </c>
      <c r="P282" s="112"/>
      <c r="Q282" s="4" t="s">
        <v>66</v>
      </c>
      <c r="R282" s="34">
        <v>45</v>
      </c>
      <c r="S282" s="58">
        <v>120</v>
      </c>
      <c r="T282" s="58">
        <f>SUM(R282:S282)</f>
        <v>165</v>
      </c>
      <c r="U282" s="36">
        <v>45993</v>
      </c>
      <c r="V282" s="4"/>
      <c r="W282" s="4"/>
      <c r="X282" s="4" t="s">
        <v>833</v>
      </c>
    </row>
    <row r="283" spans="1:24" ht="15" thickBot="1">
      <c r="A283" s="4" t="s">
        <v>1163</v>
      </c>
      <c r="B283" s="4" t="s">
        <v>26</v>
      </c>
      <c r="C283" s="4">
        <v>682687160</v>
      </c>
      <c r="D283" s="4" t="s">
        <v>1164</v>
      </c>
      <c r="E283" s="4" t="s">
        <v>1165</v>
      </c>
      <c r="F283" s="31">
        <v>45941</v>
      </c>
      <c r="G283" s="4"/>
      <c r="H283" s="4" t="s">
        <v>1193</v>
      </c>
      <c r="I283" s="4" t="s">
        <v>1194</v>
      </c>
      <c r="J283" s="4" t="s">
        <v>160</v>
      </c>
      <c r="K283" s="4" t="s">
        <v>33</v>
      </c>
      <c r="L283" s="4" t="s">
        <v>547</v>
      </c>
      <c r="M283" s="4" t="s">
        <v>1195</v>
      </c>
      <c r="N283" s="4" t="s">
        <v>36</v>
      </c>
      <c r="O283" s="4">
        <v>1</v>
      </c>
      <c r="P283" s="112" t="s">
        <v>1196</v>
      </c>
      <c r="Q283" s="4" t="s">
        <v>352</v>
      </c>
      <c r="R283" s="34">
        <v>45</v>
      </c>
      <c r="S283" s="58">
        <v>160</v>
      </c>
      <c r="T283" s="58">
        <f>SUM(R283:S283)</f>
        <v>205</v>
      </c>
      <c r="U283" s="36">
        <v>45993</v>
      </c>
      <c r="V283" s="4"/>
      <c r="W283" s="4"/>
      <c r="X283" s="4"/>
    </row>
    <row r="284" spans="1:24" ht="15" thickBot="1">
      <c r="A284" s="4" t="s">
        <v>1163</v>
      </c>
      <c r="B284" s="4" t="s">
        <v>26</v>
      </c>
      <c r="C284" s="4">
        <v>682687160</v>
      </c>
      <c r="D284" s="4" t="s">
        <v>1164</v>
      </c>
      <c r="E284" s="4" t="s">
        <v>1165</v>
      </c>
      <c r="F284" s="31">
        <v>45941</v>
      </c>
      <c r="G284" s="4"/>
      <c r="H284" s="4" t="s">
        <v>1197</v>
      </c>
      <c r="I284" s="4" t="s">
        <v>1198</v>
      </c>
      <c r="J284" s="4" t="s">
        <v>160</v>
      </c>
      <c r="K284" s="4" t="s">
        <v>33</v>
      </c>
      <c r="L284" s="4" t="s">
        <v>1199</v>
      </c>
      <c r="M284" s="4" t="s">
        <v>1200</v>
      </c>
      <c r="N284" s="4" t="s">
        <v>499</v>
      </c>
      <c r="O284" s="4">
        <v>1</v>
      </c>
      <c r="P284" s="112" t="s">
        <v>1201</v>
      </c>
      <c r="Q284" s="4"/>
      <c r="R284" s="34">
        <v>45</v>
      </c>
      <c r="S284" s="4"/>
      <c r="T284" s="58">
        <v>0</v>
      </c>
      <c r="U284" s="36"/>
      <c r="V284" s="4"/>
      <c r="W284" s="4"/>
      <c r="X284" s="4"/>
    </row>
    <row r="285" spans="1:24" ht="15" thickBot="1">
      <c r="A285" s="4" t="s">
        <v>1163</v>
      </c>
      <c r="B285" s="4" t="s">
        <v>26</v>
      </c>
      <c r="C285" s="4">
        <v>682687160</v>
      </c>
      <c r="D285" s="4" t="s">
        <v>1164</v>
      </c>
      <c r="E285" s="4" t="s">
        <v>1165</v>
      </c>
      <c r="F285" s="31">
        <v>45941</v>
      </c>
      <c r="G285" s="4"/>
      <c r="H285" s="4" t="s">
        <v>624</v>
      </c>
      <c r="I285" s="4" t="s">
        <v>625</v>
      </c>
      <c r="J285" s="4" t="s">
        <v>160</v>
      </c>
      <c r="K285" s="4" t="s">
        <v>33</v>
      </c>
      <c r="L285" s="4" t="s">
        <v>1202</v>
      </c>
      <c r="M285" s="4" t="s">
        <v>66</v>
      </c>
      <c r="N285" s="4" t="s">
        <v>36</v>
      </c>
      <c r="O285" s="4">
        <v>1</v>
      </c>
      <c r="P285" s="112" t="s">
        <v>1203</v>
      </c>
      <c r="Q285" s="4" t="s">
        <v>66</v>
      </c>
      <c r="R285" s="34">
        <v>45</v>
      </c>
      <c r="S285" s="58">
        <v>120</v>
      </c>
      <c r="T285" s="58">
        <f>SUM(R285:S285)</f>
        <v>165</v>
      </c>
      <c r="U285" s="36">
        <v>45993</v>
      </c>
      <c r="V285" s="4"/>
      <c r="W285" s="122" t="s">
        <v>789</v>
      </c>
      <c r="X285" s="4"/>
    </row>
    <row r="286" spans="1:24" ht="15" thickBot="1">
      <c r="A286" s="4" t="s">
        <v>154</v>
      </c>
      <c r="B286" s="4" t="s">
        <v>26</v>
      </c>
      <c r="C286" s="4">
        <v>682687160</v>
      </c>
      <c r="D286" s="4" t="s">
        <v>1164</v>
      </c>
      <c r="E286" s="4" t="s">
        <v>1165</v>
      </c>
      <c r="F286" s="31">
        <v>45941</v>
      </c>
      <c r="G286" s="4"/>
      <c r="H286" s="4" t="s">
        <v>1204</v>
      </c>
      <c r="I286" s="4" t="s">
        <v>1205</v>
      </c>
      <c r="J286" s="4" t="s">
        <v>502</v>
      </c>
      <c r="K286" s="4" t="s">
        <v>33</v>
      </c>
      <c r="L286" s="4" t="s">
        <v>1206</v>
      </c>
      <c r="M286" s="4" t="s">
        <v>1207</v>
      </c>
      <c r="N286" s="4" t="s">
        <v>36</v>
      </c>
      <c r="O286" s="4">
        <v>1</v>
      </c>
      <c r="P286" s="112"/>
      <c r="Q286" s="4" t="s">
        <v>117</v>
      </c>
      <c r="R286" s="34">
        <v>45</v>
      </c>
      <c r="S286" s="59">
        <v>215</v>
      </c>
      <c r="T286" s="58">
        <f t="shared" ref="T286" si="30">SUM(R286:S286)</f>
        <v>260</v>
      </c>
      <c r="U286" s="126">
        <v>46072</v>
      </c>
      <c r="V286" s="4"/>
      <c r="W286" s="4"/>
      <c r="X286" s="4" t="s">
        <v>927</v>
      </c>
    </row>
    <row r="287" spans="1:24" ht="15" thickBot="1">
      <c r="A287" s="4" t="s">
        <v>1163</v>
      </c>
      <c r="B287" s="4" t="s">
        <v>26</v>
      </c>
      <c r="C287" s="4">
        <v>682687160</v>
      </c>
      <c r="D287" s="4" t="s">
        <v>1164</v>
      </c>
      <c r="E287" s="4" t="s">
        <v>1165</v>
      </c>
      <c r="F287" s="31">
        <v>45941</v>
      </c>
      <c r="G287" s="4"/>
      <c r="H287" s="4" t="s">
        <v>1208</v>
      </c>
      <c r="I287" s="4" t="s">
        <v>1209</v>
      </c>
      <c r="J287" s="4" t="s">
        <v>216</v>
      </c>
      <c r="K287" s="4" t="s">
        <v>33</v>
      </c>
      <c r="L287" s="4" t="s">
        <v>547</v>
      </c>
      <c r="M287" s="4" t="s">
        <v>351</v>
      </c>
      <c r="N287" s="4" t="s">
        <v>36</v>
      </c>
      <c r="O287" s="4">
        <v>1</v>
      </c>
      <c r="P287" s="112"/>
      <c r="Q287" s="4" t="s">
        <v>258</v>
      </c>
      <c r="R287" s="34">
        <v>45</v>
      </c>
      <c r="S287" s="34">
        <v>320</v>
      </c>
      <c r="T287" s="58">
        <f>SUM(R287:S287)</f>
        <v>365</v>
      </c>
      <c r="U287" s="36">
        <v>46038</v>
      </c>
      <c r="V287" s="4"/>
      <c r="W287" s="4"/>
      <c r="X287" s="4"/>
    </row>
    <row r="288" spans="1:24" ht="15" thickBot="1">
      <c r="A288" s="4" t="s">
        <v>1163</v>
      </c>
      <c r="B288" s="4" t="s">
        <v>26</v>
      </c>
      <c r="C288" s="4">
        <v>682687160</v>
      </c>
      <c r="D288" s="4" t="s">
        <v>1164</v>
      </c>
      <c r="E288" s="4" t="s">
        <v>1165</v>
      </c>
      <c r="F288" s="31">
        <v>45941</v>
      </c>
      <c r="G288" s="4"/>
      <c r="H288" s="4" t="s">
        <v>1210</v>
      </c>
      <c r="I288" s="4" t="s">
        <v>1211</v>
      </c>
      <c r="J288" s="4" t="s">
        <v>502</v>
      </c>
      <c r="K288" s="4" t="s">
        <v>33</v>
      </c>
      <c r="L288" s="4" t="s">
        <v>301</v>
      </c>
      <c r="M288" s="4" t="s">
        <v>1212</v>
      </c>
      <c r="N288" s="4" t="s">
        <v>36</v>
      </c>
      <c r="O288" s="4">
        <v>1</v>
      </c>
      <c r="P288" s="112" t="s">
        <v>1213</v>
      </c>
      <c r="Q288" s="4" t="s">
        <v>71</v>
      </c>
      <c r="R288" s="34">
        <v>45</v>
      </c>
      <c r="S288" s="58">
        <v>120</v>
      </c>
      <c r="T288" s="58">
        <f>SUM(R288:S288)</f>
        <v>165</v>
      </c>
      <c r="U288" s="36">
        <v>45993</v>
      </c>
      <c r="V288" s="4"/>
      <c r="W288" s="4"/>
      <c r="X288" s="4"/>
    </row>
    <row r="289" spans="1:24" ht="15" thickBot="1">
      <c r="A289" s="4" t="s">
        <v>154</v>
      </c>
      <c r="B289" s="4" t="s">
        <v>26</v>
      </c>
      <c r="C289" s="4">
        <v>682687160</v>
      </c>
      <c r="D289" s="4" t="s">
        <v>1164</v>
      </c>
      <c r="E289" s="4" t="s">
        <v>1165</v>
      </c>
      <c r="F289" s="31">
        <v>45941</v>
      </c>
      <c r="G289" s="4"/>
      <c r="H289" s="4" t="s">
        <v>1214</v>
      </c>
      <c r="I289" s="4" t="s">
        <v>1215</v>
      </c>
      <c r="J289" s="4" t="s">
        <v>216</v>
      </c>
      <c r="K289" s="4" t="s">
        <v>33</v>
      </c>
      <c r="L289" s="4" t="s">
        <v>1216</v>
      </c>
      <c r="M289" s="4" t="s">
        <v>1217</v>
      </c>
      <c r="N289" s="4" t="s">
        <v>36</v>
      </c>
      <c r="O289" s="4">
        <v>1</v>
      </c>
      <c r="P289" s="112"/>
      <c r="Q289" s="4" t="s">
        <v>1217</v>
      </c>
      <c r="R289" s="34">
        <v>45</v>
      </c>
      <c r="S289" s="59">
        <v>555</v>
      </c>
      <c r="T289" s="58">
        <f t="shared" ref="T289" si="31">SUM(R289:S289)</f>
        <v>600</v>
      </c>
      <c r="U289" s="126">
        <v>46072</v>
      </c>
      <c r="V289" s="4"/>
      <c r="W289" s="4"/>
      <c r="X289" s="4" t="s">
        <v>927</v>
      </c>
    </row>
    <row r="290" spans="1:24" ht="15" thickBot="1">
      <c r="A290" s="4" t="s">
        <v>1163</v>
      </c>
      <c r="B290" s="4" t="s">
        <v>26</v>
      </c>
      <c r="C290" s="4">
        <v>682687160</v>
      </c>
      <c r="D290" s="4" t="s">
        <v>1164</v>
      </c>
      <c r="E290" s="4" t="s">
        <v>1165</v>
      </c>
      <c r="F290" s="31">
        <v>45941</v>
      </c>
      <c r="G290" s="4"/>
      <c r="H290" s="4" t="s">
        <v>1218</v>
      </c>
      <c r="I290" s="4" t="s">
        <v>1219</v>
      </c>
      <c r="J290" s="4" t="s">
        <v>160</v>
      </c>
      <c r="K290" s="4" t="s">
        <v>33</v>
      </c>
      <c r="L290" s="4" t="s">
        <v>1220</v>
      </c>
      <c r="M290" s="4" t="s">
        <v>1221</v>
      </c>
      <c r="N290" s="4" t="s">
        <v>36</v>
      </c>
      <c r="O290" s="4">
        <v>1</v>
      </c>
      <c r="P290" s="112" t="s">
        <v>1222</v>
      </c>
      <c r="Q290" s="4" t="s">
        <v>1223</v>
      </c>
      <c r="R290" s="34">
        <v>45</v>
      </c>
      <c r="S290" s="34">
        <v>378.75</v>
      </c>
      <c r="T290" s="58">
        <f>SUM(R290:S290)</f>
        <v>423.75</v>
      </c>
      <c r="U290" s="36">
        <v>45993</v>
      </c>
      <c r="V290" s="4"/>
      <c r="W290" s="4"/>
      <c r="X290" s="4"/>
    </row>
    <row r="291" spans="1:24" ht="15" thickBot="1">
      <c r="A291" s="4" t="s">
        <v>1163</v>
      </c>
      <c r="B291" s="4" t="s">
        <v>26</v>
      </c>
      <c r="C291" s="4">
        <v>682687160</v>
      </c>
      <c r="D291" s="4" t="s">
        <v>1164</v>
      </c>
      <c r="E291" s="4" t="s">
        <v>1165</v>
      </c>
      <c r="F291" s="31">
        <v>45941</v>
      </c>
      <c r="G291" s="4"/>
      <c r="H291" s="4" t="s">
        <v>612</v>
      </c>
      <c r="I291" s="4" t="s">
        <v>613</v>
      </c>
      <c r="J291" s="4" t="s">
        <v>160</v>
      </c>
      <c r="K291" s="4" t="s">
        <v>33</v>
      </c>
      <c r="L291" s="4" t="s">
        <v>1224</v>
      </c>
      <c r="M291" s="4" t="s">
        <v>1225</v>
      </c>
      <c r="N291" s="4" t="s">
        <v>36</v>
      </c>
      <c r="O291" s="4">
        <v>1</v>
      </c>
      <c r="P291" s="112" t="s">
        <v>1201</v>
      </c>
      <c r="Q291" s="4" t="s">
        <v>1226</v>
      </c>
      <c r="R291" s="34">
        <v>45</v>
      </c>
      <c r="S291" s="58">
        <v>0</v>
      </c>
      <c r="T291" s="58">
        <v>0</v>
      </c>
      <c r="U291" s="36">
        <v>46010</v>
      </c>
      <c r="V291" s="4"/>
      <c r="W291" s="122" t="s">
        <v>789</v>
      </c>
      <c r="X291" s="4" t="s">
        <v>1227</v>
      </c>
    </row>
    <row r="292" spans="1:24" ht="15" thickBot="1">
      <c r="A292" s="4" t="s">
        <v>1163</v>
      </c>
      <c r="B292" s="4" t="s">
        <v>26</v>
      </c>
      <c r="C292" s="4">
        <v>682687160</v>
      </c>
      <c r="D292" s="4" t="s">
        <v>1164</v>
      </c>
      <c r="E292" s="4" t="s">
        <v>1165</v>
      </c>
      <c r="F292" s="31">
        <v>45941</v>
      </c>
      <c r="G292" s="4"/>
      <c r="H292" s="4" t="s">
        <v>1228</v>
      </c>
      <c r="I292" s="4" t="s">
        <v>1229</v>
      </c>
      <c r="J292" s="4" t="s">
        <v>160</v>
      </c>
      <c r="K292" s="4" t="s">
        <v>33</v>
      </c>
      <c r="L292" s="4" t="s">
        <v>631</v>
      </c>
      <c r="M292" s="4" t="s">
        <v>1081</v>
      </c>
      <c r="N292" s="4" t="s">
        <v>36</v>
      </c>
      <c r="O292" s="4">
        <v>1</v>
      </c>
      <c r="P292" s="112"/>
      <c r="Q292" s="4" t="s">
        <v>66</v>
      </c>
      <c r="R292" s="34">
        <v>45</v>
      </c>
      <c r="S292" s="34">
        <v>120</v>
      </c>
      <c r="T292" s="58">
        <f t="shared" ref="T292:T300" si="32">SUM(R292:S292)</f>
        <v>165</v>
      </c>
      <c r="U292" s="36">
        <v>45993</v>
      </c>
      <c r="V292" s="4"/>
      <c r="W292" s="4"/>
      <c r="X292" s="45" t="s">
        <v>833</v>
      </c>
    </row>
    <row r="293" spans="1:24" ht="15" thickBot="1">
      <c r="A293" s="4" t="s">
        <v>1163</v>
      </c>
      <c r="B293" s="4" t="s">
        <v>26</v>
      </c>
      <c r="C293" s="4">
        <v>682687160</v>
      </c>
      <c r="D293" s="4" t="s">
        <v>1164</v>
      </c>
      <c r="E293" s="4" t="s">
        <v>1165</v>
      </c>
      <c r="F293" s="31">
        <v>45941</v>
      </c>
      <c r="G293" s="4"/>
      <c r="H293" s="4" t="s">
        <v>1230</v>
      </c>
      <c r="I293" s="4" t="s">
        <v>1231</v>
      </c>
      <c r="J293" s="4" t="s">
        <v>160</v>
      </c>
      <c r="K293" s="4" t="s">
        <v>33</v>
      </c>
      <c r="L293" s="4" t="s">
        <v>1232</v>
      </c>
      <c r="M293" s="4" t="s">
        <v>1081</v>
      </c>
      <c r="N293" s="4" t="s">
        <v>36</v>
      </c>
      <c r="O293" s="4">
        <v>1</v>
      </c>
      <c r="P293" s="112"/>
      <c r="Q293" s="4" t="s">
        <v>71</v>
      </c>
      <c r="R293" s="34">
        <v>45</v>
      </c>
      <c r="S293" s="34">
        <v>120</v>
      </c>
      <c r="T293" s="58">
        <f t="shared" si="32"/>
        <v>165</v>
      </c>
      <c r="U293" s="36">
        <v>45993</v>
      </c>
      <c r="V293" s="4"/>
      <c r="W293" s="4"/>
      <c r="X293" s="45" t="s">
        <v>833</v>
      </c>
    </row>
    <row r="294" spans="1:24" ht="15" thickBot="1">
      <c r="A294" s="4" t="s">
        <v>1163</v>
      </c>
      <c r="B294" s="4" t="s">
        <v>26</v>
      </c>
      <c r="C294" s="4">
        <v>682687160</v>
      </c>
      <c r="D294" s="4" t="s">
        <v>1164</v>
      </c>
      <c r="E294" s="4" t="s">
        <v>1165</v>
      </c>
      <c r="F294" s="31">
        <v>45941</v>
      </c>
      <c r="G294" s="4"/>
      <c r="H294" s="4" t="s">
        <v>1233</v>
      </c>
      <c r="I294" s="4" t="s">
        <v>1234</v>
      </c>
      <c r="J294" s="4" t="s">
        <v>160</v>
      </c>
      <c r="K294" s="4" t="s">
        <v>33</v>
      </c>
      <c r="L294" s="4" t="s">
        <v>478</v>
      </c>
      <c r="M294" s="4" t="s">
        <v>1235</v>
      </c>
      <c r="N294" s="4" t="s">
        <v>36</v>
      </c>
      <c r="O294" s="4">
        <v>1</v>
      </c>
      <c r="P294" s="112"/>
      <c r="Q294" s="4" t="s">
        <v>55</v>
      </c>
      <c r="R294" s="34">
        <v>45</v>
      </c>
      <c r="S294" s="34">
        <v>163.75</v>
      </c>
      <c r="T294" s="58">
        <f t="shared" si="32"/>
        <v>208.75</v>
      </c>
      <c r="U294" s="36">
        <v>45993</v>
      </c>
      <c r="V294" s="4"/>
      <c r="W294" s="4"/>
      <c r="X294" s="45" t="s">
        <v>833</v>
      </c>
    </row>
    <row r="295" spans="1:24" ht="15" thickBot="1">
      <c r="A295" s="4" t="s">
        <v>1163</v>
      </c>
      <c r="B295" s="4" t="s">
        <v>26</v>
      </c>
      <c r="C295" s="4">
        <v>682687160</v>
      </c>
      <c r="D295" s="4" t="s">
        <v>1164</v>
      </c>
      <c r="E295" s="4" t="s">
        <v>1165</v>
      </c>
      <c r="F295" s="31">
        <v>45941</v>
      </c>
      <c r="G295" s="4"/>
      <c r="H295" s="4" t="s">
        <v>1236</v>
      </c>
      <c r="I295" s="4" t="s">
        <v>1237</v>
      </c>
      <c r="J295" s="4" t="s">
        <v>160</v>
      </c>
      <c r="K295" s="4" t="s">
        <v>33</v>
      </c>
      <c r="L295" s="4" t="s">
        <v>301</v>
      </c>
      <c r="M295" s="4" t="s">
        <v>1238</v>
      </c>
      <c r="N295" s="4" t="s">
        <v>36</v>
      </c>
      <c r="O295" s="4">
        <v>1</v>
      </c>
      <c r="P295" s="112"/>
      <c r="Q295" s="112" t="s">
        <v>1239</v>
      </c>
      <c r="R295" s="34">
        <v>45</v>
      </c>
      <c r="S295" s="34">
        <v>215</v>
      </c>
      <c r="T295" s="58">
        <f t="shared" si="32"/>
        <v>260</v>
      </c>
      <c r="U295" s="36">
        <v>46038</v>
      </c>
      <c r="V295" s="4"/>
      <c r="W295" s="4"/>
      <c r="X295" s="4" t="s">
        <v>1083</v>
      </c>
    </row>
    <row r="296" spans="1:24" ht="15" thickBot="1">
      <c r="A296" s="4" t="s">
        <v>1163</v>
      </c>
      <c r="B296" s="4" t="s">
        <v>26</v>
      </c>
      <c r="C296" s="4">
        <v>682687160</v>
      </c>
      <c r="D296" s="4" t="s">
        <v>1164</v>
      </c>
      <c r="E296" s="4" t="s">
        <v>1165</v>
      </c>
      <c r="F296" s="31">
        <v>45941</v>
      </c>
      <c r="G296" s="4"/>
      <c r="H296" s="4" t="s">
        <v>1240</v>
      </c>
      <c r="I296" s="4" t="s">
        <v>1241</v>
      </c>
      <c r="J296" s="4" t="s">
        <v>160</v>
      </c>
      <c r="K296" s="4" t="s">
        <v>33</v>
      </c>
      <c r="L296" s="4" t="s">
        <v>1242</v>
      </c>
      <c r="M296" s="4" t="s">
        <v>261</v>
      </c>
      <c r="N296" s="4" t="s">
        <v>36</v>
      </c>
      <c r="O296" s="4">
        <v>1</v>
      </c>
      <c r="P296" s="112" t="s">
        <v>251</v>
      </c>
      <c r="Q296" s="31" t="s">
        <v>815</v>
      </c>
      <c r="R296" s="34">
        <v>45</v>
      </c>
      <c r="S296" s="34">
        <v>215</v>
      </c>
      <c r="T296" s="58">
        <f t="shared" si="32"/>
        <v>260</v>
      </c>
      <c r="U296" s="36">
        <v>45993</v>
      </c>
      <c r="V296" s="4"/>
      <c r="W296" s="4"/>
      <c r="X296" s="4"/>
    </row>
    <row r="297" spans="1:24" ht="15" thickBot="1">
      <c r="A297" s="4" t="s">
        <v>1163</v>
      </c>
      <c r="B297" s="4" t="s">
        <v>26</v>
      </c>
      <c r="C297" s="4">
        <v>682687160</v>
      </c>
      <c r="D297" s="4" t="s">
        <v>1164</v>
      </c>
      <c r="E297" s="4" t="s">
        <v>1165</v>
      </c>
      <c r="F297" s="31">
        <v>45941</v>
      </c>
      <c r="G297" s="4"/>
      <c r="H297" s="4" t="s">
        <v>299</v>
      </c>
      <c r="I297" s="4" t="s">
        <v>300</v>
      </c>
      <c r="J297" s="4" t="s">
        <v>160</v>
      </c>
      <c r="K297" s="4" t="s">
        <v>33</v>
      </c>
      <c r="L297" s="4" t="s">
        <v>631</v>
      </c>
      <c r="M297" s="4" t="s">
        <v>1243</v>
      </c>
      <c r="N297" s="4" t="s">
        <v>36</v>
      </c>
      <c r="O297" s="4">
        <v>1</v>
      </c>
      <c r="P297" s="112"/>
      <c r="Q297" s="4" t="s">
        <v>66</v>
      </c>
      <c r="R297" s="34">
        <v>45</v>
      </c>
      <c r="S297" s="34">
        <v>120</v>
      </c>
      <c r="T297" s="58">
        <f t="shared" si="32"/>
        <v>165</v>
      </c>
      <c r="U297" s="36">
        <v>45993</v>
      </c>
      <c r="V297" s="4"/>
      <c r="W297" s="122" t="s">
        <v>789</v>
      </c>
      <c r="X297" s="45" t="s">
        <v>833</v>
      </c>
    </row>
    <row r="298" spans="1:24" ht="15" thickBot="1">
      <c r="A298" s="4" t="s">
        <v>1163</v>
      </c>
      <c r="B298" s="4" t="s">
        <v>26</v>
      </c>
      <c r="C298" s="4">
        <v>682687160</v>
      </c>
      <c r="D298" s="4" t="s">
        <v>1164</v>
      </c>
      <c r="E298" s="4" t="s">
        <v>1165</v>
      </c>
      <c r="F298" s="31">
        <v>45941</v>
      </c>
      <c r="G298" s="4">
        <v>7846</v>
      </c>
      <c r="H298" s="4" t="s">
        <v>1244</v>
      </c>
      <c r="I298" s="4" t="s">
        <v>1245</v>
      </c>
      <c r="J298" s="4" t="s">
        <v>485</v>
      </c>
      <c r="K298" s="4" t="s">
        <v>48</v>
      </c>
      <c r="L298" s="4" t="s">
        <v>1246</v>
      </c>
      <c r="M298" s="4" t="s">
        <v>1247</v>
      </c>
      <c r="N298" s="4" t="s">
        <v>36</v>
      </c>
      <c r="O298" s="4">
        <v>1</v>
      </c>
      <c r="P298" s="112" t="s">
        <v>1248</v>
      </c>
      <c r="Q298" s="4" t="s">
        <v>1114</v>
      </c>
      <c r="R298" s="34">
        <v>45</v>
      </c>
      <c r="S298" s="34">
        <v>271.75</v>
      </c>
      <c r="T298" s="58">
        <f t="shared" si="32"/>
        <v>316.75</v>
      </c>
      <c r="U298" s="36">
        <v>46010</v>
      </c>
      <c r="V298" s="4"/>
      <c r="W298" s="4"/>
      <c r="X298" s="4"/>
    </row>
    <row r="299" spans="1:24" ht="15" thickBot="1">
      <c r="A299" s="4" t="s">
        <v>1163</v>
      </c>
      <c r="B299" s="4" t="s">
        <v>26</v>
      </c>
      <c r="C299" s="4">
        <v>682687160</v>
      </c>
      <c r="D299" s="4" t="s">
        <v>1164</v>
      </c>
      <c r="E299" s="4" t="s">
        <v>1165</v>
      </c>
      <c r="F299" s="31">
        <v>45941</v>
      </c>
      <c r="G299" s="4"/>
      <c r="H299" s="4" t="s">
        <v>1249</v>
      </c>
      <c r="I299" s="4" t="s">
        <v>1250</v>
      </c>
      <c r="J299" s="4" t="s">
        <v>160</v>
      </c>
      <c r="K299" s="4" t="s">
        <v>33</v>
      </c>
      <c r="L299" s="4" t="s">
        <v>1246</v>
      </c>
      <c r="M299" s="4" t="s">
        <v>1251</v>
      </c>
      <c r="N299" s="4" t="s">
        <v>36</v>
      </c>
      <c r="O299" s="4">
        <v>1</v>
      </c>
      <c r="P299" s="112" t="s">
        <v>1252</v>
      </c>
      <c r="Q299" s="4" t="s">
        <v>1253</v>
      </c>
      <c r="R299" s="34">
        <v>45</v>
      </c>
      <c r="S299" s="34">
        <v>185</v>
      </c>
      <c r="T299" s="58">
        <f t="shared" si="32"/>
        <v>230</v>
      </c>
      <c r="U299" s="36">
        <v>45993</v>
      </c>
      <c r="V299" s="4"/>
      <c r="W299" s="4"/>
      <c r="X299" s="4"/>
    </row>
    <row r="300" spans="1:24" ht="15" thickBot="1">
      <c r="A300" s="4" t="s">
        <v>1163</v>
      </c>
      <c r="B300" s="4" t="s">
        <v>26</v>
      </c>
      <c r="C300" s="4">
        <v>682687160</v>
      </c>
      <c r="D300" s="4" t="s">
        <v>1164</v>
      </c>
      <c r="E300" s="4" t="s">
        <v>599</v>
      </c>
      <c r="F300" s="31">
        <v>45941</v>
      </c>
      <c r="G300" s="4"/>
      <c r="H300" s="4" t="s">
        <v>1254</v>
      </c>
      <c r="I300" s="4" t="s">
        <v>1255</v>
      </c>
      <c r="J300" s="4" t="s">
        <v>201</v>
      </c>
      <c r="K300" s="4" t="s">
        <v>48</v>
      </c>
      <c r="L300" s="4" t="s">
        <v>1256</v>
      </c>
      <c r="M300" s="4"/>
      <c r="N300" s="4" t="s">
        <v>36</v>
      </c>
      <c r="O300" s="4">
        <v>1</v>
      </c>
      <c r="P300" s="112"/>
      <c r="Q300" s="4" t="s">
        <v>3688</v>
      </c>
      <c r="R300" s="34">
        <v>45</v>
      </c>
      <c r="S300" s="34">
        <v>0</v>
      </c>
      <c r="T300" s="58">
        <f t="shared" si="32"/>
        <v>45</v>
      </c>
      <c r="U300" s="36">
        <v>46122</v>
      </c>
      <c r="V300" s="4"/>
      <c r="W300" s="4"/>
      <c r="X300" s="4"/>
    </row>
    <row r="301" spans="1:24" ht="15" thickBot="1">
      <c r="A301" s="4" t="s">
        <v>1163</v>
      </c>
      <c r="B301" s="4" t="s">
        <v>26</v>
      </c>
      <c r="C301" s="4">
        <v>682687160</v>
      </c>
      <c r="D301" s="4" t="s">
        <v>1164</v>
      </c>
      <c r="E301" s="4" t="s">
        <v>1165</v>
      </c>
      <c r="F301" s="31">
        <v>45941</v>
      </c>
      <c r="G301" s="4"/>
      <c r="H301" s="4" t="s">
        <v>1257</v>
      </c>
      <c r="I301" s="4" t="s">
        <v>1258</v>
      </c>
      <c r="J301" s="4" t="s">
        <v>160</v>
      </c>
      <c r="K301" s="4" t="s">
        <v>33</v>
      </c>
      <c r="L301" s="4" t="s">
        <v>1259</v>
      </c>
      <c r="M301" s="4" t="s">
        <v>1260</v>
      </c>
      <c r="N301" s="4" t="s">
        <v>36</v>
      </c>
      <c r="O301" s="4">
        <v>1</v>
      </c>
      <c r="P301" s="112" t="s">
        <v>1201</v>
      </c>
      <c r="Q301" s="4" t="s">
        <v>457</v>
      </c>
      <c r="R301" s="34">
        <v>45</v>
      </c>
      <c r="S301" s="34">
        <v>163.75</v>
      </c>
      <c r="T301" s="58">
        <f>SUM(R301:S301)</f>
        <v>208.75</v>
      </c>
      <c r="U301" s="36">
        <v>45993</v>
      </c>
      <c r="V301" s="4"/>
      <c r="W301" s="4"/>
      <c r="X301" s="4"/>
    </row>
    <row r="302" spans="1:24" ht="15" thickBot="1">
      <c r="A302" s="4" t="s">
        <v>1163</v>
      </c>
      <c r="B302" s="4" t="s">
        <v>26</v>
      </c>
      <c r="C302" s="4">
        <v>682687160</v>
      </c>
      <c r="D302" s="4" t="s">
        <v>1164</v>
      </c>
      <c r="E302" s="4" t="s">
        <v>599</v>
      </c>
      <c r="F302" s="31">
        <v>45941</v>
      </c>
      <c r="G302" s="4"/>
      <c r="H302" s="4" t="s">
        <v>1261</v>
      </c>
      <c r="I302" s="4" t="s">
        <v>1262</v>
      </c>
      <c r="J302" s="4" t="s">
        <v>502</v>
      </c>
      <c r="K302" s="4" t="s">
        <v>33</v>
      </c>
      <c r="L302" s="4" t="s">
        <v>1216</v>
      </c>
      <c r="M302" s="4" t="s">
        <v>251</v>
      </c>
      <c r="N302" s="4" t="s">
        <v>36</v>
      </c>
      <c r="O302" s="4">
        <v>1</v>
      </c>
      <c r="P302" s="112"/>
      <c r="Q302" s="4" t="s">
        <v>251</v>
      </c>
      <c r="R302" s="34">
        <v>45</v>
      </c>
      <c r="S302" s="34">
        <v>215</v>
      </c>
      <c r="T302" s="58">
        <f>SUM(R302:S302)</f>
        <v>260</v>
      </c>
      <c r="U302" s="36">
        <v>46122</v>
      </c>
      <c r="V302" s="4"/>
      <c r="W302" s="4"/>
      <c r="X302" s="4" t="s">
        <v>3714</v>
      </c>
    </row>
    <row r="303" spans="1:24" ht="29.5" thickBot="1">
      <c r="A303" s="4" t="s">
        <v>1163</v>
      </c>
      <c r="B303" s="4" t="s">
        <v>26</v>
      </c>
      <c r="C303" s="4">
        <v>682687160</v>
      </c>
      <c r="D303" s="4" t="s">
        <v>1164</v>
      </c>
      <c r="E303" s="4" t="s">
        <v>599</v>
      </c>
      <c r="F303" s="31">
        <v>45941</v>
      </c>
      <c r="G303" s="4"/>
      <c r="H303" s="4" t="s">
        <v>1263</v>
      </c>
      <c r="I303" s="4" t="s">
        <v>1264</v>
      </c>
      <c r="J303" s="4" t="s">
        <v>502</v>
      </c>
      <c r="K303" s="4" t="s">
        <v>33</v>
      </c>
      <c r="L303" s="4" t="s">
        <v>1265</v>
      </c>
      <c r="M303" s="4" t="s">
        <v>3672</v>
      </c>
      <c r="N303" s="4" t="s">
        <v>36</v>
      </c>
      <c r="O303" s="4">
        <v>1</v>
      </c>
      <c r="P303" s="112"/>
      <c r="Q303" s="4" t="s">
        <v>1700</v>
      </c>
      <c r="R303" s="34">
        <v>45</v>
      </c>
      <c r="S303" s="34">
        <v>483.75</v>
      </c>
      <c r="T303" s="58">
        <f>SUM(R303:S303)</f>
        <v>528.75</v>
      </c>
      <c r="U303" s="36">
        <v>46122</v>
      </c>
      <c r="V303" s="4"/>
      <c r="W303" s="4"/>
      <c r="X303" s="4"/>
    </row>
    <row r="304" spans="1:24" ht="15" thickBot="1">
      <c r="A304" s="4" t="s">
        <v>1163</v>
      </c>
      <c r="B304" s="4" t="s">
        <v>26</v>
      </c>
      <c r="C304" s="4">
        <v>682687160</v>
      </c>
      <c r="D304" s="4" t="s">
        <v>1164</v>
      </c>
      <c r="E304" s="4" t="s">
        <v>1165</v>
      </c>
      <c r="F304" s="31">
        <v>45941</v>
      </c>
      <c r="G304" s="4"/>
      <c r="H304" s="4" t="s">
        <v>1266</v>
      </c>
      <c r="I304" s="4" t="s">
        <v>1267</v>
      </c>
      <c r="J304" s="4" t="s">
        <v>756</v>
      </c>
      <c r="K304" s="4" t="s">
        <v>33</v>
      </c>
      <c r="L304" s="4" t="s">
        <v>351</v>
      </c>
      <c r="M304" s="4"/>
      <c r="N304" s="4" t="s">
        <v>499</v>
      </c>
      <c r="O304" s="4">
        <v>1</v>
      </c>
      <c r="P304" s="112"/>
      <c r="Q304" s="4"/>
      <c r="R304" s="34">
        <v>45</v>
      </c>
      <c r="S304" s="4"/>
      <c r="T304" s="58">
        <v>0</v>
      </c>
      <c r="U304" s="36"/>
      <c r="V304" s="4"/>
      <c r="W304" s="4"/>
      <c r="X304" s="4"/>
    </row>
    <row r="305" spans="1:24" ht="15" thickBot="1">
      <c r="A305" s="4" t="s">
        <v>25</v>
      </c>
      <c r="B305" s="4" t="s">
        <v>26</v>
      </c>
      <c r="C305" s="4">
        <v>682687160</v>
      </c>
      <c r="D305" s="4" t="s">
        <v>1164</v>
      </c>
      <c r="E305" s="4" t="s">
        <v>1268</v>
      </c>
      <c r="F305" s="31">
        <v>45941</v>
      </c>
      <c r="G305" s="4"/>
      <c r="H305" s="4" t="s">
        <v>1269</v>
      </c>
      <c r="I305" s="4" t="s">
        <v>1270</v>
      </c>
      <c r="J305" s="4" t="s">
        <v>160</v>
      </c>
      <c r="K305" s="4" t="s">
        <v>33</v>
      </c>
      <c r="L305" s="4" t="s">
        <v>173</v>
      </c>
      <c r="M305" s="4" t="s">
        <v>1271</v>
      </c>
      <c r="N305" s="4" t="s">
        <v>499</v>
      </c>
      <c r="O305" s="4">
        <v>1</v>
      </c>
      <c r="P305" s="112" t="s">
        <v>1272</v>
      </c>
      <c r="Q305" s="4"/>
      <c r="R305" s="34">
        <v>45</v>
      </c>
      <c r="S305" s="4"/>
      <c r="T305" s="58">
        <v>0</v>
      </c>
      <c r="U305" s="36"/>
      <c r="V305" s="4"/>
      <c r="W305" s="4"/>
      <c r="X305" s="4"/>
    </row>
    <row r="306" spans="1:24" ht="15" thickBot="1">
      <c r="A306" s="4" t="s">
        <v>25</v>
      </c>
      <c r="B306" s="4" t="s">
        <v>26</v>
      </c>
      <c r="C306" s="4">
        <v>682687160</v>
      </c>
      <c r="D306" s="4" t="s">
        <v>1164</v>
      </c>
      <c r="E306" s="4" t="s">
        <v>1268</v>
      </c>
      <c r="F306" s="31">
        <v>45941</v>
      </c>
      <c r="G306" s="4"/>
      <c r="H306" s="4" t="s">
        <v>1273</v>
      </c>
      <c r="I306" s="4" t="s">
        <v>1274</v>
      </c>
      <c r="J306" s="4" t="s">
        <v>160</v>
      </c>
      <c r="K306" s="4" t="s">
        <v>33</v>
      </c>
      <c r="L306" s="4" t="s">
        <v>1275</v>
      </c>
      <c r="M306" s="4" t="s">
        <v>3244</v>
      </c>
      <c r="N306" s="4" t="s">
        <v>36</v>
      </c>
      <c r="O306" s="4">
        <v>1</v>
      </c>
      <c r="P306" s="112"/>
      <c r="Q306" s="4" t="s">
        <v>3244</v>
      </c>
      <c r="R306" s="34">
        <v>45</v>
      </c>
      <c r="S306" s="34">
        <v>398.75</v>
      </c>
      <c r="T306" s="58">
        <f>SUM(R306:S306)</f>
        <v>443.75</v>
      </c>
      <c r="U306" s="126">
        <v>46085</v>
      </c>
      <c r="V306" s="4"/>
      <c r="W306" s="4"/>
      <c r="X306" s="4" t="s">
        <v>3258</v>
      </c>
    </row>
    <row r="307" spans="1:24" ht="15" thickBot="1">
      <c r="A307" s="4" t="s">
        <v>25</v>
      </c>
      <c r="B307" s="4" t="s">
        <v>26</v>
      </c>
      <c r="C307" s="4">
        <v>682687160</v>
      </c>
      <c r="D307" s="4" t="s">
        <v>1164</v>
      </c>
      <c r="E307" s="4" t="s">
        <v>1268</v>
      </c>
      <c r="F307" s="31">
        <v>45941</v>
      </c>
      <c r="G307" s="4"/>
      <c r="H307" s="4" t="s">
        <v>1276</v>
      </c>
      <c r="I307" s="4" t="s">
        <v>1277</v>
      </c>
      <c r="J307" s="4" t="s">
        <v>160</v>
      </c>
      <c r="K307" s="4" t="s">
        <v>33</v>
      </c>
      <c r="L307" s="4" t="s">
        <v>1278</v>
      </c>
      <c r="M307" s="4" t="s">
        <v>3830</v>
      </c>
      <c r="N307" s="4" t="s">
        <v>499</v>
      </c>
      <c r="O307" s="4">
        <v>1</v>
      </c>
      <c r="P307" s="112"/>
      <c r="Q307" s="4" t="s">
        <v>3831</v>
      </c>
      <c r="R307" s="34">
        <v>45</v>
      </c>
      <c r="S307" s="4"/>
      <c r="T307" s="58">
        <v>0</v>
      </c>
      <c r="U307" s="36"/>
      <c r="V307" s="4"/>
      <c r="W307" s="4"/>
      <c r="X307" s="4"/>
    </row>
    <row r="308" spans="1:24" ht="15" thickBot="1">
      <c r="A308" s="4" t="s">
        <v>25</v>
      </c>
      <c r="B308" s="4" t="s">
        <v>26</v>
      </c>
      <c r="C308" s="4">
        <v>682687160</v>
      </c>
      <c r="D308" s="4" t="s">
        <v>1164</v>
      </c>
      <c r="E308" s="4" t="s">
        <v>1268</v>
      </c>
      <c r="F308" s="31">
        <v>45941</v>
      </c>
      <c r="G308" s="4"/>
      <c r="H308" s="4" t="s">
        <v>1279</v>
      </c>
      <c r="I308" s="4" t="s">
        <v>1280</v>
      </c>
      <c r="J308" s="4" t="s">
        <v>160</v>
      </c>
      <c r="K308" s="4" t="s">
        <v>33</v>
      </c>
      <c r="L308" s="4" t="s">
        <v>323</v>
      </c>
      <c r="M308" s="4"/>
      <c r="N308" s="4" t="s">
        <v>36</v>
      </c>
      <c r="O308" s="4">
        <v>1</v>
      </c>
      <c r="P308" s="112"/>
      <c r="Q308" s="4" t="s">
        <v>1281</v>
      </c>
      <c r="R308" s="34">
        <v>45</v>
      </c>
      <c r="S308" s="34">
        <v>230</v>
      </c>
      <c r="T308" s="58">
        <f t="shared" ref="T308:T315" si="33">SUM(R308:S308)</f>
        <v>275</v>
      </c>
      <c r="U308" s="36">
        <v>45993</v>
      </c>
      <c r="V308" s="4"/>
      <c r="W308" s="4"/>
      <c r="X308" s="4"/>
    </row>
    <row r="309" spans="1:24" ht="15" thickBot="1">
      <c r="A309" s="4" t="s">
        <v>25</v>
      </c>
      <c r="B309" s="4" t="s">
        <v>26</v>
      </c>
      <c r="C309" s="4">
        <v>682687160</v>
      </c>
      <c r="D309" s="4" t="s">
        <v>1164</v>
      </c>
      <c r="E309" s="4" t="s">
        <v>1268</v>
      </c>
      <c r="F309" s="31">
        <v>45941</v>
      </c>
      <c r="G309" s="4"/>
      <c r="H309" s="4" t="s">
        <v>1282</v>
      </c>
      <c r="I309" s="4" t="s">
        <v>1283</v>
      </c>
      <c r="J309" s="4" t="s">
        <v>160</v>
      </c>
      <c r="K309" s="4" t="s">
        <v>33</v>
      </c>
      <c r="L309" s="4" t="s">
        <v>1284</v>
      </c>
      <c r="M309" s="4" t="s">
        <v>1285</v>
      </c>
      <c r="N309" s="4" t="s">
        <v>36</v>
      </c>
      <c r="O309" s="4">
        <v>1</v>
      </c>
      <c r="P309" s="112"/>
      <c r="Q309" s="31" t="s">
        <v>815</v>
      </c>
      <c r="R309" s="34">
        <v>45</v>
      </c>
      <c r="S309" s="34">
        <v>215</v>
      </c>
      <c r="T309" s="58">
        <f t="shared" si="33"/>
        <v>260</v>
      </c>
      <c r="U309" s="36">
        <v>45993</v>
      </c>
      <c r="V309" s="4"/>
      <c r="W309" s="4"/>
      <c r="X309" s="4"/>
    </row>
    <row r="310" spans="1:24" ht="15" thickBot="1">
      <c r="A310" s="4" t="s">
        <v>25</v>
      </c>
      <c r="B310" s="4" t="s">
        <v>26</v>
      </c>
      <c r="C310" s="4">
        <v>682687160</v>
      </c>
      <c r="D310" s="4" t="s">
        <v>1164</v>
      </c>
      <c r="E310" s="4" t="s">
        <v>1268</v>
      </c>
      <c r="F310" s="31">
        <v>45941</v>
      </c>
      <c r="G310" s="4"/>
      <c r="H310" s="4" t="s">
        <v>1286</v>
      </c>
      <c r="I310" s="4" t="s">
        <v>1287</v>
      </c>
      <c r="J310" s="4" t="s">
        <v>160</v>
      </c>
      <c r="K310" s="4" t="s">
        <v>33</v>
      </c>
      <c r="L310" s="4" t="s">
        <v>1288</v>
      </c>
      <c r="M310" s="4" t="s">
        <v>1289</v>
      </c>
      <c r="N310" s="4" t="s">
        <v>36</v>
      </c>
      <c r="O310" s="4">
        <v>1</v>
      </c>
      <c r="P310" s="112"/>
      <c r="Q310" s="31" t="s">
        <v>1290</v>
      </c>
      <c r="R310" s="34">
        <v>45</v>
      </c>
      <c r="S310" s="34">
        <v>326.75</v>
      </c>
      <c r="T310" s="58">
        <f t="shared" si="33"/>
        <v>371.75</v>
      </c>
      <c r="U310" s="36">
        <v>45993</v>
      </c>
      <c r="V310" s="4"/>
      <c r="W310" s="4"/>
      <c r="X310" s="4"/>
    </row>
    <row r="311" spans="1:24" ht="15" thickBot="1">
      <c r="A311" s="4" t="s">
        <v>25</v>
      </c>
      <c r="B311" s="4" t="s">
        <v>26</v>
      </c>
      <c r="C311" s="4">
        <v>682687160</v>
      </c>
      <c r="D311" s="4" t="s">
        <v>1164</v>
      </c>
      <c r="E311" s="4" t="s">
        <v>1268</v>
      </c>
      <c r="F311" s="31">
        <v>45941</v>
      </c>
      <c r="G311" s="4"/>
      <c r="H311" s="4" t="s">
        <v>1291</v>
      </c>
      <c r="I311" s="4" t="s">
        <v>1292</v>
      </c>
      <c r="J311" s="4" t="s">
        <v>160</v>
      </c>
      <c r="K311" s="4" t="s">
        <v>33</v>
      </c>
      <c r="L311" s="4" t="s">
        <v>1284</v>
      </c>
      <c r="M311" s="4" t="s">
        <v>457</v>
      </c>
      <c r="N311" s="4" t="s">
        <v>36</v>
      </c>
      <c r="O311" s="4">
        <v>1</v>
      </c>
      <c r="P311" s="112"/>
      <c r="Q311" s="4" t="s">
        <v>457</v>
      </c>
      <c r="R311" s="34">
        <v>45</v>
      </c>
      <c r="S311" s="34">
        <v>163.75</v>
      </c>
      <c r="T311" s="58">
        <f t="shared" si="33"/>
        <v>208.75</v>
      </c>
      <c r="U311" s="36">
        <v>46038</v>
      </c>
      <c r="V311" s="4"/>
      <c r="W311" s="4"/>
      <c r="X311" s="4"/>
    </row>
    <row r="312" spans="1:24" ht="15" thickBot="1">
      <c r="A312" s="4" t="s">
        <v>25</v>
      </c>
      <c r="B312" s="4" t="s">
        <v>26</v>
      </c>
      <c r="C312" s="4">
        <v>682687160</v>
      </c>
      <c r="D312" s="4" t="s">
        <v>1164</v>
      </c>
      <c r="E312" s="4" t="s">
        <v>1268</v>
      </c>
      <c r="F312" s="31">
        <v>45941</v>
      </c>
      <c r="G312" s="4"/>
      <c r="H312" s="4" t="s">
        <v>41</v>
      </c>
      <c r="I312" s="4" t="s">
        <v>42</v>
      </c>
      <c r="J312" s="4" t="s">
        <v>160</v>
      </c>
      <c r="K312" s="4" t="s">
        <v>33</v>
      </c>
      <c r="L312" s="4" t="s">
        <v>1293</v>
      </c>
      <c r="M312" s="4" t="s">
        <v>1294</v>
      </c>
      <c r="N312" s="4" t="s">
        <v>36</v>
      </c>
      <c r="O312" s="4">
        <v>1</v>
      </c>
      <c r="P312" s="112"/>
      <c r="Q312" s="4" t="s">
        <v>261</v>
      </c>
      <c r="R312" s="34">
        <v>45</v>
      </c>
      <c r="S312" s="34">
        <v>215</v>
      </c>
      <c r="T312" s="58">
        <f t="shared" si="33"/>
        <v>260</v>
      </c>
      <c r="U312" s="36">
        <v>46010</v>
      </c>
      <c r="V312" s="4"/>
      <c r="W312" s="122" t="s">
        <v>789</v>
      </c>
      <c r="X312" s="4" t="s">
        <v>251</v>
      </c>
    </row>
    <row r="313" spans="1:24" ht="15" thickBot="1">
      <c r="A313" s="4" t="s">
        <v>25</v>
      </c>
      <c r="B313" s="4" t="s">
        <v>26</v>
      </c>
      <c r="C313" s="4">
        <v>682687160</v>
      </c>
      <c r="D313" s="4" t="s">
        <v>1164</v>
      </c>
      <c r="E313" s="4" t="s">
        <v>1268</v>
      </c>
      <c r="F313" s="31">
        <v>45941</v>
      </c>
      <c r="G313" s="4"/>
      <c r="H313" s="4" t="s">
        <v>1295</v>
      </c>
      <c r="I313" s="4" t="s">
        <v>1296</v>
      </c>
      <c r="J313" s="4" t="s">
        <v>502</v>
      </c>
      <c r="K313" s="4" t="s">
        <v>1297</v>
      </c>
      <c r="L313" s="4" t="s">
        <v>1298</v>
      </c>
      <c r="M313" s="4" t="s">
        <v>1299</v>
      </c>
      <c r="N313" s="4" t="s">
        <v>36</v>
      </c>
      <c r="O313" s="4">
        <v>1</v>
      </c>
      <c r="P313" s="112"/>
      <c r="Q313" s="31" t="s">
        <v>815</v>
      </c>
      <c r="R313" s="34">
        <v>45</v>
      </c>
      <c r="S313" s="58">
        <v>215</v>
      </c>
      <c r="T313" s="58">
        <f t="shared" si="33"/>
        <v>260</v>
      </c>
      <c r="U313" s="36">
        <v>45993</v>
      </c>
      <c r="V313" s="4"/>
      <c r="W313" s="4"/>
      <c r="X313" s="4"/>
    </row>
    <row r="314" spans="1:24" ht="15" thickBot="1">
      <c r="A314" s="4" t="s">
        <v>25</v>
      </c>
      <c r="B314" s="4" t="s">
        <v>26</v>
      </c>
      <c r="C314" s="4">
        <v>682687160</v>
      </c>
      <c r="D314" s="4" t="s">
        <v>1164</v>
      </c>
      <c r="E314" s="4" t="s">
        <v>1268</v>
      </c>
      <c r="F314" s="31">
        <v>45941</v>
      </c>
      <c r="G314" s="4"/>
      <c r="H314" s="4" t="s">
        <v>1300</v>
      </c>
      <c r="I314" s="4" t="s">
        <v>1301</v>
      </c>
      <c r="J314" s="4" t="s">
        <v>379</v>
      </c>
      <c r="K314" s="4" t="s">
        <v>48</v>
      </c>
      <c r="L314" s="4" t="s">
        <v>1302</v>
      </c>
      <c r="M314" s="4"/>
      <c r="N314" s="4" t="s">
        <v>499</v>
      </c>
      <c r="O314" s="4">
        <v>1</v>
      </c>
      <c r="P314" s="112"/>
      <c r="Q314" s="4"/>
      <c r="R314" s="34">
        <v>45</v>
      </c>
      <c r="S314" s="4"/>
      <c r="T314" s="58">
        <v>0</v>
      </c>
      <c r="U314" s="36"/>
      <c r="V314" s="4"/>
      <c r="W314" s="4"/>
      <c r="X314" s="4"/>
    </row>
    <row r="315" spans="1:24" ht="15" thickBot="1">
      <c r="A315" s="4" t="s">
        <v>25</v>
      </c>
      <c r="B315" s="4" t="s">
        <v>26</v>
      </c>
      <c r="C315" s="4">
        <v>682687160</v>
      </c>
      <c r="D315" s="4" t="s">
        <v>1164</v>
      </c>
      <c r="E315" s="4" t="s">
        <v>1268</v>
      </c>
      <c r="F315" s="31">
        <v>45941</v>
      </c>
      <c r="G315" s="4"/>
      <c r="H315" s="4" t="s">
        <v>1303</v>
      </c>
      <c r="I315" s="4" t="s">
        <v>1304</v>
      </c>
      <c r="J315" s="4" t="s">
        <v>379</v>
      </c>
      <c r="K315" s="4" t="s">
        <v>3233</v>
      </c>
      <c r="L315" s="4" t="s">
        <v>1305</v>
      </c>
      <c r="M315" s="4"/>
      <c r="N315" s="4" t="s">
        <v>36</v>
      </c>
      <c r="O315" s="4">
        <v>1</v>
      </c>
      <c r="P315" s="112"/>
      <c r="Q315" s="4" t="s">
        <v>1306</v>
      </c>
      <c r="R315" s="34">
        <v>45</v>
      </c>
      <c r="S315" s="58">
        <v>0</v>
      </c>
      <c r="T315" s="58">
        <f t="shared" si="33"/>
        <v>45</v>
      </c>
      <c r="U315" s="126">
        <v>46072</v>
      </c>
      <c r="V315" s="4"/>
      <c r="W315" s="4"/>
      <c r="X315" s="4"/>
    </row>
    <row r="316" spans="1:24" ht="15" thickBot="1">
      <c r="A316" s="4" t="s">
        <v>25</v>
      </c>
      <c r="B316" s="4" t="s">
        <v>26</v>
      </c>
      <c r="C316" s="4">
        <v>682687160</v>
      </c>
      <c r="D316" s="4" t="s">
        <v>1164</v>
      </c>
      <c r="E316" s="4" t="s">
        <v>1268</v>
      </c>
      <c r="F316" s="31">
        <v>45941</v>
      </c>
      <c r="G316" s="4"/>
      <c r="H316" s="4" t="s">
        <v>581</v>
      </c>
      <c r="I316" s="4" t="s">
        <v>582</v>
      </c>
      <c r="J316" s="4" t="s">
        <v>485</v>
      </c>
      <c r="K316" s="4" t="s">
        <v>48</v>
      </c>
      <c r="L316" s="4" t="s">
        <v>1307</v>
      </c>
      <c r="M316" s="4"/>
      <c r="N316" s="4" t="s">
        <v>499</v>
      </c>
      <c r="O316" s="4">
        <v>1</v>
      </c>
      <c r="P316" s="112"/>
      <c r="Q316" s="4"/>
      <c r="R316" s="34">
        <v>45</v>
      </c>
      <c r="S316" s="4"/>
      <c r="T316" s="58">
        <v>0</v>
      </c>
      <c r="U316" s="36"/>
      <c r="V316" s="4"/>
      <c r="W316" s="122" t="s">
        <v>789</v>
      </c>
      <c r="X316" s="4"/>
    </row>
    <row r="317" spans="1:24" ht="15" thickBot="1">
      <c r="A317" s="4" t="s">
        <v>25</v>
      </c>
      <c r="B317" s="4" t="s">
        <v>26</v>
      </c>
      <c r="C317" s="4">
        <v>682687160</v>
      </c>
      <c r="D317" s="4" t="s">
        <v>1164</v>
      </c>
      <c r="E317" s="4" t="s">
        <v>1268</v>
      </c>
      <c r="F317" s="31">
        <v>45941</v>
      </c>
      <c r="G317" s="4"/>
      <c r="H317" s="4" t="s">
        <v>30</v>
      </c>
      <c r="I317" s="4" t="s">
        <v>31</v>
      </c>
      <c r="J317" s="4" t="s">
        <v>160</v>
      </c>
      <c r="K317" s="4" t="s">
        <v>33</v>
      </c>
      <c r="L317" s="4" t="s">
        <v>1308</v>
      </c>
      <c r="M317" s="4"/>
      <c r="N317" s="4" t="s">
        <v>36</v>
      </c>
      <c r="O317" s="4">
        <v>1</v>
      </c>
      <c r="P317" s="112" t="s">
        <v>792</v>
      </c>
      <c r="Q317" s="4" t="s">
        <v>66</v>
      </c>
      <c r="R317" s="34">
        <v>45</v>
      </c>
      <c r="S317" s="58">
        <v>120</v>
      </c>
      <c r="T317" s="58">
        <f>SUM(R317:S317)</f>
        <v>165</v>
      </c>
      <c r="U317" s="36">
        <v>45993</v>
      </c>
      <c r="V317" s="4"/>
      <c r="W317" s="122" t="s">
        <v>789</v>
      </c>
      <c r="X317" s="4"/>
    </row>
    <row r="318" spans="1:24" ht="15" thickBot="1">
      <c r="A318" s="4" t="s">
        <v>25</v>
      </c>
      <c r="B318" s="4" t="s">
        <v>26</v>
      </c>
      <c r="C318" s="4">
        <v>682687160</v>
      </c>
      <c r="D318" s="4" t="s">
        <v>1164</v>
      </c>
      <c r="E318" s="4" t="s">
        <v>1268</v>
      </c>
      <c r="F318" s="31">
        <v>45941</v>
      </c>
      <c r="G318" s="4"/>
      <c r="H318" s="4" t="s">
        <v>1309</v>
      </c>
      <c r="I318" s="4" t="s">
        <v>1309</v>
      </c>
      <c r="J318" s="4" t="s">
        <v>160</v>
      </c>
      <c r="K318" s="4" t="s">
        <v>33</v>
      </c>
      <c r="L318" s="4" t="s">
        <v>1310</v>
      </c>
      <c r="M318" s="4" t="s">
        <v>1311</v>
      </c>
      <c r="N318" s="4" t="s">
        <v>499</v>
      </c>
      <c r="O318" s="4">
        <v>1</v>
      </c>
      <c r="P318" s="112"/>
      <c r="Q318" s="4" t="s">
        <v>457</v>
      </c>
      <c r="R318" s="34">
        <v>45</v>
      </c>
      <c r="S318" s="34">
        <v>163.75</v>
      </c>
      <c r="T318" s="58">
        <f>SUM(R318:S318)</f>
        <v>208.75</v>
      </c>
      <c r="U318" s="36"/>
      <c r="V318" s="4"/>
      <c r="W318" s="4"/>
      <c r="X318" s="4" t="s">
        <v>262</v>
      </c>
    </row>
    <row r="319" spans="1:24" ht="15" thickBot="1">
      <c r="A319" s="4" t="s">
        <v>25</v>
      </c>
      <c r="B319" s="4" t="s">
        <v>26</v>
      </c>
      <c r="C319" s="4">
        <v>682687160</v>
      </c>
      <c r="D319" s="4" t="s">
        <v>1164</v>
      </c>
      <c r="E319" s="4" t="s">
        <v>1268</v>
      </c>
      <c r="F319" s="31">
        <v>45941</v>
      </c>
      <c r="G319" s="4"/>
      <c r="H319" s="4" t="s">
        <v>1312</v>
      </c>
      <c r="I319" s="4" t="s">
        <v>1313</v>
      </c>
      <c r="J319" s="4" t="s">
        <v>160</v>
      </c>
      <c r="K319" s="4" t="s">
        <v>33</v>
      </c>
      <c r="L319" s="4" t="s">
        <v>1314</v>
      </c>
      <c r="M319" s="4" t="s">
        <v>1315</v>
      </c>
      <c r="N319" s="4" t="s">
        <v>36</v>
      </c>
      <c r="O319" s="4">
        <v>1</v>
      </c>
      <c r="P319" s="112"/>
      <c r="Q319" s="4" t="s">
        <v>1316</v>
      </c>
      <c r="R319" s="34">
        <v>45</v>
      </c>
      <c r="S319" s="34">
        <v>378.75</v>
      </c>
      <c r="T319" s="58">
        <f>SUM(R319:S319)</f>
        <v>423.75</v>
      </c>
      <c r="U319" s="36">
        <v>46038</v>
      </c>
      <c r="V319" s="4"/>
      <c r="W319" s="4"/>
      <c r="X319" s="4" t="s">
        <v>1317</v>
      </c>
    </row>
    <row r="320" spans="1:24" ht="15" thickBot="1">
      <c r="A320" s="4" t="s">
        <v>25</v>
      </c>
      <c r="B320" s="4" t="s">
        <v>26</v>
      </c>
      <c r="C320" s="4">
        <v>682687160</v>
      </c>
      <c r="D320" s="4" t="s">
        <v>1164</v>
      </c>
      <c r="E320" s="4" t="s">
        <v>1268</v>
      </c>
      <c r="F320" s="31">
        <v>45941</v>
      </c>
      <c r="G320" s="4"/>
      <c r="H320" s="4" t="s">
        <v>1318</v>
      </c>
      <c r="I320" s="4" t="s">
        <v>1319</v>
      </c>
      <c r="J320" s="4" t="s">
        <v>201</v>
      </c>
      <c r="K320" s="4" t="s">
        <v>48</v>
      </c>
      <c r="L320" s="4" t="s">
        <v>1320</v>
      </c>
      <c r="M320" s="4"/>
      <c r="N320" s="4" t="s">
        <v>36</v>
      </c>
      <c r="O320" s="4">
        <v>1</v>
      </c>
      <c r="P320" s="112"/>
      <c r="Q320" s="4" t="s">
        <v>3685</v>
      </c>
      <c r="R320" s="34">
        <v>45</v>
      </c>
      <c r="S320" s="58">
        <v>0</v>
      </c>
      <c r="T320" s="58">
        <f>SUM(R320:S320)</f>
        <v>45</v>
      </c>
      <c r="U320" s="36">
        <v>46122</v>
      </c>
      <c r="V320" s="4"/>
      <c r="W320" s="4"/>
      <c r="X320" s="4"/>
    </row>
    <row r="321" spans="1:24" ht="15" thickBot="1">
      <c r="A321" s="4" t="s">
        <v>25</v>
      </c>
      <c r="B321" s="4" t="s">
        <v>26</v>
      </c>
      <c r="C321" s="4">
        <v>682687160</v>
      </c>
      <c r="D321" s="4" t="s">
        <v>1164</v>
      </c>
      <c r="E321" s="4" t="s">
        <v>1268</v>
      </c>
      <c r="F321" s="31">
        <v>45941</v>
      </c>
      <c r="G321" s="4"/>
      <c r="H321" s="4" t="s">
        <v>1321</v>
      </c>
      <c r="I321" s="4" t="s">
        <v>1322</v>
      </c>
      <c r="J321" s="4" t="s">
        <v>160</v>
      </c>
      <c r="K321" s="4" t="s">
        <v>33</v>
      </c>
      <c r="L321" s="4" t="s">
        <v>1323</v>
      </c>
      <c r="M321" s="4"/>
      <c r="N321" s="4" t="s">
        <v>499</v>
      </c>
      <c r="O321" s="4">
        <v>1</v>
      </c>
      <c r="P321" s="112"/>
      <c r="Q321" s="4"/>
      <c r="R321" s="34">
        <v>45</v>
      </c>
      <c r="S321" s="4"/>
      <c r="T321" s="58">
        <v>0</v>
      </c>
      <c r="U321" s="36"/>
      <c r="V321" s="4"/>
      <c r="W321" s="4"/>
      <c r="X321" s="4"/>
    </row>
    <row r="322" spans="1:24" ht="15" thickBot="1">
      <c r="A322" s="4" t="s">
        <v>25</v>
      </c>
      <c r="B322" s="4" t="s">
        <v>26</v>
      </c>
      <c r="C322" s="4">
        <v>682687160</v>
      </c>
      <c r="D322" s="4" t="s">
        <v>1164</v>
      </c>
      <c r="E322" s="4" t="s">
        <v>1268</v>
      </c>
      <c r="F322" s="31">
        <v>45941</v>
      </c>
      <c r="G322" s="4"/>
      <c r="H322" s="4" t="s">
        <v>1324</v>
      </c>
      <c r="I322" s="4" t="s">
        <v>1325</v>
      </c>
      <c r="J322" s="4" t="s">
        <v>160</v>
      </c>
      <c r="K322" s="4" t="s">
        <v>33</v>
      </c>
      <c r="L322" s="4" t="s">
        <v>1326</v>
      </c>
      <c r="M322" s="4" t="s">
        <v>251</v>
      </c>
      <c r="N322" s="4" t="s">
        <v>36</v>
      </c>
      <c r="O322" s="4">
        <v>1</v>
      </c>
      <c r="P322" s="112"/>
      <c r="Q322" s="4" t="s">
        <v>251</v>
      </c>
      <c r="R322" s="34">
        <v>45</v>
      </c>
      <c r="S322" s="34">
        <v>215</v>
      </c>
      <c r="T322" s="58">
        <f>SUM(R322:S322)</f>
        <v>260</v>
      </c>
      <c r="U322" s="36">
        <v>46122</v>
      </c>
      <c r="V322" s="4"/>
      <c r="W322" s="4"/>
      <c r="X322" s="4" t="s">
        <v>3714</v>
      </c>
    </row>
    <row r="323" spans="1:24" ht="15" thickBot="1">
      <c r="A323" s="4" t="s">
        <v>25</v>
      </c>
      <c r="B323" s="4" t="s">
        <v>26</v>
      </c>
      <c r="C323" s="4">
        <v>682687160</v>
      </c>
      <c r="D323" s="4" t="s">
        <v>1164</v>
      </c>
      <c r="E323" s="4" t="s">
        <v>1268</v>
      </c>
      <c r="F323" s="31">
        <v>45941</v>
      </c>
      <c r="G323" s="4"/>
      <c r="H323" s="4" t="s">
        <v>1327</v>
      </c>
      <c r="I323" s="4" t="s">
        <v>1328</v>
      </c>
      <c r="J323" s="4" t="s">
        <v>379</v>
      </c>
      <c r="K323" s="4" t="s">
        <v>48</v>
      </c>
      <c r="L323" s="4" t="s">
        <v>1329</v>
      </c>
      <c r="M323" s="4"/>
      <c r="N323" s="4" t="s">
        <v>499</v>
      </c>
      <c r="O323" s="4">
        <v>1</v>
      </c>
      <c r="P323" s="112"/>
      <c r="Q323" s="4"/>
      <c r="R323" s="34">
        <v>45</v>
      </c>
      <c r="S323" s="4"/>
      <c r="T323" s="58">
        <v>0</v>
      </c>
      <c r="U323" s="36"/>
      <c r="V323" s="4"/>
      <c r="W323" s="4"/>
      <c r="X323" s="4"/>
    </row>
    <row r="324" spans="1:24" ht="15" thickBot="1">
      <c r="A324" s="4" t="s">
        <v>25</v>
      </c>
      <c r="B324" s="4" t="s">
        <v>26</v>
      </c>
      <c r="C324" s="4">
        <v>682687160</v>
      </c>
      <c r="D324" s="4" t="s">
        <v>1164</v>
      </c>
      <c r="E324" s="4" t="s">
        <v>1268</v>
      </c>
      <c r="F324" s="31">
        <v>45941</v>
      </c>
      <c r="G324" s="4"/>
      <c r="H324" s="4" t="s">
        <v>1330</v>
      </c>
      <c r="I324" s="4" t="s">
        <v>1331</v>
      </c>
      <c r="J324" s="4" t="s">
        <v>201</v>
      </c>
      <c r="K324" s="4" t="s">
        <v>48</v>
      </c>
      <c r="L324" s="4" t="s">
        <v>1320</v>
      </c>
      <c r="M324" s="4" t="s">
        <v>3673</v>
      </c>
      <c r="N324" s="4" t="s">
        <v>36</v>
      </c>
      <c r="O324" s="4">
        <v>1</v>
      </c>
      <c r="P324" s="112"/>
      <c r="Q324" s="4" t="s">
        <v>3673</v>
      </c>
      <c r="R324" s="34">
        <v>45</v>
      </c>
      <c r="S324" s="34">
        <v>0</v>
      </c>
      <c r="T324" s="58">
        <f>SUM(R324:S324)</f>
        <v>45</v>
      </c>
      <c r="U324" s="36">
        <v>46122</v>
      </c>
      <c r="V324" s="4"/>
      <c r="W324" s="4"/>
      <c r="X324" s="4"/>
    </row>
    <row r="325" spans="1:24" ht="15" thickBot="1">
      <c r="A325" s="4" t="s">
        <v>25</v>
      </c>
      <c r="B325" s="4" t="s">
        <v>26</v>
      </c>
      <c r="C325" s="4">
        <v>682687160</v>
      </c>
      <c r="D325" s="4" t="s">
        <v>1164</v>
      </c>
      <c r="E325" s="4" t="s">
        <v>1268</v>
      </c>
      <c r="F325" s="31">
        <v>45941</v>
      </c>
      <c r="G325" s="4"/>
      <c r="H325" s="4" t="s">
        <v>1332</v>
      </c>
      <c r="I325" s="4" t="s">
        <v>1333</v>
      </c>
      <c r="J325" s="4" t="s">
        <v>379</v>
      </c>
      <c r="K325" s="4" t="s">
        <v>48</v>
      </c>
      <c r="L325" s="4" t="s">
        <v>1334</v>
      </c>
      <c r="M325" s="4"/>
      <c r="N325" s="4" t="s">
        <v>499</v>
      </c>
      <c r="O325" s="4">
        <v>1</v>
      </c>
      <c r="P325" s="112"/>
      <c r="Q325" s="4"/>
      <c r="R325" s="34">
        <v>45</v>
      </c>
      <c r="S325" s="4"/>
      <c r="T325" s="58">
        <v>0</v>
      </c>
      <c r="U325" s="36"/>
      <c r="V325" s="4"/>
      <c r="W325" s="4"/>
      <c r="X325" s="4"/>
    </row>
    <row r="326" spans="1:24" ht="15" thickBot="1">
      <c r="A326" s="4" t="s">
        <v>25</v>
      </c>
      <c r="B326" s="4" t="s">
        <v>26</v>
      </c>
      <c r="C326" s="4">
        <v>682687160</v>
      </c>
      <c r="D326" s="4" t="s">
        <v>1164</v>
      </c>
      <c r="E326" s="4" t="s">
        <v>1268</v>
      </c>
      <c r="F326" s="31">
        <v>45941</v>
      </c>
      <c r="G326" s="4"/>
      <c r="H326" s="4" t="s">
        <v>1335</v>
      </c>
      <c r="I326" s="4" t="s">
        <v>1336</v>
      </c>
      <c r="J326" s="4" t="s">
        <v>160</v>
      </c>
      <c r="K326" s="4" t="s">
        <v>33</v>
      </c>
      <c r="L326" s="4" t="s">
        <v>1337</v>
      </c>
      <c r="M326" s="4" t="s">
        <v>55</v>
      </c>
      <c r="N326" s="4" t="s">
        <v>36</v>
      </c>
      <c r="O326" s="4">
        <v>1</v>
      </c>
      <c r="P326" s="112"/>
      <c r="Q326" s="4" t="s">
        <v>457</v>
      </c>
      <c r="R326" s="34">
        <v>45</v>
      </c>
      <c r="S326" s="58">
        <v>163.75</v>
      </c>
      <c r="T326" s="58">
        <f t="shared" ref="T326:T331" si="34">SUM(R326:S326)</f>
        <v>208.75</v>
      </c>
      <c r="U326" s="36">
        <v>45993</v>
      </c>
      <c r="V326" s="4"/>
      <c r="W326" s="122" t="s">
        <v>789</v>
      </c>
      <c r="X326" s="4"/>
    </row>
    <row r="327" spans="1:24" ht="15" thickBot="1">
      <c r="A327" s="4" t="s">
        <v>25</v>
      </c>
      <c r="B327" s="4" t="s">
        <v>26</v>
      </c>
      <c r="C327" s="4">
        <v>682687160</v>
      </c>
      <c r="D327" s="4" t="s">
        <v>1164</v>
      </c>
      <c r="E327" s="4" t="s">
        <v>1268</v>
      </c>
      <c r="F327" s="31">
        <v>45941</v>
      </c>
      <c r="G327" s="4"/>
      <c r="H327" s="4"/>
      <c r="I327" s="4" t="s">
        <v>1338</v>
      </c>
      <c r="J327" s="4" t="s">
        <v>160</v>
      </c>
      <c r="K327" s="4" t="s">
        <v>33</v>
      </c>
      <c r="L327" s="4" t="s">
        <v>1298</v>
      </c>
      <c r="M327" s="4" t="s">
        <v>55</v>
      </c>
      <c r="N327" s="4" t="s">
        <v>36</v>
      </c>
      <c r="O327" s="4">
        <v>1</v>
      </c>
      <c r="P327" s="112"/>
      <c r="Q327" s="4" t="s">
        <v>457</v>
      </c>
      <c r="R327" s="34">
        <v>45</v>
      </c>
      <c r="S327" s="58">
        <v>163.75</v>
      </c>
      <c r="T327" s="58">
        <f t="shared" si="34"/>
        <v>208.75</v>
      </c>
      <c r="U327" s="36">
        <v>46038</v>
      </c>
      <c r="V327" s="4"/>
      <c r="W327" s="4"/>
      <c r="X327" s="4"/>
    </row>
    <row r="328" spans="1:24" ht="15" thickBot="1">
      <c r="A328" s="4" t="s">
        <v>25</v>
      </c>
      <c r="B328" s="4" t="s">
        <v>26</v>
      </c>
      <c r="C328" s="4" t="s">
        <v>27</v>
      </c>
      <c r="D328" s="4" t="s">
        <v>28</v>
      </c>
      <c r="E328" s="4" t="s">
        <v>29</v>
      </c>
      <c r="F328" s="31">
        <v>45966</v>
      </c>
      <c r="G328" s="4"/>
      <c r="H328" s="4" t="s">
        <v>674</v>
      </c>
      <c r="I328" s="4" t="s">
        <v>675</v>
      </c>
      <c r="J328" s="4" t="s">
        <v>216</v>
      </c>
      <c r="K328" s="4" t="s">
        <v>33</v>
      </c>
      <c r="L328" s="4" t="s">
        <v>1339</v>
      </c>
      <c r="M328" s="4" t="s">
        <v>1340</v>
      </c>
      <c r="N328" s="4" t="s">
        <v>36</v>
      </c>
      <c r="O328" s="4">
        <v>1</v>
      </c>
      <c r="P328" s="112"/>
      <c r="Q328" s="4" t="s">
        <v>252</v>
      </c>
      <c r="R328" s="34">
        <v>45</v>
      </c>
      <c r="S328" s="34">
        <v>215</v>
      </c>
      <c r="T328" s="58">
        <f t="shared" si="34"/>
        <v>260</v>
      </c>
      <c r="U328" s="126">
        <v>46085</v>
      </c>
      <c r="V328" s="4"/>
      <c r="W328" s="122" t="s">
        <v>789</v>
      </c>
      <c r="X328" s="4" t="s">
        <v>3264</v>
      </c>
    </row>
    <row r="329" spans="1:24" ht="15" thickBot="1">
      <c r="A329" s="4" t="s">
        <v>25</v>
      </c>
      <c r="B329" s="4" t="s">
        <v>26</v>
      </c>
      <c r="C329" s="4" t="s">
        <v>27</v>
      </c>
      <c r="D329" s="4" t="s">
        <v>28</v>
      </c>
      <c r="E329" s="4" t="s">
        <v>29</v>
      </c>
      <c r="F329" s="31">
        <v>45966</v>
      </c>
      <c r="G329" s="4"/>
      <c r="H329" s="4" t="s">
        <v>1341</v>
      </c>
      <c r="I329" s="4" t="s">
        <v>1342</v>
      </c>
      <c r="J329" s="4" t="s">
        <v>382</v>
      </c>
      <c r="K329" s="4" t="s">
        <v>33</v>
      </c>
      <c r="L329" s="4" t="s">
        <v>1343</v>
      </c>
      <c r="M329" s="4" t="s">
        <v>1344</v>
      </c>
      <c r="N329" s="4" t="s">
        <v>36</v>
      </c>
      <c r="O329" s="4">
        <v>1</v>
      </c>
      <c r="P329" s="112"/>
      <c r="Q329" s="4" t="s">
        <v>252</v>
      </c>
      <c r="R329" s="34">
        <v>45</v>
      </c>
      <c r="S329" s="58">
        <v>215</v>
      </c>
      <c r="T329" s="58">
        <f t="shared" si="34"/>
        <v>260</v>
      </c>
      <c r="U329" s="36">
        <v>46038</v>
      </c>
      <c r="V329" s="4"/>
      <c r="W329" s="4"/>
      <c r="X329" s="4"/>
    </row>
    <row r="330" spans="1:24" ht="15" thickBot="1">
      <c r="A330" s="4" t="s">
        <v>25</v>
      </c>
      <c r="B330" s="4" t="s">
        <v>26</v>
      </c>
      <c r="C330" s="4" t="s">
        <v>27</v>
      </c>
      <c r="D330" s="4" t="s">
        <v>28</v>
      </c>
      <c r="E330" s="4" t="s">
        <v>29</v>
      </c>
      <c r="F330" s="31">
        <v>45966</v>
      </c>
      <c r="G330" s="4"/>
      <c r="H330" s="4" t="s">
        <v>479</v>
      </c>
      <c r="I330" s="4" t="s">
        <v>480</v>
      </c>
      <c r="J330" s="4" t="s">
        <v>382</v>
      </c>
      <c r="K330" s="4" t="s">
        <v>33</v>
      </c>
      <c r="L330" s="4" t="s">
        <v>1345</v>
      </c>
      <c r="M330" s="4"/>
      <c r="N330" s="4" t="s">
        <v>36</v>
      </c>
      <c r="O330" s="4">
        <v>1</v>
      </c>
      <c r="P330" s="112"/>
      <c r="Q330" s="4" t="s">
        <v>261</v>
      </c>
      <c r="R330" s="34">
        <v>45</v>
      </c>
      <c r="S330" s="34">
        <v>215</v>
      </c>
      <c r="T330" s="58">
        <f t="shared" si="34"/>
        <v>260</v>
      </c>
      <c r="U330" s="36">
        <v>46010</v>
      </c>
      <c r="V330" s="4"/>
      <c r="W330" s="122" t="s">
        <v>789</v>
      </c>
      <c r="X330" s="4" t="s">
        <v>251</v>
      </c>
    </row>
    <row r="331" spans="1:24" ht="15" thickBot="1">
      <c r="A331" s="4" t="s">
        <v>25</v>
      </c>
      <c r="B331" s="4" t="s">
        <v>26</v>
      </c>
      <c r="C331" s="4" t="s">
        <v>27</v>
      </c>
      <c r="D331" s="4" t="s">
        <v>28</v>
      </c>
      <c r="E331" s="4" t="s">
        <v>29</v>
      </c>
      <c r="F331" s="31">
        <v>45966</v>
      </c>
      <c r="G331" s="4"/>
      <c r="H331" s="4" t="s">
        <v>1346</v>
      </c>
      <c r="I331" s="4" t="s">
        <v>1347</v>
      </c>
      <c r="J331" s="4" t="s">
        <v>345</v>
      </c>
      <c r="K331" s="4" t="s">
        <v>48</v>
      </c>
      <c r="L331" s="4" t="s">
        <v>1348</v>
      </c>
      <c r="M331" s="4" t="s">
        <v>1349</v>
      </c>
      <c r="N331" s="4" t="s">
        <v>36</v>
      </c>
      <c r="O331" s="4">
        <v>1</v>
      </c>
      <c r="P331" s="112" t="s">
        <v>1350</v>
      </c>
      <c r="Q331" s="4" t="s">
        <v>457</v>
      </c>
      <c r="R331" s="34">
        <v>45</v>
      </c>
      <c r="S331" s="58">
        <v>163.75</v>
      </c>
      <c r="T331" s="58">
        <f t="shared" si="34"/>
        <v>208.75</v>
      </c>
      <c r="U331" s="36">
        <v>45993</v>
      </c>
      <c r="V331" s="4"/>
      <c r="W331" s="4"/>
      <c r="X331" s="4"/>
    </row>
    <row r="332" spans="1:24" ht="15" thickBot="1">
      <c r="A332" s="4" t="s">
        <v>25</v>
      </c>
      <c r="B332" s="4" t="s">
        <v>26</v>
      </c>
      <c r="C332" s="4" t="s">
        <v>27</v>
      </c>
      <c r="D332" s="4" t="s">
        <v>28</v>
      </c>
      <c r="E332" s="4" t="s">
        <v>29</v>
      </c>
      <c r="F332" s="31">
        <v>45966</v>
      </c>
      <c r="G332" s="4"/>
      <c r="H332" s="4" t="s">
        <v>1351</v>
      </c>
      <c r="I332" s="4" t="s">
        <v>1352</v>
      </c>
      <c r="J332" s="4" t="s">
        <v>160</v>
      </c>
      <c r="K332" s="4" t="s">
        <v>3232</v>
      </c>
      <c r="L332" s="4" t="s">
        <v>1288</v>
      </c>
      <c r="M332" s="4" t="s">
        <v>1353</v>
      </c>
      <c r="N332" s="4" t="s">
        <v>36</v>
      </c>
      <c r="O332" s="4">
        <v>1</v>
      </c>
      <c r="P332" s="112"/>
      <c r="Q332" s="4" t="s">
        <v>1354</v>
      </c>
      <c r="R332" s="34">
        <v>45</v>
      </c>
      <c r="S332" s="58">
        <v>335</v>
      </c>
      <c r="T332" s="58">
        <f t="shared" ref="T332" si="35">SUM(R332:S332)</f>
        <v>380</v>
      </c>
      <c r="U332" s="126">
        <v>46072</v>
      </c>
      <c r="V332" s="4"/>
      <c r="W332" s="4"/>
      <c r="X332" s="4" t="s">
        <v>927</v>
      </c>
    </row>
    <row r="333" spans="1:24" ht="15" thickBot="1">
      <c r="A333" s="4" t="s">
        <v>25</v>
      </c>
      <c r="B333" s="4" t="s">
        <v>26</v>
      </c>
      <c r="C333" s="4" t="s">
        <v>27</v>
      </c>
      <c r="D333" s="4" t="s">
        <v>28</v>
      </c>
      <c r="E333" s="4" t="s">
        <v>29</v>
      </c>
      <c r="F333" s="31">
        <v>45966</v>
      </c>
      <c r="G333" s="4"/>
      <c r="H333" s="4" t="s">
        <v>703</v>
      </c>
      <c r="I333" s="4" t="s">
        <v>704</v>
      </c>
      <c r="J333" s="4" t="s">
        <v>201</v>
      </c>
      <c r="K333" s="4" t="s">
        <v>48</v>
      </c>
      <c r="L333" s="4" t="s">
        <v>1343</v>
      </c>
      <c r="M333" s="4" t="s">
        <v>1344</v>
      </c>
      <c r="N333" s="4" t="s">
        <v>36</v>
      </c>
      <c r="O333" s="4">
        <v>1</v>
      </c>
      <c r="P333" s="112"/>
      <c r="Q333" s="4" t="s">
        <v>117</v>
      </c>
      <c r="R333" s="34">
        <v>45</v>
      </c>
      <c r="S333" s="58">
        <v>215</v>
      </c>
      <c r="T333" s="58">
        <f>SUM(R333:S333)</f>
        <v>260</v>
      </c>
      <c r="U333" s="36">
        <v>46038</v>
      </c>
      <c r="V333" s="4"/>
      <c r="W333" s="122" t="s">
        <v>789</v>
      </c>
      <c r="X333" s="4"/>
    </row>
    <row r="334" spans="1:24" ht="15" thickBot="1">
      <c r="A334" s="4" t="s">
        <v>25</v>
      </c>
      <c r="B334" s="4" t="s">
        <v>26</v>
      </c>
      <c r="C334" s="4" t="s">
        <v>27</v>
      </c>
      <c r="D334" s="4" t="s">
        <v>28</v>
      </c>
      <c r="E334" s="4" t="s">
        <v>29</v>
      </c>
      <c r="F334" s="31">
        <v>45966</v>
      </c>
      <c r="G334" s="4"/>
      <c r="H334" s="4" t="s">
        <v>1355</v>
      </c>
      <c r="I334" s="4" t="s">
        <v>1356</v>
      </c>
      <c r="J334" s="4" t="s">
        <v>160</v>
      </c>
      <c r="K334" s="4" t="s">
        <v>33</v>
      </c>
      <c r="L334" s="4" t="s">
        <v>1348</v>
      </c>
      <c r="M334" s="4"/>
      <c r="N334" s="4" t="s">
        <v>36</v>
      </c>
      <c r="O334" s="4">
        <v>1</v>
      </c>
      <c r="P334" s="112"/>
      <c r="Q334" s="4" t="s">
        <v>457</v>
      </c>
      <c r="R334" s="34">
        <v>45</v>
      </c>
      <c r="S334" s="58">
        <v>163.75</v>
      </c>
      <c r="T334" s="58">
        <f>SUM(R334:S334)</f>
        <v>208.75</v>
      </c>
      <c r="U334" s="36">
        <v>46122</v>
      </c>
      <c r="V334" s="4"/>
      <c r="W334" s="4"/>
      <c r="X334" s="4"/>
    </row>
    <row r="335" spans="1:24" ht="15" thickBot="1">
      <c r="A335" s="4" t="s">
        <v>25</v>
      </c>
      <c r="B335" s="4" t="s">
        <v>26</v>
      </c>
      <c r="C335" s="4" t="s">
        <v>27</v>
      </c>
      <c r="D335" s="4" t="s">
        <v>28</v>
      </c>
      <c r="E335" s="4" t="s">
        <v>29</v>
      </c>
      <c r="F335" s="31">
        <v>45966</v>
      </c>
      <c r="G335" s="4"/>
      <c r="H335" s="4" t="s">
        <v>523</v>
      </c>
      <c r="I335" s="4" t="s">
        <v>524</v>
      </c>
      <c r="J335" s="4" t="s">
        <v>382</v>
      </c>
      <c r="K335" s="4" t="s">
        <v>3232</v>
      </c>
      <c r="L335" s="4" t="s">
        <v>1357</v>
      </c>
      <c r="M335" s="4" t="s">
        <v>1358</v>
      </c>
      <c r="N335" s="4" t="s">
        <v>36</v>
      </c>
      <c r="O335" s="4">
        <v>1</v>
      </c>
      <c r="P335" s="112"/>
      <c r="Q335" s="4" t="s">
        <v>1358</v>
      </c>
      <c r="R335" s="34">
        <v>45</v>
      </c>
      <c r="S335" s="58">
        <v>603.75</v>
      </c>
      <c r="T335" s="58">
        <f t="shared" ref="T335" si="36">SUM(R335:S335)</f>
        <v>648.75</v>
      </c>
      <c r="U335" s="126">
        <v>46072</v>
      </c>
      <c r="V335" s="4"/>
      <c r="W335" s="122" t="s">
        <v>789</v>
      </c>
      <c r="X335" s="4"/>
    </row>
    <row r="336" spans="1:24" ht="15" thickBot="1">
      <c r="A336" s="4" t="s">
        <v>25</v>
      </c>
      <c r="B336" s="4" t="s">
        <v>26</v>
      </c>
      <c r="C336" s="4" t="s">
        <v>27</v>
      </c>
      <c r="D336" s="4" t="s">
        <v>28</v>
      </c>
      <c r="E336" s="4" t="s">
        <v>29</v>
      </c>
      <c r="F336" s="31">
        <v>45966</v>
      </c>
      <c r="G336" s="4"/>
      <c r="H336" s="4" t="s">
        <v>1359</v>
      </c>
      <c r="I336" s="4" t="s">
        <v>1360</v>
      </c>
      <c r="J336" s="4" t="s">
        <v>379</v>
      </c>
      <c r="K336" s="4" t="s">
        <v>3233</v>
      </c>
      <c r="L336" s="4" t="s">
        <v>1288</v>
      </c>
      <c r="M336" s="4"/>
      <c r="N336" s="4" t="s">
        <v>36</v>
      </c>
      <c r="O336" s="4">
        <v>1</v>
      </c>
      <c r="P336" s="112"/>
      <c r="Q336" s="4" t="s">
        <v>117</v>
      </c>
      <c r="R336" s="34">
        <v>45</v>
      </c>
      <c r="S336" s="58">
        <v>215</v>
      </c>
      <c r="T336" s="58">
        <f t="shared" ref="T336:T338" si="37">SUM(R336:S336)</f>
        <v>260</v>
      </c>
      <c r="U336" s="126">
        <v>46072</v>
      </c>
      <c r="V336" s="4"/>
      <c r="W336" s="4"/>
      <c r="X336" s="4" t="s">
        <v>927</v>
      </c>
    </row>
    <row r="337" spans="1:24" ht="15" thickBot="1">
      <c r="A337" s="4" t="s">
        <v>25</v>
      </c>
      <c r="B337" s="4" t="s">
        <v>26</v>
      </c>
      <c r="C337" s="4" t="s">
        <v>27</v>
      </c>
      <c r="D337" s="4" t="s">
        <v>28</v>
      </c>
      <c r="E337" s="4" t="s">
        <v>29</v>
      </c>
      <c r="F337" s="31">
        <v>45966</v>
      </c>
      <c r="G337" s="4"/>
      <c r="H337" s="4" t="s">
        <v>1361</v>
      </c>
      <c r="I337" s="4" t="s">
        <v>1362</v>
      </c>
      <c r="J337" s="4" t="s">
        <v>201</v>
      </c>
      <c r="K337" s="4" t="s">
        <v>3233</v>
      </c>
      <c r="L337" s="4" t="s">
        <v>173</v>
      </c>
      <c r="M337" s="4" t="s">
        <v>1363</v>
      </c>
      <c r="N337" s="4" t="s">
        <v>36</v>
      </c>
      <c r="O337" s="4">
        <v>1</v>
      </c>
      <c r="P337" s="112" t="s">
        <v>1364</v>
      </c>
      <c r="Q337" s="4" t="s">
        <v>1365</v>
      </c>
      <c r="R337" s="34">
        <v>45</v>
      </c>
      <c r="S337" s="58">
        <v>111.75</v>
      </c>
      <c r="T337" s="58">
        <f t="shared" si="37"/>
        <v>156.75</v>
      </c>
      <c r="U337" s="126">
        <v>46072</v>
      </c>
      <c r="V337" s="4"/>
      <c r="W337" s="4"/>
      <c r="X337" s="4" t="s">
        <v>927</v>
      </c>
    </row>
    <row r="338" spans="1:24" ht="15" thickBot="1">
      <c r="A338" s="4" t="s">
        <v>25</v>
      </c>
      <c r="B338" s="4" t="s">
        <v>26</v>
      </c>
      <c r="C338" s="4" t="s">
        <v>27</v>
      </c>
      <c r="D338" s="4" t="s">
        <v>28</v>
      </c>
      <c r="E338" s="4" t="s">
        <v>29</v>
      </c>
      <c r="F338" s="31">
        <v>45966</v>
      </c>
      <c r="G338" s="4"/>
      <c r="H338" s="4" t="s">
        <v>1366</v>
      </c>
      <c r="I338" s="4" t="s">
        <v>1367</v>
      </c>
      <c r="J338" s="4" t="s">
        <v>160</v>
      </c>
      <c r="K338" s="4" t="s">
        <v>33</v>
      </c>
      <c r="L338" s="4" t="s">
        <v>1288</v>
      </c>
      <c r="M338" s="4" t="s">
        <v>3675</v>
      </c>
      <c r="N338" s="4" t="s">
        <v>36</v>
      </c>
      <c r="O338" s="4">
        <v>1</v>
      </c>
      <c r="P338" s="112" t="s">
        <v>1368</v>
      </c>
      <c r="Q338" s="4" t="s">
        <v>3674</v>
      </c>
      <c r="R338" s="34">
        <v>45</v>
      </c>
      <c r="S338" s="58">
        <v>323.75</v>
      </c>
      <c r="T338" s="58">
        <f t="shared" si="37"/>
        <v>368.75</v>
      </c>
      <c r="U338" s="36">
        <v>46122</v>
      </c>
      <c r="V338" s="4"/>
      <c r="W338" s="4"/>
      <c r="X338" s="4"/>
    </row>
    <row r="339" spans="1:24" ht="15" thickBot="1">
      <c r="A339" s="4" t="s">
        <v>25</v>
      </c>
      <c r="B339" s="4" t="s">
        <v>26</v>
      </c>
      <c r="C339" s="4" t="s">
        <v>27</v>
      </c>
      <c r="D339" s="4" t="s">
        <v>28</v>
      </c>
      <c r="E339" s="4" t="s">
        <v>29</v>
      </c>
      <c r="F339" s="31">
        <v>45966</v>
      </c>
      <c r="G339" s="4"/>
      <c r="H339" s="4" t="s">
        <v>1369</v>
      </c>
      <c r="I339" s="4" t="s">
        <v>1370</v>
      </c>
      <c r="J339" s="4" t="s">
        <v>216</v>
      </c>
      <c r="K339" s="4" t="s">
        <v>33</v>
      </c>
      <c r="L339" s="4" t="s">
        <v>1371</v>
      </c>
      <c r="M339" s="4" t="s">
        <v>1340</v>
      </c>
      <c r="N339" s="4" t="s">
        <v>36</v>
      </c>
      <c r="O339" s="4">
        <v>1</v>
      </c>
      <c r="P339" s="112"/>
      <c r="Q339" s="4" t="s">
        <v>194</v>
      </c>
      <c r="R339" s="34">
        <v>45</v>
      </c>
      <c r="S339" s="58">
        <v>100</v>
      </c>
      <c r="T339" s="58">
        <f>SUM(R339:S339)</f>
        <v>145</v>
      </c>
      <c r="U339" s="36">
        <v>46038</v>
      </c>
      <c r="V339" s="4"/>
      <c r="W339" s="4"/>
      <c r="X339" s="4"/>
    </row>
    <row r="340" spans="1:24" ht="15" thickBot="1">
      <c r="A340" s="4" t="s">
        <v>25</v>
      </c>
      <c r="B340" s="4" t="s">
        <v>26</v>
      </c>
      <c r="C340" s="4" t="s">
        <v>27</v>
      </c>
      <c r="D340" s="4" t="s">
        <v>28</v>
      </c>
      <c r="E340" s="4" t="s">
        <v>29</v>
      </c>
      <c r="F340" s="31">
        <v>45966</v>
      </c>
      <c r="G340" s="4"/>
      <c r="H340" s="4" t="s">
        <v>1372</v>
      </c>
      <c r="I340" s="4" t="s">
        <v>1373</v>
      </c>
      <c r="J340" s="4" t="s">
        <v>201</v>
      </c>
      <c r="K340" s="4" t="s">
        <v>48</v>
      </c>
      <c r="L340" s="4" t="s">
        <v>351</v>
      </c>
      <c r="M340" s="4" t="s">
        <v>1374</v>
      </c>
      <c r="N340" s="4" t="s">
        <v>36</v>
      </c>
      <c r="O340" s="4">
        <v>1</v>
      </c>
      <c r="P340" s="112" t="s">
        <v>1375</v>
      </c>
      <c r="Q340" s="4" t="s">
        <v>352</v>
      </c>
      <c r="R340" s="34">
        <v>45</v>
      </c>
      <c r="S340" s="58">
        <v>160</v>
      </c>
      <c r="T340" s="58">
        <f>SUM(R340:S340)</f>
        <v>205</v>
      </c>
      <c r="U340" s="36">
        <v>46038</v>
      </c>
      <c r="V340" s="4"/>
      <c r="W340" s="4"/>
      <c r="X340" s="4"/>
    </row>
    <row r="341" spans="1:24" ht="15" thickBot="1">
      <c r="A341" s="4" t="s">
        <v>25</v>
      </c>
      <c r="B341" s="4" t="s">
        <v>26</v>
      </c>
      <c r="C341" s="4" t="s">
        <v>27</v>
      </c>
      <c r="D341" s="4" t="s">
        <v>28</v>
      </c>
      <c r="E341" s="4" t="s">
        <v>29</v>
      </c>
      <c r="F341" s="31">
        <v>45966</v>
      </c>
      <c r="G341" s="4"/>
      <c r="H341" s="4" t="s">
        <v>1376</v>
      </c>
      <c r="I341" s="4" t="s">
        <v>1377</v>
      </c>
      <c r="J341" s="4" t="s">
        <v>379</v>
      </c>
      <c r="K341" s="4" t="s">
        <v>48</v>
      </c>
      <c r="L341" s="4" t="s">
        <v>351</v>
      </c>
      <c r="M341" s="4"/>
      <c r="N341" s="4" t="s">
        <v>499</v>
      </c>
      <c r="O341" s="4">
        <v>1</v>
      </c>
      <c r="P341" s="112"/>
      <c r="Q341" s="4"/>
      <c r="R341" s="34">
        <v>45</v>
      </c>
      <c r="S341" s="4"/>
      <c r="T341" s="58">
        <v>0</v>
      </c>
      <c r="U341" s="36"/>
      <c r="V341" s="4"/>
      <c r="W341" s="4"/>
      <c r="X341" s="4"/>
    </row>
    <row r="342" spans="1:24" ht="15" thickBot="1">
      <c r="A342" s="4" t="s">
        <v>25</v>
      </c>
      <c r="B342" s="4" t="s">
        <v>26</v>
      </c>
      <c r="C342" s="4" t="s">
        <v>27</v>
      </c>
      <c r="D342" s="4" t="s">
        <v>28</v>
      </c>
      <c r="E342" s="4" t="s">
        <v>29</v>
      </c>
      <c r="F342" s="31">
        <v>45966</v>
      </c>
      <c r="G342" s="4"/>
      <c r="H342" s="4" t="s">
        <v>1378</v>
      </c>
      <c r="I342" s="4" t="s">
        <v>1379</v>
      </c>
      <c r="J342" s="4" t="s">
        <v>160</v>
      </c>
      <c r="K342" s="4" t="s">
        <v>3232</v>
      </c>
      <c r="L342" s="4" t="s">
        <v>1380</v>
      </c>
      <c r="M342" s="4"/>
      <c r="N342" s="4" t="s">
        <v>36</v>
      </c>
      <c r="O342" s="4">
        <v>1</v>
      </c>
      <c r="P342" s="112"/>
      <c r="Q342" s="4" t="s">
        <v>1381</v>
      </c>
      <c r="R342" s="34">
        <v>45</v>
      </c>
      <c r="S342" s="58">
        <v>275.5</v>
      </c>
      <c r="T342" s="58">
        <f t="shared" ref="T342:T343" si="38">SUM(R342:S342)</f>
        <v>320.5</v>
      </c>
      <c r="U342" s="126">
        <v>46072</v>
      </c>
      <c r="V342" s="4"/>
      <c r="W342" s="4"/>
      <c r="X342" s="4" t="s">
        <v>262</v>
      </c>
    </row>
    <row r="343" spans="1:24" ht="15" thickBot="1">
      <c r="A343" s="4" t="s">
        <v>25</v>
      </c>
      <c r="B343" s="4" t="s">
        <v>26</v>
      </c>
      <c r="C343" s="4" t="s">
        <v>27</v>
      </c>
      <c r="D343" s="4" t="s">
        <v>28</v>
      </c>
      <c r="E343" s="4" t="s">
        <v>29</v>
      </c>
      <c r="F343" s="31">
        <v>45966</v>
      </c>
      <c r="G343" s="4"/>
      <c r="H343" s="4" t="s">
        <v>1382</v>
      </c>
      <c r="I343" s="4" t="s">
        <v>1383</v>
      </c>
      <c r="J343" s="4" t="s">
        <v>160</v>
      </c>
      <c r="K343" s="4" t="s">
        <v>33</v>
      </c>
      <c r="L343" s="4" t="s">
        <v>1288</v>
      </c>
      <c r="M343" s="4" t="s">
        <v>3695</v>
      </c>
      <c r="N343" s="4" t="s">
        <v>36</v>
      </c>
      <c r="O343" s="4">
        <v>1</v>
      </c>
      <c r="P343" s="112" t="s">
        <v>1384</v>
      </c>
      <c r="Q343" s="4" t="s">
        <v>3695</v>
      </c>
      <c r="R343" s="34">
        <v>45</v>
      </c>
      <c r="S343" s="58">
        <v>378.75</v>
      </c>
      <c r="T343" s="58">
        <f t="shared" si="38"/>
        <v>423.75</v>
      </c>
      <c r="U343" s="36">
        <v>46122</v>
      </c>
      <c r="V343" s="4"/>
      <c r="W343" s="4"/>
      <c r="X343" s="4" t="s">
        <v>3714</v>
      </c>
    </row>
    <row r="344" spans="1:24" ht="15" thickBot="1">
      <c r="A344" s="4" t="s">
        <v>25</v>
      </c>
      <c r="B344" s="4" t="s">
        <v>26</v>
      </c>
      <c r="C344" s="4" t="s">
        <v>27</v>
      </c>
      <c r="D344" s="4" t="s">
        <v>28</v>
      </c>
      <c r="E344" s="4" t="s">
        <v>29</v>
      </c>
      <c r="F344" s="31">
        <v>45966</v>
      </c>
      <c r="G344" s="4"/>
      <c r="H344" s="4" t="s">
        <v>1385</v>
      </c>
      <c r="I344" s="4" t="s">
        <v>1386</v>
      </c>
      <c r="J344" s="4" t="s">
        <v>160</v>
      </c>
      <c r="K344" s="4" t="s">
        <v>33</v>
      </c>
      <c r="L344" s="4" t="s">
        <v>1288</v>
      </c>
      <c r="M344" s="4" t="s">
        <v>1387</v>
      </c>
      <c r="N344" s="4" t="s">
        <v>499</v>
      </c>
      <c r="O344" s="4">
        <v>1</v>
      </c>
      <c r="P344" s="112"/>
      <c r="Q344" s="4"/>
      <c r="R344" s="34">
        <v>45</v>
      </c>
      <c r="S344" s="58"/>
      <c r="T344" s="58">
        <v>0</v>
      </c>
      <c r="U344" s="36"/>
      <c r="V344" s="4"/>
      <c r="W344" s="4"/>
      <c r="X344" s="4" t="s">
        <v>927</v>
      </c>
    </row>
    <row r="345" spans="1:24" ht="15" thickBot="1">
      <c r="A345" s="4" t="s">
        <v>25</v>
      </c>
      <c r="B345" s="4" t="s">
        <v>26</v>
      </c>
      <c r="C345" s="4" t="s">
        <v>27</v>
      </c>
      <c r="D345" s="4" t="s">
        <v>28</v>
      </c>
      <c r="E345" s="4" t="s">
        <v>29</v>
      </c>
      <c r="F345" s="31">
        <v>45966</v>
      </c>
      <c r="G345" s="4"/>
      <c r="H345" s="4" t="s">
        <v>914</v>
      </c>
      <c r="I345" s="4" t="s">
        <v>472</v>
      </c>
      <c r="J345" s="4" t="s">
        <v>160</v>
      </c>
      <c r="K345" s="4" t="s">
        <v>33</v>
      </c>
      <c r="L345" s="4" t="s">
        <v>1388</v>
      </c>
      <c r="M345" s="4" t="s">
        <v>351</v>
      </c>
      <c r="N345" s="4" t="s">
        <v>36</v>
      </c>
      <c r="O345" s="4">
        <v>1</v>
      </c>
      <c r="P345" s="112"/>
      <c r="Q345" s="4" t="s">
        <v>1389</v>
      </c>
      <c r="R345" s="34">
        <v>45</v>
      </c>
      <c r="S345" s="58">
        <v>280</v>
      </c>
      <c r="T345" s="58">
        <f>SUM(R345:S345)</f>
        <v>325</v>
      </c>
      <c r="U345" s="36">
        <v>46038</v>
      </c>
      <c r="V345" s="4"/>
      <c r="W345" s="122" t="s">
        <v>789</v>
      </c>
      <c r="X345" s="4"/>
    </row>
    <row r="346" spans="1:24" ht="15" thickBot="1">
      <c r="A346" s="4" t="s">
        <v>25</v>
      </c>
      <c r="B346" s="4" t="s">
        <v>26</v>
      </c>
      <c r="C346" s="4" t="s">
        <v>27</v>
      </c>
      <c r="D346" s="4" t="s">
        <v>28</v>
      </c>
      <c r="E346" s="4" t="s">
        <v>29</v>
      </c>
      <c r="F346" s="31">
        <v>45966</v>
      </c>
      <c r="G346" s="4"/>
      <c r="H346" s="4" t="s">
        <v>1390</v>
      </c>
      <c r="I346" s="4" t="s">
        <v>1391</v>
      </c>
      <c r="J346" s="4" t="s">
        <v>485</v>
      </c>
      <c r="K346" s="4" t="s">
        <v>48</v>
      </c>
      <c r="L346" s="4" t="s">
        <v>351</v>
      </c>
      <c r="M346" s="4" t="s">
        <v>1374</v>
      </c>
      <c r="N346" s="4" t="s">
        <v>36</v>
      </c>
      <c r="O346" s="4">
        <v>1</v>
      </c>
      <c r="P346" s="112" t="s">
        <v>1392</v>
      </c>
      <c r="Q346" s="4" t="s">
        <v>352</v>
      </c>
      <c r="R346" s="34">
        <v>45</v>
      </c>
      <c r="S346" s="37">
        <v>160</v>
      </c>
      <c r="T346" s="58">
        <f>SUM(R346:S346)</f>
        <v>205</v>
      </c>
      <c r="U346" s="36">
        <v>46010</v>
      </c>
      <c r="V346" s="4"/>
      <c r="W346" s="4"/>
      <c r="X346" s="4"/>
    </row>
    <row r="347" spans="1:24" ht="15" thickBot="1">
      <c r="A347" s="4" t="s">
        <v>25</v>
      </c>
      <c r="B347" s="4" t="s">
        <v>26</v>
      </c>
      <c r="C347" s="4" t="s">
        <v>27</v>
      </c>
      <c r="D347" s="4" t="s">
        <v>28</v>
      </c>
      <c r="E347" s="4" t="s">
        <v>29</v>
      </c>
      <c r="F347" s="31">
        <v>45966</v>
      </c>
      <c r="G347" s="4"/>
      <c r="H347" s="4" t="s">
        <v>1393</v>
      </c>
      <c r="I347" s="4" t="s">
        <v>1394</v>
      </c>
      <c r="J347" s="4" t="s">
        <v>379</v>
      </c>
      <c r="K347" s="4" t="s">
        <v>48</v>
      </c>
      <c r="L347" s="4" t="s">
        <v>1395</v>
      </c>
      <c r="M347" s="4" t="s">
        <v>1081</v>
      </c>
      <c r="N347" s="4" t="s">
        <v>36</v>
      </c>
      <c r="O347" s="4">
        <v>1</v>
      </c>
      <c r="P347" s="112"/>
      <c r="Q347" s="4" t="s">
        <v>1396</v>
      </c>
      <c r="R347" s="34">
        <v>45</v>
      </c>
      <c r="S347" s="37">
        <v>0</v>
      </c>
      <c r="T347" s="58">
        <f>SUM(R347:S347)</f>
        <v>45</v>
      </c>
      <c r="U347" s="36">
        <v>45993</v>
      </c>
      <c r="V347" s="4"/>
      <c r="W347" s="4"/>
      <c r="X347" s="4" t="s">
        <v>1397</v>
      </c>
    </row>
    <row r="348" spans="1:24" ht="15" thickBot="1">
      <c r="A348" s="4" t="s">
        <v>25</v>
      </c>
      <c r="B348" s="4" t="s">
        <v>26</v>
      </c>
      <c r="C348" s="4">
        <v>682687160</v>
      </c>
      <c r="D348" s="4" t="s">
        <v>1164</v>
      </c>
      <c r="E348" s="4" t="s">
        <v>1268</v>
      </c>
      <c r="F348" s="31">
        <v>45962</v>
      </c>
      <c r="G348" s="4"/>
      <c r="H348" s="4" t="s">
        <v>1398</v>
      </c>
      <c r="I348" s="4" t="s">
        <v>1399</v>
      </c>
      <c r="J348" s="4" t="s">
        <v>379</v>
      </c>
      <c r="K348" s="4" t="s">
        <v>48</v>
      </c>
      <c r="L348" s="4" t="s">
        <v>233</v>
      </c>
      <c r="M348" s="4"/>
      <c r="N348" s="4" t="s">
        <v>499</v>
      </c>
      <c r="O348" s="4">
        <v>1</v>
      </c>
      <c r="P348" s="112"/>
      <c r="Q348" s="4"/>
      <c r="R348" s="34">
        <v>45</v>
      </c>
      <c r="S348" s="4"/>
      <c r="T348" s="58">
        <v>0</v>
      </c>
      <c r="U348" s="36"/>
      <c r="V348" s="4"/>
      <c r="W348" s="4"/>
      <c r="X348" s="4"/>
    </row>
    <row r="349" spans="1:24" ht="15" thickBot="1">
      <c r="A349" s="4" t="s">
        <v>25</v>
      </c>
      <c r="B349" s="4" t="s">
        <v>26</v>
      </c>
      <c r="C349" s="4">
        <v>682687160</v>
      </c>
      <c r="D349" s="4" t="s">
        <v>1164</v>
      </c>
      <c r="E349" s="4" t="s">
        <v>1268</v>
      </c>
      <c r="F349" s="31">
        <v>45962</v>
      </c>
      <c r="G349" s="4"/>
      <c r="H349" s="4" t="s">
        <v>1400</v>
      </c>
      <c r="I349" s="4" t="s">
        <v>1401</v>
      </c>
      <c r="J349" s="4" t="s">
        <v>379</v>
      </c>
      <c r="K349" s="4" t="s">
        <v>48</v>
      </c>
      <c r="L349" s="4" t="s">
        <v>1402</v>
      </c>
      <c r="M349" s="4"/>
      <c r="N349" s="4" t="s">
        <v>499</v>
      </c>
      <c r="O349" s="4">
        <v>1</v>
      </c>
      <c r="P349" s="112"/>
      <c r="Q349" s="4"/>
      <c r="R349" s="34">
        <v>45</v>
      </c>
      <c r="S349" s="4"/>
      <c r="T349" s="58">
        <v>0</v>
      </c>
      <c r="U349" s="36"/>
      <c r="V349" s="4"/>
      <c r="W349" s="4"/>
      <c r="X349" s="4"/>
    </row>
    <row r="350" spans="1:24" ht="15" thickBot="1">
      <c r="A350" s="4" t="s">
        <v>25</v>
      </c>
      <c r="B350" s="4" t="s">
        <v>26</v>
      </c>
      <c r="C350" s="4">
        <v>682687160</v>
      </c>
      <c r="D350" s="4" t="s">
        <v>1164</v>
      </c>
      <c r="E350" s="4" t="s">
        <v>1268</v>
      </c>
      <c r="F350" s="31">
        <v>45962</v>
      </c>
      <c r="G350" s="4"/>
      <c r="H350" s="4" t="s">
        <v>1403</v>
      </c>
      <c r="I350" s="4" t="s">
        <v>1404</v>
      </c>
      <c r="J350" s="4" t="s">
        <v>756</v>
      </c>
      <c r="K350" s="4" t="s">
        <v>33</v>
      </c>
      <c r="L350" s="4" t="s">
        <v>1402</v>
      </c>
      <c r="M350" s="4"/>
      <c r="N350" s="4" t="s">
        <v>499</v>
      </c>
      <c r="O350" s="4">
        <v>1</v>
      </c>
      <c r="P350" s="112"/>
      <c r="Q350" s="4"/>
      <c r="R350" s="34">
        <v>45</v>
      </c>
      <c r="S350" s="4"/>
      <c r="T350" s="58">
        <v>0</v>
      </c>
      <c r="U350" s="36"/>
      <c r="V350" s="4"/>
      <c r="W350" s="4"/>
      <c r="X350" s="4"/>
    </row>
    <row r="351" spans="1:24" ht="15" thickBot="1">
      <c r="A351" s="4" t="s">
        <v>25</v>
      </c>
      <c r="B351" s="4" t="s">
        <v>26</v>
      </c>
      <c r="C351" s="4">
        <v>682687160</v>
      </c>
      <c r="D351" s="4" t="s">
        <v>1164</v>
      </c>
      <c r="E351" s="4" t="s">
        <v>1268</v>
      </c>
      <c r="F351" s="31">
        <v>45962</v>
      </c>
      <c r="G351" s="4"/>
      <c r="H351" s="4" t="s">
        <v>1405</v>
      </c>
      <c r="I351" s="4" t="s">
        <v>1406</v>
      </c>
      <c r="J351" s="4" t="s">
        <v>502</v>
      </c>
      <c r="K351" s="4" t="s">
        <v>3232</v>
      </c>
      <c r="L351" s="4" t="s">
        <v>1407</v>
      </c>
      <c r="M351" s="4" t="s">
        <v>1408</v>
      </c>
      <c r="N351" s="4" t="s">
        <v>36</v>
      </c>
      <c r="O351" s="4">
        <v>1</v>
      </c>
      <c r="P351" s="112"/>
      <c r="Q351" s="4" t="s">
        <v>1409</v>
      </c>
      <c r="R351" s="34">
        <v>45</v>
      </c>
      <c r="S351" s="58">
        <v>97</v>
      </c>
      <c r="T351" s="58">
        <f t="shared" ref="T351" si="39">SUM(R351:S351)</f>
        <v>142</v>
      </c>
      <c r="U351" s="126">
        <v>46072</v>
      </c>
      <c r="V351" s="4"/>
      <c r="W351" s="4"/>
      <c r="X351" s="4"/>
    </row>
    <row r="352" spans="1:24" ht="15" thickBot="1">
      <c r="A352" s="4" t="s">
        <v>25</v>
      </c>
      <c r="B352" s="4" t="s">
        <v>26</v>
      </c>
      <c r="C352" s="4">
        <v>682687160</v>
      </c>
      <c r="D352" s="4" t="s">
        <v>1164</v>
      </c>
      <c r="E352" s="4" t="s">
        <v>1268</v>
      </c>
      <c r="F352" s="31">
        <v>45962</v>
      </c>
      <c r="G352" s="4"/>
      <c r="H352" s="4" t="s">
        <v>1410</v>
      </c>
      <c r="I352" s="4" t="s">
        <v>1411</v>
      </c>
      <c r="J352" s="4" t="s">
        <v>160</v>
      </c>
      <c r="K352" s="4" t="s">
        <v>33</v>
      </c>
      <c r="L352" s="4" t="s">
        <v>478</v>
      </c>
      <c r="M352" s="4" t="s">
        <v>3747</v>
      </c>
      <c r="N352" s="4" t="s">
        <v>499</v>
      </c>
      <c r="O352" s="4">
        <v>1</v>
      </c>
      <c r="P352" s="112"/>
      <c r="Q352" s="4" t="s">
        <v>3747</v>
      </c>
      <c r="R352" s="34">
        <v>45</v>
      </c>
      <c r="S352" s="4"/>
      <c r="T352" s="58">
        <v>0</v>
      </c>
      <c r="U352" s="36"/>
      <c r="V352" s="4"/>
      <c r="W352" s="4"/>
      <c r="X352" s="4"/>
    </row>
    <row r="353" spans="1:24" ht="15" thickBot="1">
      <c r="A353" s="4" t="s">
        <v>25</v>
      </c>
      <c r="B353" s="4" t="s">
        <v>26</v>
      </c>
      <c r="C353" s="4">
        <v>682687160</v>
      </c>
      <c r="D353" s="4" t="s">
        <v>1164</v>
      </c>
      <c r="E353" s="4" t="s">
        <v>1268</v>
      </c>
      <c r="F353" s="31">
        <v>45962</v>
      </c>
      <c r="G353" s="4"/>
      <c r="H353" s="4" t="s">
        <v>651</v>
      </c>
      <c r="I353" s="4" t="s">
        <v>652</v>
      </c>
      <c r="J353" s="4" t="s">
        <v>485</v>
      </c>
      <c r="K353" s="4" t="s">
        <v>48</v>
      </c>
      <c r="L353" s="4" t="s">
        <v>1412</v>
      </c>
      <c r="M353" s="4" t="s">
        <v>3676</v>
      </c>
      <c r="N353" s="4" t="s">
        <v>36</v>
      </c>
      <c r="O353" s="4">
        <v>1</v>
      </c>
      <c r="P353" s="112"/>
      <c r="Q353" s="4" t="s">
        <v>3676</v>
      </c>
      <c r="R353" s="34">
        <v>45</v>
      </c>
      <c r="S353" s="58">
        <v>0</v>
      </c>
      <c r="T353" s="58">
        <f>SUM(R353:S353)</f>
        <v>45</v>
      </c>
      <c r="U353" s="36">
        <v>46122</v>
      </c>
      <c r="V353" s="4"/>
      <c r="W353" s="122" t="s">
        <v>789</v>
      </c>
      <c r="X353" s="4"/>
    </row>
    <row r="354" spans="1:24" ht="15" thickBot="1">
      <c r="A354" s="4" t="s">
        <v>25</v>
      </c>
      <c r="B354" s="4" t="s">
        <v>26</v>
      </c>
      <c r="C354" s="4">
        <v>682687160</v>
      </c>
      <c r="D354" s="4" t="s">
        <v>1164</v>
      </c>
      <c r="E354" s="4" t="s">
        <v>1268</v>
      </c>
      <c r="F354" s="31">
        <v>45962</v>
      </c>
      <c r="G354" s="4"/>
      <c r="H354" s="4" t="s">
        <v>1413</v>
      </c>
      <c r="I354" s="4" t="s">
        <v>1414</v>
      </c>
      <c r="J354" s="4" t="s">
        <v>502</v>
      </c>
      <c r="K354" s="4" t="s">
        <v>33</v>
      </c>
      <c r="L354" s="4" t="s">
        <v>478</v>
      </c>
      <c r="M354" s="4" t="s">
        <v>3257</v>
      </c>
      <c r="N354" s="4" t="s">
        <v>499</v>
      </c>
      <c r="O354" s="4">
        <v>1</v>
      </c>
      <c r="P354" s="112"/>
      <c r="Q354" s="4" t="s">
        <v>3257</v>
      </c>
      <c r="R354" s="34">
        <v>45</v>
      </c>
      <c r="S354" s="4"/>
      <c r="T354" s="58">
        <v>0</v>
      </c>
      <c r="U354" s="36"/>
      <c r="V354" s="4"/>
      <c r="W354" s="4"/>
      <c r="X354" s="4"/>
    </row>
    <row r="355" spans="1:24" ht="15" thickBot="1">
      <c r="A355" s="4" t="s">
        <v>25</v>
      </c>
      <c r="B355" s="4" t="s">
        <v>26</v>
      </c>
      <c r="C355" s="4">
        <v>682687160</v>
      </c>
      <c r="D355" s="4" t="s">
        <v>1164</v>
      </c>
      <c r="E355" s="4" t="s">
        <v>1268</v>
      </c>
      <c r="F355" s="31">
        <v>45962</v>
      </c>
      <c r="G355" s="4"/>
      <c r="H355" s="4" t="s">
        <v>1415</v>
      </c>
      <c r="I355" s="4" t="s">
        <v>1416</v>
      </c>
      <c r="J355" s="4" t="s">
        <v>502</v>
      </c>
      <c r="K355" s="4" t="s">
        <v>33</v>
      </c>
      <c r="L355" s="4" t="s">
        <v>1402</v>
      </c>
      <c r="M355" s="4" t="s">
        <v>3248</v>
      </c>
      <c r="N355" s="4" t="s">
        <v>36</v>
      </c>
      <c r="O355" s="4">
        <v>1</v>
      </c>
      <c r="P355" s="112"/>
      <c r="Q355" s="4" t="s">
        <v>3249</v>
      </c>
      <c r="R355" s="34">
        <v>45</v>
      </c>
      <c r="S355" s="34">
        <v>431.75</v>
      </c>
      <c r="T355" s="58">
        <f>SUM(R355:S355)</f>
        <v>476.75</v>
      </c>
      <c r="U355" s="126">
        <v>46085</v>
      </c>
      <c r="V355" s="4"/>
      <c r="W355" s="4"/>
      <c r="X355" s="4"/>
    </row>
    <row r="356" spans="1:24" ht="15" thickBot="1">
      <c r="A356" s="4" t="s">
        <v>25</v>
      </c>
      <c r="B356" s="4" t="s">
        <v>26</v>
      </c>
      <c r="C356" s="4">
        <v>682687160</v>
      </c>
      <c r="D356" s="4" t="s">
        <v>1164</v>
      </c>
      <c r="E356" s="4" t="s">
        <v>1268</v>
      </c>
      <c r="F356" s="31">
        <v>45962</v>
      </c>
      <c r="G356" s="4"/>
      <c r="H356" s="4" t="s">
        <v>1417</v>
      </c>
      <c r="I356" s="4" t="s">
        <v>1418</v>
      </c>
      <c r="J356" s="4" t="s">
        <v>160</v>
      </c>
      <c r="K356" s="4" t="s">
        <v>3232</v>
      </c>
      <c r="L356" s="4" t="s">
        <v>478</v>
      </c>
      <c r="M356" s="4"/>
      <c r="N356" s="4" t="s">
        <v>36</v>
      </c>
      <c r="O356" s="4">
        <v>1</v>
      </c>
      <c r="P356" s="112"/>
      <c r="Q356" s="4" t="s">
        <v>1419</v>
      </c>
      <c r="R356" s="34">
        <v>45</v>
      </c>
      <c r="S356" s="58">
        <v>400.75</v>
      </c>
      <c r="T356" s="58">
        <f t="shared" ref="T356" si="40">SUM(R356:S356)</f>
        <v>445.75</v>
      </c>
      <c r="U356" s="126">
        <v>46072</v>
      </c>
      <c r="V356" s="4"/>
      <c r="W356" s="4"/>
      <c r="X356" s="4"/>
    </row>
    <row r="357" spans="1:24" ht="15" thickBot="1">
      <c r="A357" s="4" t="s">
        <v>25</v>
      </c>
      <c r="B357" s="4" t="s">
        <v>26</v>
      </c>
      <c r="C357" s="4">
        <v>682687160</v>
      </c>
      <c r="D357" s="4" t="s">
        <v>1164</v>
      </c>
      <c r="E357" s="4" t="s">
        <v>1268</v>
      </c>
      <c r="F357" s="31">
        <v>45962</v>
      </c>
      <c r="G357" s="4"/>
      <c r="H357" s="4" t="s">
        <v>1420</v>
      </c>
      <c r="I357" s="4" t="s">
        <v>1421</v>
      </c>
      <c r="J357" s="4" t="s">
        <v>382</v>
      </c>
      <c r="K357" s="4" t="s">
        <v>33</v>
      </c>
      <c r="L357" s="4" t="s">
        <v>478</v>
      </c>
      <c r="M357" s="4" t="s">
        <v>1235</v>
      </c>
      <c r="N357" s="4" t="s">
        <v>36</v>
      </c>
      <c r="O357" s="4">
        <v>1</v>
      </c>
      <c r="P357" s="112"/>
      <c r="Q357" s="4" t="s">
        <v>457</v>
      </c>
      <c r="R357" s="34">
        <v>45</v>
      </c>
      <c r="S357" s="34">
        <v>163.75</v>
      </c>
      <c r="T357" s="58">
        <f>SUM(R357:S357)</f>
        <v>208.75</v>
      </c>
      <c r="U357" s="126">
        <v>46085</v>
      </c>
      <c r="V357" s="4"/>
      <c r="W357" s="4"/>
      <c r="X357" s="4" t="s">
        <v>262</v>
      </c>
    </row>
    <row r="358" spans="1:24" ht="15" thickBot="1">
      <c r="A358" s="4" t="s">
        <v>25</v>
      </c>
      <c r="B358" s="4" t="s">
        <v>26</v>
      </c>
      <c r="C358" s="4">
        <v>682687160</v>
      </c>
      <c r="D358" s="4" t="s">
        <v>1164</v>
      </c>
      <c r="E358" s="4" t="s">
        <v>1268</v>
      </c>
      <c r="F358" s="31">
        <v>45962</v>
      </c>
      <c r="G358" s="4"/>
      <c r="H358" s="4" t="s">
        <v>1422</v>
      </c>
      <c r="I358" s="4" t="s">
        <v>1423</v>
      </c>
      <c r="J358" s="4" t="s">
        <v>379</v>
      </c>
      <c r="K358" s="4" t="s">
        <v>48</v>
      </c>
      <c r="L358" s="4" t="s">
        <v>1402</v>
      </c>
      <c r="M358" s="4" t="s">
        <v>1424</v>
      </c>
      <c r="N358" s="4" t="s">
        <v>36</v>
      </c>
      <c r="O358" s="4">
        <v>1</v>
      </c>
      <c r="P358" s="112" t="s">
        <v>1392</v>
      </c>
      <c r="Q358" s="4" t="s">
        <v>352</v>
      </c>
      <c r="R358" s="34">
        <v>45</v>
      </c>
      <c r="S358" s="37">
        <v>160</v>
      </c>
      <c r="T358" s="58">
        <f>SUM(R358:S358)</f>
        <v>205</v>
      </c>
      <c r="U358" s="36">
        <v>46010</v>
      </c>
      <c r="V358" s="4"/>
      <c r="W358" s="4"/>
      <c r="X358" s="4"/>
    </row>
    <row r="359" spans="1:24" ht="15" thickBot="1">
      <c r="A359" s="4" t="s">
        <v>25</v>
      </c>
      <c r="B359" s="4" t="s">
        <v>26</v>
      </c>
      <c r="C359" s="4">
        <v>682687160</v>
      </c>
      <c r="D359" s="4" t="s">
        <v>1164</v>
      </c>
      <c r="E359" s="4" t="s">
        <v>1268</v>
      </c>
      <c r="F359" s="31">
        <v>45962</v>
      </c>
      <c r="G359" s="4"/>
      <c r="H359" s="4" t="s">
        <v>1425</v>
      </c>
      <c r="I359" s="4" t="s">
        <v>1426</v>
      </c>
      <c r="J359" s="4" t="s">
        <v>397</v>
      </c>
      <c r="K359" s="4" t="s">
        <v>48</v>
      </c>
      <c r="L359" s="4" t="s">
        <v>1427</v>
      </c>
      <c r="M359" s="4"/>
      <c r="N359" s="4" t="s">
        <v>36</v>
      </c>
      <c r="O359" s="4">
        <v>1</v>
      </c>
      <c r="P359" s="112"/>
      <c r="Q359" s="4" t="s">
        <v>3226</v>
      </c>
      <c r="R359" s="34">
        <v>45</v>
      </c>
      <c r="S359" s="34">
        <v>0</v>
      </c>
      <c r="T359" s="58">
        <f>SUM(R359:S359)</f>
        <v>45</v>
      </c>
      <c r="U359" s="126">
        <v>46085</v>
      </c>
      <c r="V359" s="4"/>
      <c r="W359" s="4"/>
      <c r="X359" s="4"/>
    </row>
    <row r="360" spans="1:24" ht="15" thickBot="1">
      <c r="A360" s="4" t="s">
        <v>25</v>
      </c>
      <c r="B360" s="4" t="s">
        <v>26</v>
      </c>
      <c r="C360" s="4">
        <v>682687160</v>
      </c>
      <c r="D360" s="4" t="s">
        <v>1164</v>
      </c>
      <c r="E360" s="4" t="s">
        <v>1268</v>
      </c>
      <c r="F360" s="31">
        <v>45962</v>
      </c>
      <c r="G360" s="4"/>
      <c r="H360" s="4" t="s">
        <v>1428</v>
      </c>
      <c r="I360" s="4" t="s">
        <v>1429</v>
      </c>
      <c r="J360" s="4" t="s">
        <v>201</v>
      </c>
      <c r="K360" s="4" t="s">
        <v>48</v>
      </c>
      <c r="L360" s="4" t="s">
        <v>1430</v>
      </c>
      <c r="M360" s="4" t="s">
        <v>3673</v>
      </c>
      <c r="N360" s="4" t="s">
        <v>36</v>
      </c>
      <c r="O360" s="4">
        <v>1</v>
      </c>
      <c r="P360" s="112"/>
      <c r="Q360" s="4" t="s">
        <v>3673</v>
      </c>
      <c r="R360" s="34">
        <v>45</v>
      </c>
      <c r="S360" s="34">
        <v>0</v>
      </c>
      <c r="T360" s="58">
        <f>SUM(R360:S360)</f>
        <v>45</v>
      </c>
      <c r="U360" s="36">
        <v>46122</v>
      </c>
      <c r="V360" s="4"/>
      <c r="W360" s="4"/>
      <c r="X360" s="4"/>
    </row>
    <row r="361" spans="1:24" ht="15" thickBot="1">
      <c r="A361" s="4" t="s">
        <v>25</v>
      </c>
      <c r="B361" s="4" t="s">
        <v>26</v>
      </c>
      <c r="C361" s="4">
        <v>682687160</v>
      </c>
      <c r="D361" s="4" t="s">
        <v>1164</v>
      </c>
      <c r="E361" s="4" t="s">
        <v>1268</v>
      </c>
      <c r="F361" s="31">
        <v>45962</v>
      </c>
      <c r="G361" s="4"/>
      <c r="H361" s="4" t="s">
        <v>1431</v>
      </c>
      <c r="I361" s="4" t="s">
        <v>1432</v>
      </c>
      <c r="J361" s="4" t="s">
        <v>485</v>
      </c>
      <c r="K361" s="4" t="s">
        <v>48</v>
      </c>
      <c r="L361" s="4" t="s">
        <v>1433</v>
      </c>
      <c r="M361" s="4"/>
      <c r="N361" s="4" t="s">
        <v>499</v>
      </c>
      <c r="O361" s="4">
        <v>1</v>
      </c>
      <c r="P361" s="112"/>
      <c r="Q361" s="4"/>
      <c r="R361" s="34">
        <v>45</v>
      </c>
      <c r="S361" s="4"/>
      <c r="T361" s="58">
        <v>0</v>
      </c>
      <c r="U361" s="36"/>
      <c r="V361" s="4"/>
      <c r="W361" s="4"/>
      <c r="X361" s="4"/>
    </row>
    <row r="362" spans="1:24" ht="15" thickBot="1">
      <c r="A362" s="4" t="s">
        <v>25</v>
      </c>
      <c r="B362" s="4" t="s">
        <v>26</v>
      </c>
      <c r="C362" s="4">
        <v>682687160</v>
      </c>
      <c r="D362" s="4" t="s">
        <v>1164</v>
      </c>
      <c r="E362" s="4" t="s">
        <v>1268</v>
      </c>
      <c r="F362" s="31">
        <v>45962</v>
      </c>
      <c r="G362" s="4"/>
      <c r="H362" s="4" t="s">
        <v>1434</v>
      </c>
      <c r="I362" s="4" t="s">
        <v>1435</v>
      </c>
      <c r="J362" s="4" t="s">
        <v>216</v>
      </c>
      <c r="K362" s="4" t="s">
        <v>33</v>
      </c>
      <c r="L362" s="4" t="s">
        <v>1436</v>
      </c>
      <c r="M362" s="4" t="s">
        <v>1437</v>
      </c>
      <c r="N362" s="4" t="s">
        <v>36</v>
      </c>
      <c r="O362" s="4">
        <v>1</v>
      </c>
      <c r="P362" s="112"/>
      <c r="Q362" s="4" t="s">
        <v>66</v>
      </c>
      <c r="R362" s="34">
        <v>45</v>
      </c>
      <c r="S362" s="58">
        <v>120</v>
      </c>
      <c r="T362" s="58">
        <f>SUM(R362:S362)</f>
        <v>165</v>
      </c>
      <c r="U362" s="36">
        <v>45993</v>
      </c>
      <c r="V362" s="4"/>
      <c r="W362" s="122" t="s">
        <v>789</v>
      </c>
      <c r="X362" s="4"/>
    </row>
    <row r="363" spans="1:24" ht="15" thickBot="1">
      <c r="A363" s="4" t="s">
        <v>25</v>
      </c>
      <c r="B363" s="4" t="s">
        <v>26</v>
      </c>
      <c r="C363" s="4">
        <v>682687160</v>
      </c>
      <c r="D363" s="4" t="s">
        <v>1164</v>
      </c>
      <c r="E363" s="4" t="s">
        <v>1268</v>
      </c>
      <c r="F363" s="31">
        <v>45962</v>
      </c>
      <c r="G363" s="4"/>
      <c r="H363" s="4" t="s">
        <v>1438</v>
      </c>
      <c r="I363" s="4" t="s">
        <v>1439</v>
      </c>
      <c r="J363" s="4" t="s">
        <v>216</v>
      </c>
      <c r="K363" s="4" t="s">
        <v>3232</v>
      </c>
      <c r="L363" s="4" t="s">
        <v>1440</v>
      </c>
      <c r="M363" s="4"/>
      <c r="N363" s="4" t="s">
        <v>36</v>
      </c>
      <c r="O363" s="4">
        <v>1</v>
      </c>
      <c r="P363" s="112"/>
      <c r="Q363" s="4" t="s">
        <v>998</v>
      </c>
      <c r="R363" s="34">
        <v>45</v>
      </c>
      <c r="S363" s="58">
        <v>183.75</v>
      </c>
      <c r="T363" s="58">
        <f t="shared" ref="T363" si="41">SUM(R363:S363)</f>
        <v>228.75</v>
      </c>
      <c r="U363" s="126">
        <v>46072</v>
      </c>
      <c r="V363" s="4"/>
      <c r="W363" s="4"/>
      <c r="X363" s="4"/>
    </row>
    <row r="364" spans="1:24" ht="15" thickBot="1">
      <c r="A364" s="4" t="s">
        <v>25</v>
      </c>
      <c r="B364" s="4" t="s">
        <v>26</v>
      </c>
      <c r="C364" s="4">
        <v>682687160</v>
      </c>
      <c r="D364" s="4" t="s">
        <v>1164</v>
      </c>
      <c r="E364" s="4" t="s">
        <v>1268</v>
      </c>
      <c r="F364" s="31">
        <v>45962</v>
      </c>
      <c r="G364" s="4"/>
      <c r="H364" s="4" t="s">
        <v>852</v>
      </c>
      <c r="I364" s="4" t="s">
        <v>853</v>
      </c>
      <c r="J364" s="4" t="s">
        <v>382</v>
      </c>
      <c r="K364" s="4" t="s">
        <v>33</v>
      </c>
      <c r="L364" s="4" t="s">
        <v>854</v>
      </c>
      <c r="M364" s="4" t="s">
        <v>565</v>
      </c>
      <c r="N364" s="4" t="s">
        <v>36</v>
      </c>
      <c r="O364" s="4">
        <v>1</v>
      </c>
      <c r="P364" s="112"/>
      <c r="Q364" s="4" t="s">
        <v>457</v>
      </c>
      <c r="R364" s="34">
        <v>45</v>
      </c>
      <c r="S364" s="34">
        <v>163.75</v>
      </c>
      <c r="T364" s="58">
        <f>SUM(R364:S364)</f>
        <v>208.75</v>
      </c>
      <c r="U364" s="36">
        <v>45993</v>
      </c>
      <c r="V364" s="4"/>
      <c r="W364" s="122" t="s">
        <v>789</v>
      </c>
      <c r="X364" s="4"/>
    </row>
    <row r="365" spans="1:24" ht="15" thickBot="1">
      <c r="A365" s="4" t="s">
        <v>25</v>
      </c>
      <c r="B365" s="4" t="s">
        <v>26</v>
      </c>
      <c r="C365" s="4">
        <v>682687160</v>
      </c>
      <c r="D365" s="4" t="s">
        <v>1164</v>
      </c>
      <c r="E365" s="4" t="s">
        <v>1268</v>
      </c>
      <c r="F365" s="31">
        <v>45962</v>
      </c>
      <c r="G365" s="4"/>
      <c r="H365" s="4" t="s">
        <v>855</v>
      </c>
      <c r="I365" s="4" t="s">
        <v>856</v>
      </c>
      <c r="J365" s="4" t="s">
        <v>485</v>
      </c>
      <c r="K365" s="4" t="s">
        <v>48</v>
      </c>
      <c r="L365" s="4" t="s">
        <v>857</v>
      </c>
      <c r="M365" s="4"/>
      <c r="N365" s="4" t="s">
        <v>499</v>
      </c>
      <c r="O365" s="4">
        <v>1</v>
      </c>
      <c r="P365" s="112"/>
      <c r="Q365" s="4"/>
      <c r="R365" s="34">
        <v>45</v>
      </c>
      <c r="S365" s="4"/>
      <c r="T365" s="58">
        <v>0</v>
      </c>
      <c r="U365" s="36"/>
      <c r="V365" s="4"/>
      <c r="W365" s="122" t="s">
        <v>789</v>
      </c>
      <c r="X365" s="4"/>
    </row>
    <row r="366" spans="1:24" ht="15" thickBot="1">
      <c r="A366" s="4" t="s">
        <v>25</v>
      </c>
      <c r="B366" s="4" t="s">
        <v>26</v>
      </c>
      <c r="C366" s="4">
        <v>682687160</v>
      </c>
      <c r="D366" s="4" t="s">
        <v>1164</v>
      </c>
      <c r="E366" s="4" t="s">
        <v>1268</v>
      </c>
      <c r="F366" s="31">
        <v>45962</v>
      </c>
      <c r="G366" s="4"/>
      <c r="H366" s="4" t="s">
        <v>860</v>
      </c>
      <c r="I366" s="4" t="s">
        <v>861</v>
      </c>
      <c r="J366" s="4" t="s">
        <v>502</v>
      </c>
      <c r="K366" s="4" t="s">
        <v>33</v>
      </c>
      <c r="L366" s="4" t="s">
        <v>862</v>
      </c>
      <c r="M366" s="4"/>
      <c r="N366" s="4" t="s">
        <v>36</v>
      </c>
      <c r="O366" s="4">
        <v>1</v>
      </c>
      <c r="P366" s="112"/>
      <c r="Q366" s="4" t="s">
        <v>1441</v>
      </c>
      <c r="R366" s="34">
        <v>45</v>
      </c>
      <c r="S366" s="58">
        <v>340</v>
      </c>
      <c r="T366" s="58">
        <f>SUM(R366:S366)</f>
        <v>385</v>
      </c>
      <c r="U366" s="36">
        <v>45993</v>
      </c>
      <c r="V366" s="4"/>
      <c r="W366" s="122" t="s">
        <v>789</v>
      </c>
      <c r="X366" s="4"/>
    </row>
    <row r="367" spans="1:24" ht="15" thickBot="1">
      <c r="A367" s="4" t="s">
        <v>25</v>
      </c>
      <c r="B367" s="4" t="s">
        <v>26</v>
      </c>
      <c r="C367" s="4">
        <v>682687160</v>
      </c>
      <c r="D367" s="4" t="s">
        <v>1164</v>
      </c>
      <c r="E367" s="4" t="s">
        <v>1268</v>
      </c>
      <c r="F367" s="31">
        <v>45962</v>
      </c>
      <c r="G367" s="4"/>
      <c r="H367" s="4" t="s">
        <v>865</v>
      </c>
      <c r="I367" s="4" t="s">
        <v>866</v>
      </c>
      <c r="J367" s="4" t="s">
        <v>379</v>
      </c>
      <c r="K367" s="4" t="s">
        <v>48</v>
      </c>
      <c r="L367" s="4" t="s">
        <v>319</v>
      </c>
      <c r="M367" s="4"/>
      <c r="N367" s="4" t="s">
        <v>499</v>
      </c>
      <c r="O367" s="4">
        <v>1</v>
      </c>
      <c r="P367" s="112"/>
      <c r="Q367" s="4"/>
      <c r="R367" s="34">
        <v>45</v>
      </c>
      <c r="S367" s="4"/>
      <c r="T367" s="58">
        <v>0</v>
      </c>
      <c r="U367" s="36"/>
      <c r="V367" s="4"/>
      <c r="W367" s="122" t="s">
        <v>789</v>
      </c>
      <c r="X367" s="4"/>
    </row>
    <row r="368" spans="1:24" ht="15" thickBot="1">
      <c r="A368" s="4" t="s">
        <v>25</v>
      </c>
      <c r="B368" s="4" t="s">
        <v>26</v>
      </c>
      <c r="C368" s="4">
        <v>682687160</v>
      </c>
      <c r="D368" s="4" t="s">
        <v>1164</v>
      </c>
      <c r="E368" s="4" t="s">
        <v>1268</v>
      </c>
      <c r="F368" s="31">
        <v>45962</v>
      </c>
      <c r="G368" s="4"/>
      <c r="H368" s="4" t="s">
        <v>870</v>
      </c>
      <c r="I368" s="4" t="s">
        <v>871</v>
      </c>
      <c r="J368" s="4" t="s">
        <v>201</v>
      </c>
      <c r="K368" s="4" t="s">
        <v>48</v>
      </c>
      <c r="L368" s="4" t="s">
        <v>351</v>
      </c>
      <c r="M368" s="4"/>
      <c r="N368" s="4" t="s">
        <v>499</v>
      </c>
      <c r="O368" s="4">
        <v>1</v>
      </c>
      <c r="P368" s="112"/>
      <c r="Q368" s="4"/>
      <c r="R368" s="34">
        <v>45</v>
      </c>
      <c r="S368" s="4"/>
      <c r="T368" s="58">
        <v>0</v>
      </c>
      <c r="U368" s="36"/>
      <c r="V368" s="4"/>
      <c r="W368" s="122" t="s">
        <v>789</v>
      </c>
      <c r="X368" s="4"/>
    </row>
    <row r="369" spans="1:24" ht="15" thickBot="1">
      <c r="A369" s="4" t="s">
        <v>25</v>
      </c>
      <c r="B369" s="4" t="s">
        <v>26</v>
      </c>
      <c r="C369" s="4">
        <v>682687160</v>
      </c>
      <c r="D369" s="4" t="s">
        <v>1164</v>
      </c>
      <c r="E369" s="4" t="s">
        <v>1268</v>
      </c>
      <c r="F369" s="31">
        <v>45962</v>
      </c>
      <c r="G369" s="4"/>
      <c r="H369" s="4" t="s">
        <v>873</v>
      </c>
      <c r="I369" s="4" t="s">
        <v>874</v>
      </c>
      <c r="J369" s="4" t="s">
        <v>382</v>
      </c>
      <c r="K369" s="4" t="s">
        <v>33</v>
      </c>
      <c r="L369" s="4" t="s">
        <v>875</v>
      </c>
      <c r="M369" s="4" t="s">
        <v>1235</v>
      </c>
      <c r="N369" s="4" t="s">
        <v>36</v>
      </c>
      <c r="O369" s="4">
        <v>1</v>
      </c>
      <c r="P369" s="112"/>
      <c r="Q369" s="4" t="s">
        <v>457</v>
      </c>
      <c r="R369" s="34">
        <v>45</v>
      </c>
      <c r="S369" s="34">
        <v>163.75</v>
      </c>
      <c r="T369" s="58">
        <f>SUM(R369:S369)</f>
        <v>208.75</v>
      </c>
      <c r="U369" s="36">
        <v>46010</v>
      </c>
      <c r="V369" s="4"/>
      <c r="W369" s="122" t="s">
        <v>789</v>
      </c>
      <c r="X369" s="4"/>
    </row>
    <row r="370" spans="1:24" ht="15" thickBot="1">
      <c r="A370" s="4" t="s">
        <v>25</v>
      </c>
      <c r="B370" s="4" t="s">
        <v>26</v>
      </c>
      <c r="C370" s="4">
        <v>682687160</v>
      </c>
      <c r="D370" s="4" t="s">
        <v>1164</v>
      </c>
      <c r="E370" s="4" t="s">
        <v>1268</v>
      </c>
      <c r="F370" s="31">
        <v>45962</v>
      </c>
      <c r="G370" s="4"/>
      <c r="H370" s="4" t="s">
        <v>877</v>
      </c>
      <c r="I370" s="4" t="s">
        <v>878</v>
      </c>
      <c r="J370" s="4" t="s">
        <v>201</v>
      </c>
      <c r="K370" s="4" t="s">
        <v>48</v>
      </c>
      <c r="L370" s="4" t="s">
        <v>879</v>
      </c>
      <c r="M370" s="4"/>
      <c r="N370" s="4" t="s">
        <v>499</v>
      </c>
      <c r="O370" s="4">
        <v>1</v>
      </c>
      <c r="P370" s="112"/>
      <c r="Q370" s="4"/>
      <c r="R370" s="34">
        <v>45</v>
      </c>
      <c r="S370" s="4"/>
      <c r="T370" s="58">
        <v>0</v>
      </c>
      <c r="U370" s="36"/>
      <c r="V370" s="4"/>
      <c r="W370" s="122" t="s">
        <v>789</v>
      </c>
      <c r="X370" s="4"/>
    </row>
    <row r="371" spans="1:24" ht="16.5" customHeight="1" thickBot="1">
      <c r="A371" s="4" t="s">
        <v>154</v>
      </c>
      <c r="B371" s="4" t="s">
        <v>155</v>
      </c>
      <c r="C371" s="4">
        <v>616866669</v>
      </c>
      <c r="D371" s="4" t="s">
        <v>156</v>
      </c>
      <c r="E371" s="4" t="s">
        <v>599</v>
      </c>
      <c r="F371" s="31">
        <v>45968</v>
      </c>
      <c r="G371" s="4"/>
      <c r="H371" s="4" t="s">
        <v>1442</v>
      </c>
      <c r="I371" s="4" t="s">
        <v>1443</v>
      </c>
      <c r="J371" s="4" t="s">
        <v>502</v>
      </c>
      <c r="K371" s="4" t="s">
        <v>33</v>
      </c>
      <c r="L371" s="4" t="s">
        <v>1444</v>
      </c>
      <c r="M371" s="4" t="s">
        <v>3740</v>
      </c>
      <c r="N371" s="4" t="s">
        <v>36</v>
      </c>
      <c r="O371" s="4">
        <v>1</v>
      </c>
      <c r="P371" s="112"/>
      <c r="Q371" s="4" t="s">
        <v>3677</v>
      </c>
      <c r="R371" s="34">
        <v>45</v>
      </c>
      <c r="S371" s="34">
        <v>235</v>
      </c>
      <c r="T371" s="58">
        <f>SUM(R371:S371)</f>
        <v>280</v>
      </c>
      <c r="U371" s="36">
        <v>46122</v>
      </c>
      <c r="V371" s="4"/>
      <c r="W371" s="4"/>
      <c r="X371" s="4" t="s">
        <v>3714</v>
      </c>
    </row>
    <row r="372" spans="1:24" ht="15" thickBot="1">
      <c r="A372" s="4" t="s">
        <v>154</v>
      </c>
      <c r="B372" s="4" t="s">
        <v>155</v>
      </c>
      <c r="C372" s="4">
        <v>616866669</v>
      </c>
      <c r="D372" s="4" t="s">
        <v>156</v>
      </c>
      <c r="E372" s="4" t="s">
        <v>599</v>
      </c>
      <c r="F372" s="31">
        <v>45968</v>
      </c>
      <c r="G372" s="4"/>
      <c r="H372" s="4" t="s">
        <v>1445</v>
      </c>
      <c r="I372" s="4" t="s">
        <v>1446</v>
      </c>
      <c r="J372" s="4" t="s">
        <v>201</v>
      </c>
      <c r="K372" s="4" t="s">
        <v>48</v>
      </c>
      <c r="L372" s="4" t="s">
        <v>290</v>
      </c>
      <c r="M372" s="4" t="s">
        <v>1340</v>
      </c>
      <c r="N372" s="4" t="s">
        <v>36</v>
      </c>
      <c r="O372" s="4">
        <v>1</v>
      </c>
      <c r="P372" s="112" t="s">
        <v>872</v>
      </c>
      <c r="Q372" s="4" t="s">
        <v>134</v>
      </c>
      <c r="R372" s="34">
        <v>45</v>
      </c>
      <c r="S372" s="58">
        <v>77</v>
      </c>
      <c r="T372" s="58">
        <f t="shared" ref="T372:T377" si="42">SUM(R372:S372)</f>
        <v>122</v>
      </c>
      <c r="U372" s="36">
        <v>46038</v>
      </c>
      <c r="V372" s="4"/>
      <c r="W372" s="4"/>
      <c r="X372" s="4"/>
    </row>
    <row r="373" spans="1:24" ht="15" thickBot="1">
      <c r="A373" s="4" t="s">
        <v>154</v>
      </c>
      <c r="B373" s="4" t="s">
        <v>155</v>
      </c>
      <c r="C373" s="4">
        <v>616866669</v>
      </c>
      <c r="D373" s="4" t="s">
        <v>156</v>
      </c>
      <c r="E373" s="4" t="s">
        <v>599</v>
      </c>
      <c r="F373" s="31">
        <v>45968</v>
      </c>
      <c r="G373" s="4"/>
      <c r="H373" s="4" t="s">
        <v>1447</v>
      </c>
      <c r="I373" s="4" t="s">
        <v>1448</v>
      </c>
      <c r="J373" s="4" t="s">
        <v>160</v>
      </c>
      <c r="K373" s="4" t="s">
        <v>33</v>
      </c>
      <c r="L373" s="4" t="s">
        <v>241</v>
      </c>
      <c r="M373" s="4"/>
      <c r="N373" s="4" t="s">
        <v>36</v>
      </c>
      <c r="O373" s="4">
        <v>1</v>
      </c>
      <c r="P373" s="112"/>
      <c r="Q373" s="4" t="s">
        <v>457</v>
      </c>
      <c r="R373" s="34">
        <v>45</v>
      </c>
      <c r="S373" s="34">
        <v>163.75</v>
      </c>
      <c r="T373" s="58">
        <f t="shared" si="42"/>
        <v>208.75</v>
      </c>
      <c r="U373" s="36">
        <v>46010</v>
      </c>
      <c r="V373" s="4"/>
      <c r="W373" s="4"/>
      <c r="X373" s="4"/>
    </row>
    <row r="374" spans="1:24" ht="15" thickBot="1">
      <c r="A374" s="4" t="s">
        <v>154</v>
      </c>
      <c r="B374" s="4" t="s">
        <v>155</v>
      </c>
      <c r="C374" s="4">
        <v>616866669</v>
      </c>
      <c r="D374" s="4" t="s">
        <v>156</v>
      </c>
      <c r="E374" s="4" t="s">
        <v>599</v>
      </c>
      <c r="F374" s="31">
        <v>45968</v>
      </c>
      <c r="G374" s="4"/>
      <c r="H374" s="4" t="s">
        <v>1449</v>
      </c>
      <c r="I374" s="4" t="s">
        <v>240</v>
      </c>
      <c r="J374" s="4" t="s">
        <v>160</v>
      </c>
      <c r="K374" s="4" t="s">
        <v>33</v>
      </c>
      <c r="L374" s="4" t="s">
        <v>533</v>
      </c>
      <c r="M374" s="4" t="s">
        <v>1450</v>
      </c>
      <c r="N374" s="4" t="s">
        <v>36</v>
      </c>
      <c r="O374" s="4">
        <v>1</v>
      </c>
      <c r="P374" s="112"/>
      <c r="Q374" s="4" t="s">
        <v>457</v>
      </c>
      <c r="R374" s="34">
        <v>45</v>
      </c>
      <c r="S374" s="34">
        <v>163.75</v>
      </c>
      <c r="T374" s="58">
        <f t="shared" si="42"/>
        <v>208.75</v>
      </c>
      <c r="U374" s="126">
        <v>46085</v>
      </c>
      <c r="V374" s="4"/>
      <c r="W374" s="122" t="s">
        <v>789</v>
      </c>
      <c r="X374" s="4"/>
    </row>
    <row r="375" spans="1:24" ht="15" thickBot="1">
      <c r="A375" s="4" t="s">
        <v>154</v>
      </c>
      <c r="B375" s="4" t="s">
        <v>155</v>
      </c>
      <c r="C375" s="4">
        <v>616866669</v>
      </c>
      <c r="D375" s="4" t="s">
        <v>156</v>
      </c>
      <c r="E375" s="4" t="s">
        <v>599</v>
      </c>
      <c r="F375" s="31">
        <v>45968</v>
      </c>
      <c r="G375" s="4"/>
      <c r="H375" s="4" t="s">
        <v>1451</v>
      </c>
      <c r="I375" s="4" t="s">
        <v>1452</v>
      </c>
      <c r="J375" s="4" t="s">
        <v>160</v>
      </c>
      <c r="K375" s="4" t="s">
        <v>33</v>
      </c>
      <c r="L375" s="4" t="s">
        <v>631</v>
      </c>
      <c r="M375" s="4" t="s">
        <v>1453</v>
      </c>
      <c r="N375" s="4" t="s">
        <v>36</v>
      </c>
      <c r="O375" s="4">
        <v>1</v>
      </c>
      <c r="P375" s="112"/>
      <c r="Q375" s="4" t="s">
        <v>66</v>
      </c>
      <c r="R375" s="34">
        <v>45</v>
      </c>
      <c r="S375" s="34">
        <v>120</v>
      </c>
      <c r="T375" s="58">
        <f t="shared" si="42"/>
        <v>165</v>
      </c>
      <c r="U375" s="36">
        <v>46010</v>
      </c>
      <c r="V375" s="4"/>
      <c r="W375" s="122" t="s">
        <v>789</v>
      </c>
      <c r="X375" s="4"/>
    </row>
    <row r="376" spans="1:24" ht="15" thickBot="1">
      <c r="A376" s="4" t="s">
        <v>154</v>
      </c>
      <c r="B376" s="4" t="s">
        <v>155</v>
      </c>
      <c r="C376" s="4">
        <v>616866669</v>
      </c>
      <c r="D376" s="4" t="s">
        <v>156</v>
      </c>
      <c r="E376" s="4" t="s">
        <v>599</v>
      </c>
      <c r="F376" s="31">
        <v>45968</v>
      </c>
      <c r="G376" s="4"/>
      <c r="H376" s="4" t="s">
        <v>1454</v>
      </c>
      <c r="I376" s="4" t="s">
        <v>1455</v>
      </c>
      <c r="J376" s="4" t="s">
        <v>160</v>
      </c>
      <c r="K376" s="4" t="s">
        <v>33</v>
      </c>
      <c r="L376" s="4" t="s">
        <v>1456</v>
      </c>
      <c r="M376" s="4" t="s">
        <v>565</v>
      </c>
      <c r="N376" s="4" t="s">
        <v>36</v>
      </c>
      <c r="O376" s="4">
        <v>1</v>
      </c>
      <c r="P376" s="112"/>
      <c r="Q376" s="4" t="s">
        <v>457</v>
      </c>
      <c r="R376" s="34">
        <v>45</v>
      </c>
      <c r="S376" s="34">
        <v>163.75</v>
      </c>
      <c r="T376" s="58">
        <f t="shared" si="42"/>
        <v>208.75</v>
      </c>
      <c r="U376" s="36">
        <v>46038</v>
      </c>
      <c r="V376" s="4"/>
      <c r="W376" s="4"/>
      <c r="X376" s="4"/>
    </row>
    <row r="377" spans="1:24" ht="15" thickBot="1">
      <c r="A377" s="4" t="s">
        <v>154</v>
      </c>
      <c r="B377" s="4" t="s">
        <v>155</v>
      </c>
      <c r="C377" s="4">
        <v>616866669</v>
      </c>
      <c r="D377" s="4" t="s">
        <v>156</v>
      </c>
      <c r="E377" s="4" t="s">
        <v>599</v>
      </c>
      <c r="F377" s="31">
        <v>45968</v>
      </c>
      <c r="G377" s="4"/>
      <c r="H377" s="4" t="s">
        <v>1457</v>
      </c>
      <c r="I377" s="4" t="s">
        <v>1458</v>
      </c>
      <c r="J377" s="4" t="s">
        <v>160</v>
      </c>
      <c r="K377" s="4" t="s">
        <v>33</v>
      </c>
      <c r="L377" s="4" t="s">
        <v>1459</v>
      </c>
      <c r="M377" s="4"/>
      <c r="N377" s="4" t="s">
        <v>36</v>
      </c>
      <c r="O377" s="4">
        <v>1</v>
      </c>
      <c r="P377" s="112"/>
      <c r="Q377" s="4" t="s">
        <v>457</v>
      </c>
      <c r="R377" s="34">
        <v>45</v>
      </c>
      <c r="S377" s="37">
        <v>160</v>
      </c>
      <c r="T377" s="58">
        <f t="shared" si="42"/>
        <v>205</v>
      </c>
      <c r="U377" s="36">
        <v>46010</v>
      </c>
      <c r="V377" s="4"/>
      <c r="W377" s="4"/>
      <c r="X377" s="4"/>
    </row>
    <row r="378" spans="1:24" ht="15" thickBot="1">
      <c r="A378" s="4" t="s">
        <v>154</v>
      </c>
      <c r="B378" s="4" t="s">
        <v>155</v>
      </c>
      <c r="C378" s="4">
        <v>616866669</v>
      </c>
      <c r="D378" s="4" t="s">
        <v>156</v>
      </c>
      <c r="E378" s="4" t="s">
        <v>599</v>
      </c>
      <c r="F378" s="31">
        <v>45968</v>
      </c>
      <c r="G378" s="4"/>
      <c r="H378" s="4" t="s">
        <v>1460</v>
      </c>
      <c r="I378" s="4" t="s">
        <v>1461</v>
      </c>
      <c r="J378" s="4" t="s">
        <v>379</v>
      </c>
      <c r="K378" s="4" t="s">
        <v>48</v>
      </c>
      <c r="L378" s="4" t="s">
        <v>1462</v>
      </c>
      <c r="M378" s="4"/>
      <c r="N378" s="4" t="s">
        <v>499</v>
      </c>
      <c r="O378" s="4">
        <v>1</v>
      </c>
      <c r="P378" s="112"/>
      <c r="Q378" s="4"/>
      <c r="R378" s="34">
        <v>45</v>
      </c>
      <c r="S378" s="4"/>
      <c r="T378" s="58">
        <v>0</v>
      </c>
      <c r="U378" s="36"/>
      <c r="V378" s="4"/>
      <c r="W378" s="4"/>
      <c r="X378" s="4"/>
    </row>
    <row r="379" spans="1:24" ht="15" thickBot="1">
      <c r="A379" s="4" t="s">
        <v>154</v>
      </c>
      <c r="B379" s="4" t="s">
        <v>155</v>
      </c>
      <c r="C379" s="4">
        <v>616866669</v>
      </c>
      <c r="D379" s="4" t="s">
        <v>156</v>
      </c>
      <c r="E379" s="4" t="s">
        <v>599</v>
      </c>
      <c r="F379" s="31">
        <v>45968</v>
      </c>
      <c r="G379" s="4"/>
      <c r="H379" s="4" t="s">
        <v>1463</v>
      </c>
      <c r="I379" s="4" t="s">
        <v>1464</v>
      </c>
      <c r="J379" s="4" t="s">
        <v>160</v>
      </c>
      <c r="K379" s="4" t="s">
        <v>33</v>
      </c>
      <c r="L379" s="4" t="s">
        <v>1001</v>
      </c>
      <c r="M379" s="4" t="s">
        <v>565</v>
      </c>
      <c r="N379" s="4" t="s">
        <v>36</v>
      </c>
      <c r="O379" s="4">
        <v>1</v>
      </c>
      <c r="P379" s="112"/>
      <c r="Q379" s="4" t="s">
        <v>1465</v>
      </c>
      <c r="R379" s="34">
        <v>45</v>
      </c>
      <c r="S379" s="34">
        <v>273.75</v>
      </c>
      <c r="T379" s="58">
        <f>SUM(R379:S379)</f>
        <v>318.75</v>
      </c>
      <c r="U379" s="36">
        <v>46038</v>
      </c>
      <c r="V379" s="4"/>
      <c r="W379" s="4"/>
      <c r="X379" s="4"/>
    </row>
    <row r="380" spans="1:24" ht="15" thickBot="1">
      <c r="A380" s="4" t="s">
        <v>154</v>
      </c>
      <c r="B380" s="4" t="s">
        <v>155</v>
      </c>
      <c r="C380" s="4">
        <v>616866669</v>
      </c>
      <c r="D380" s="4" t="s">
        <v>156</v>
      </c>
      <c r="E380" s="4" t="s">
        <v>599</v>
      </c>
      <c r="F380" s="31">
        <v>45968</v>
      </c>
      <c r="G380" s="4"/>
      <c r="H380" s="4" t="s">
        <v>1466</v>
      </c>
      <c r="I380" s="4" t="s">
        <v>1467</v>
      </c>
      <c r="J380" s="4" t="s">
        <v>216</v>
      </c>
      <c r="K380" s="4" t="s">
        <v>33</v>
      </c>
      <c r="L380" s="4" t="s">
        <v>290</v>
      </c>
      <c r="M380" s="4" t="s">
        <v>1340</v>
      </c>
      <c r="N380" s="4" t="s">
        <v>36</v>
      </c>
      <c r="O380" s="4">
        <v>1</v>
      </c>
      <c r="P380" s="112"/>
      <c r="Q380" s="4" t="s">
        <v>134</v>
      </c>
      <c r="R380" s="34">
        <v>45</v>
      </c>
      <c r="S380" s="34">
        <v>77</v>
      </c>
      <c r="T380" s="58">
        <f>SUM(R380:S380)</f>
        <v>122</v>
      </c>
      <c r="U380" s="36">
        <v>46038</v>
      </c>
      <c r="V380" s="4"/>
      <c r="W380" s="4"/>
      <c r="X380" s="4"/>
    </row>
    <row r="381" spans="1:24" ht="15" thickBot="1">
      <c r="A381" s="4" t="s">
        <v>154</v>
      </c>
      <c r="B381" s="4" t="s">
        <v>155</v>
      </c>
      <c r="C381" s="4">
        <v>616866669</v>
      </c>
      <c r="D381" s="4" t="s">
        <v>156</v>
      </c>
      <c r="E381" s="4" t="s">
        <v>599</v>
      </c>
      <c r="F381" s="31">
        <v>45968</v>
      </c>
      <c r="G381" s="4"/>
      <c r="H381" s="4" t="s">
        <v>1468</v>
      </c>
      <c r="I381" s="4" t="s">
        <v>1469</v>
      </c>
      <c r="J381" s="4" t="s">
        <v>216</v>
      </c>
      <c r="K381" s="4" t="s">
        <v>33</v>
      </c>
      <c r="L381" s="4" t="s">
        <v>1470</v>
      </c>
      <c r="M381" s="4" t="s">
        <v>1471</v>
      </c>
      <c r="N381" s="4" t="s">
        <v>36</v>
      </c>
      <c r="O381" s="4">
        <v>1</v>
      </c>
      <c r="P381" s="112"/>
      <c r="Q381" s="4" t="s">
        <v>959</v>
      </c>
      <c r="R381" s="34">
        <v>45</v>
      </c>
      <c r="S381" s="34">
        <v>235</v>
      </c>
      <c r="T381" s="58">
        <f>SUM(R381:S381)</f>
        <v>280</v>
      </c>
      <c r="U381" s="36">
        <v>46038</v>
      </c>
      <c r="V381" s="4"/>
      <c r="W381" s="4"/>
      <c r="X381" s="4"/>
    </row>
    <row r="382" spans="1:24" ht="15" thickBot="1">
      <c r="A382" s="4" t="s">
        <v>154</v>
      </c>
      <c r="B382" s="4" t="s">
        <v>155</v>
      </c>
      <c r="C382" s="4">
        <v>616866669</v>
      </c>
      <c r="D382" s="4" t="s">
        <v>156</v>
      </c>
      <c r="E382" s="4" t="s">
        <v>599</v>
      </c>
      <c r="F382" s="31">
        <v>45968</v>
      </c>
      <c r="G382" s="4"/>
      <c r="H382" s="4" t="s">
        <v>1472</v>
      </c>
      <c r="I382" s="4" t="s">
        <v>1473</v>
      </c>
      <c r="J382" s="4" t="s">
        <v>756</v>
      </c>
      <c r="K382" s="4" t="s">
        <v>33</v>
      </c>
      <c r="L382" s="4" t="s">
        <v>319</v>
      </c>
      <c r="M382" s="4"/>
      <c r="N382" s="4" t="s">
        <v>499</v>
      </c>
      <c r="O382" s="4">
        <v>1</v>
      </c>
      <c r="P382" s="112"/>
      <c r="Q382" s="4"/>
      <c r="R382" s="34">
        <v>45</v>
      </c>
      <c r="S382" s="4"/>
      <c r="T382" s="58">
        <v>0</v>
      </c>
      <c r="U382" s="36"/>
      <c r="V382" s="4"/>
      <c r="W382" s="4"/>
      <c r="X382" s="4"/>
    </row>
    <row r="383" spans="1:24" ht="15" thickBot="1">
      <c r="A383" s="4" t="s">
        <v>154</v>
      </c>
      <c r="B383" s="4" t="s">
        <v>155</v>
      </c>
      <c r="C383" s="4">
        <v>616866669</v>
      </c>
      <c r="D383" s="4" t="s">
        <v>156</v>
      </c>
      <c r="E383" s="4" t="s">
        <v>599</v>
      </c>
      <c r="F383" s="31">
        <v>45968</v>
      </c>
      <c r="G383" s="4"/>
      <c r="H383" s="4" t="s">
        <v>1474</v>
      </c>
      <c r="I383" s="4" t="s">
        <v>1475</v>
      </c>
      <c r="J383" s="4" t="s">
        <v>216</v>
      </c>
      <c r="K383" s="4" t="s">
        <v>33</v>
      </c>
      <c r="L383" s="4" t="s">
        <v>1476</v>
      </c>
      <c r="M383" s="4" t="s">
        <v>1477</v>
      </c>
      <c r="N383" s="4" t="s">
        <v>36</v>
      </c>
      <c r="O383" s="4">
        <v>1</v>
      </c>
      <c r="P383" s="112"/>
      <c r="Q383" s="4" t="s">
        <v>66</v>
      </c>
      <c r="R383" s="34">
        <v>45</v>
      </c>
      <c r="S383" s="34">
        <v>120</v>
      </c>
      <c r="T383" s="58">
        <f>SUM(R383:S383)</f>
        <v>165</v>
      </c>
      <c r="U383" s="36">
        <v>46122</v>
      </c>
      <c r="V383" s="4"/>
      <c r="W383" s="4"/>
      <c r="X383" s="4"/>
    </row>
    <row r="384" spans="1:24" ht="15" thickBot="1">
      <c r="A384" s="4" t="s">
        <v>154</v>
      </c>
      <c r="B384" s="4" t="s">
        <v>155</v>
      </c>
      <c r="C384" s="4">
        <v>616866669</v>
      </c>
      <c r="D384" s="4" t="s">
        <v>156</v>
      </c>
      <c r="E384" s="4" t="s">
        <v>599</v>
      </c>
      <c r="F384" s="31">
        <v>45968</v>
      </c>
      <c r="G384" s="4"/>
      <c r="H384" s="4" t="s">
        <v>1478</v>
      </c>
      <c r="I384" s="4" t="s">
        <v>1479</v>
      </c>
      <c r="J384" s="4" t="s">
        <v>216</v>
      </c>
      <c r="K384" s="4" t="s">
        <v>33</v>
      </c>
      <c r="L384" s="4" t="s">
        <v>351</v>
      </c>
      <c r="M384" s="4" t="s">
        <v>826</v>
      </c>
      <c r="N384" s="4" t="s">
        <v>36</v>
      </c>
      <c r="O384" s="4">
        <v>1</v>
      </c>
      <c r="P384" s="112" t="s">
        <v>1195</v>
      </c>
      <c r="Q384" s="4" t="s">
        <v>258</v>
      </c>
      <c r="R384" s="34">
        <v>45</v>
      </c>
      <c r="S384" s="34">
        <v>320</v>
      </c>
      <c r="T384" s="58">
        <f>SUM(R384:S384)</f>
        <v>365</v>
      </c>
      <c r="U384" s="36">
        <v>46038</v>
      </c>
      <c r="V384" s="4"/>
      <c r="W384" s="4"/>
      <c r="X384" s="4"/>
    </row>
    <row r="385" spans="1:24" ht="15" thickBot="1">
      <c r="A385" s="4" t="s">
        <v>154</v>
      </c>
      <c r="B385" s="4" t="s">
        <v>155</v>
      </c>
      <c r="C385" s="4">
        <v>616866669</v>
      </c>
      <c r="D385" s="4" t="s">
        <v>156</v>
      </c>
      <c r="E385" s="4" t="s">
        <v>599</v>
      </c>
      <c r="F385" s="31">
        <v>45968</v>
      </c>
      <c r="G385" s="4"/>
      <c r="H385" s="4" t="s">
        <v>1480</v>
      </c>
      <c r="I385" s="4" t="s">
        <v>1481</v>
      </c>
      <c r="J385" s="4" t="s">
        <v>502</v>
      </c>
      <c r="K385" s="4" t="s">
        <v>33</v>
      </c>
      <c r="L385" s="4" t="s">
        <v>1216</v>
      </c>
      <c r="M385" s="4" t="s">
        <v>1482</v>
      </c>
      <c r="N385" s="4" t="s">
        <v>36</v>
      </c>
      <c r="O385" s="4">
        <v>1</v>
      </c>
      <c r="P385" s="112"/>
      <c r="Q385" s="4" t="s">
        <v>1482</v>
      </c>
      <c r="R385" s="34">
        <v>45</v>
      </c>
      <c r="S385" s="58">
        <v>398.75</v>
      </c>
      <c r="T385" s="58">
        <f t="shared" ref="T385" si="43">SUM(R385:S385)</f>
        <v>443.75</v>
      </c>
      <c r="U385" s="126">
        <v>46072</v>
      </c>
      <c r="V385" s="4"/>
      <c r="W385" s="4"/>
      <c r="X385" s="4" t="s">
        <v>927</v>
      </c>
    </row>
    <row r="386" spans="1:24" ht="15" thickBot="1">
      <c r="A386" s="4" t="s">
        <v>154</v>
      </c>
      <c r="B386" s="4" t="s">
        <v>155</v>
      </c>
      <c r="C386" s="4">
        <v>616866669</v>
      </c>
      <c r="D386" s="4" t="s">
        <v>156</v>
      </c>
      <c r="E386" s="4" t="s">
        <v>599</v>
      </c>
      <c r="F386" s="31">
        <v>45968</v>
      </c>
      <c r="G386" s="4"/>
      <c r="H386" s="4" t="s">
        <v>1483</v>
      </c>
      <c r="I386" s="4" t="s">
        <v>630</v>
      </c>
      <c r="J386" s="4" t="s">
        <v>216</v>
      </c>
      <c r="K386" s="4" t="s">
        <v>33</v>
      </c>
      <c r="L386" s="4" t="s">
        <v>1484</v>
      </c>
      <c r="M386" s="4"/>
      <c r="N386" s="4" t="s">
        <v>36</v>
      </c>
      <c r="O386" s="4">
        <v>1</v>
      </c>
      <c r="P386" s="112"/>
      <c r="Q386" s="4" t="s">
        <v>457</v>
      </c>
      <c r="R386" s="34">
        <v>45</v>
      </c>
      <c r="S386" s="34">
        <v>163.75</v>
      </c>
      <c r="T386" s="58">
        <f>SUM(R386:S386)</f>
        <v>208.75</v>
      </c>
      <c r="U386" s="36">
        <v>45993</v>
      </c>
      <c r="V386" s="4"/>
      <c r="W386" s="122" t="s">
        <v>789</v>
      </c>
      <c r="X386" s="45" t="s">
        <v>833</v>
      </c>
    </row>
    <row r="387" spans="1:24" ht="15" thickBot="1">
      <c r="A387" s="4" t="s">
        <v>25</v>
      </c>
      <c r="B387" s="4" t="s">
        <v>26</v>
      </c>
      <c r="C387" s="4">
        <v>682687160</v>
      </c>
      <c r="D387" s="4" t="s">
        <v>1164</v>
      </c>
      <c r="E387" s="4" t="s">
        <v>1268</v>
      </c>
      <c r="F387" s="31">
        <v>45968</v>
      </c>
      <c r="G387" s="4"/>
      <c r="H387" s="4" t="s">
        <v>1485</v>
      </c>
      <c r="I387" s="4" t="s">
        <v>1486</v>
      </c>
      <c r="J387" s="4" t="s">
        <v>160</v>
      </c>
      <c r="K387" s="4" t="s">
        <v>33</v>
      </c>
      <c r="L387" s="4" t="s">
        <v>1487</v>
      </c>
      <c r="M387" s="4" t="s">
        <v>1488</v>
      </c>
      <c r="N387" s="4" t="s">
        <v>36</v>
      </c>
      <c r="O387" s="4">
        <v>1</v>
      </c>
      <c r="P387" s="112"/>
      <c r="Q387" s="4" t="s">
        <v>134</v>
      </c>
      <c r="R387" s="34">
        <v>45</v>
      </c>
      <c r="S387" s="34">
        <v>77</v>
      </c>
      <c r="T387" s="58">
        <f>SUM(R387:S387)</f>
        <v>122</v>
      </c>
      <c r="U387" s="36">
        <v>46010</v>
      </c>
      <c r="V387" s="4"/>
      <c r="W387" s="4"/>
      <c r="X387" s="4"/>
    </row>
    <row r="388" spans="1:24" ht="15" thickBot="1">
      <c r="A388" s="4" t="s">
        <v>25</v>
      </c>
      <c r="B388" s="4" t="s">
        <v>26</v>
      </c>
      <c r="C388" s="4">
        <v>682687160</v>
      </c>
      <c r="D388" s="4" t="s">
        <v>1164</v>
      </c>
      <c r="E388" s="4" t="s">
        <v>1268</v>
      </c>
      <c r="F388" s="31">
        <v>45968</v>
      </c>
      <c r="G388" s="4"/>
      <c r="H388" s="4" t="s">
        <v>1489</v>
      </c>
      <c r="I388" s="4" t="s">
        <v>1490</v>
      </c>
      <c r="J388" s="4" t="s">
        <v>160</v>
      </c>
      <c r="K388" s="4" t="s">
        <v>33</v>
      </c>
      <c r="L388" s="4" t="s">
        <v>213</v>
      </c>
      <c r="M388" s="4" t="s">
        <v>1491</v>
      </c>
      <c r="N388" s="4" t="s">
        <v>36</v>
      </c>
      <c r="O388" s="4">
        <v>1</v>
      </c>
      <c r="P388" s="112"/>
      <c r="Q388" s="4" t="s">
        <v>457</v>
      </c>
      <c r="R388" s="34">
        <v>45</v>
      </c>
      <c r="S388" s="34">
        <v>163.75</v>
      </c>
      <c r="T388" s="58">
        <f>SUM(R388:S388)</f>
        <v>208.75</v>
      </c>
      <c r="U388" s="36">
        <v>46038</v>
      </c>
      <c r="V388" s="4"/>
      <c r="W388" s="4"/>
      <c r="X388" s="4"/>
    </row>
    <row r="389" spans="1:24" ht="15" thickBot="1">
      <c r="A389" s="4" t="s">
        <v>25</v>
      </c>
      <c r="B389" s="4" t="s">
        <v>26</v>
      </c>
      <c r="C389" s="4">
        <v>682687160</v>
      </c>
      <c r="D389" s="4" t="s">
        <v>1164</v>
      </c>
      <c r="E389" s="4" t="s">
        <v>1268</v>
      </c>
      <c r="F389" s="31">
        <v>45968</v>
      </c>
      <c r="G389" s="4"/>
      <c r="H389" s="4" t="s">
        <v>1492</v>
      </c>
      <c r="I389" s="4" t="s">
        <v>1493</v>
      </c>
      <c r="J389" s="4" t="s">
        <v>397</v>
      </c>
      <c r="K389" s="4" t="s">
        <v>48</v>
      </c>
      <c r="L389" s="4" t="s">
        <v>1494</v>
      </c>
      <c r="M389" s="4"/>
      <c r="N389" s="4" t="s">
        <v>499</v>
      </c>
      <c r="O389" s="4">
        <v>1</v>
      </c>
      <c r="P389" s="112"/>
      <c r="Q389" s="4"/>
      <c r="R389" s="34">
        <v>45</v>
      </c>
      <c r="S389" s="4"/>
      <c r="T389" s="58">
        <v>0</v>
      </c>
      <c r="U389" s="36"/>
      <c r="V389" s="4"/>
      <c r="W389" s="4"/>
      <c r="X389" s="4"/>
    </row>
    <row r="390" spans="1:24" ht="15" thickBot="1">
      <c r="A390" s="4" t="s">
        <v>25</v>
      </c>
      <c r="B390" s="4" t="s">
        <v>26</v>
      </c>
      <c r="C390" s="4">
        <v>682687160</v>
      </c>
      <c r="D390" s="4" t="s">
        <v>1164</v>
      </c>
      <c r="E390" s="4" t="s">
        <v>1268</v>
      </c>
      <c r="F390" s="31">
        <v>45968</v>
      </c>
      <c r="G390" s="4"/>
      <c r="H390" s="4" t="s">
        <v>1495</v>
      </c>
      <c r="I390" s="4" t="s">
        <v>1496</v>
      </c>
      <c r="J390" s="4" t="s">
        <v>160</v>
      </c>
      <c r="K390" s="4" t="s">
        <v>33</v>
      </c>
      <c r="L390" s="4" t="s">
        <v>213</v>
      </c>
      <c r="M390" s="4" t="s">
        <v>1235</v>
      </c>
      <c r="N390" s="4" t="s">
        <v>36</v>
      </c>
      <c r="O390" s="4">
        <v>1</v>
      </c>
      <c r="P390" s="112"/>
      <c r="Q390" s="4" t="s">
        <v>457</v>
      </c>
      <c r="R390" s="34">
        <v>45</v>
      </c>
      <c r="S390" s="34">
        <v>163.75</v>
      </c>
      <c r="T390" s="58">
        <f>SUM(R390:S390)</f>
        <v>208.75</v>
      </c>
      <c r="U390" s="36">
        <v>46010</v>
      </c>
      <c r="V390" s="4"/>
      <c r="W390" s="4"/>
      <c r="X390" s="4"/>
    </row>
    <row r="391" spans="1:24" ht="15" thickBot="1">
      <c r="A391" s="4" t="s">
        <v>25</v>
      </c>
      <c r="B391" s="4" t="s">
        <v>26</v>
      </c>
      <c r="C391" s="4">
        <v>682687160</v>
      </c>
      <c r="D391" s="4" t="s">
        <v>1164</v>
      </c>
      <c r="E391" s="4" t="s">
        <v>1268</v>
      </c>
      <c r="F391" s="31">
        <v>45968</v>
      </c>
      <c r="G391" s="4"/>
      <c r="H391" s="4" t="s">
        <v>1497</v>
      </c>
      <c r="I391" s="4" t="s">
        <v>1498</v>
      </c>
      <c r="J391" s="4" t="s">
        <v>201</v>
      </c>
      <c r="K391" s="4" t="s">
        <v>48</v>
      </c>
      <c r="L391" s="4" t="s">
        <v>1499</v>
      </c>
      <c r="M391" s="4" t="s">
        <v>1500</v>
      </c>
      <c r="N391" s="4" t="s">
        <v>499</v>
      </c>
      <c r="O391" s="4">
        <v>1</v>
      </c>
      <c r="P391" s="112"/>
      <c r="Q391" s="4"/>
      <c r="R391" s="34">
        <v>45</v>
      </c>
      <c r="S391" s="4"/>
      <c r="T391" s="58">
        <v>0</v>
      </c>
      <c r="U391" s="36"/>
      <c r="V391" s="4"/>
      <c r="W391" s="4"/>
      <c r="X391" s="4"/>
    </row>
    <row r="392" spans="1:24" ht="15" thickBot="1">
      <c r="A392" s="4" t="s">
        <v>25</v>
      </c>
      <c r="B392" s="4" t="s">
        <v>26</v>
      </c>
      <c r="C392" s="4">
        <v>682687160</v>
      </c>
      <c r="D392" s="4" t="s">
        <v>1164</v>
      </c>
      <c r="E392" s="4" t="s">
        <v>1268</v>
      </c>
      <c r="F392" s="31">
        <v>45968</v>
      </c>
      <c r="G392" s="4"/>
      <c r="H392" s="4" t="s">
        <v>1501</v>
      </c>
      <c r="I392" s="4" t="s">
        <v>1502</v>
      </c>
      <c r="J392" s="4" t="s">
        <v>160</v>
      </c>
      <c r="K392" s="4" t="s">
        <v>33</v>
      </c>
      <c r="L392" s="4" t="s">
        <v>1503</v>
      </c>
      <c r="M392" s="4" t="s">
        <v>457</v>
      </c>
      <c r="N392" s="4" t="s">
        <v>36</v>
      </c>
      <c r="O392" s="4">
        <v>1</v>
      </c>
      <c r="P392" s="112"/>
      <c r="Q392" s="4" t="s">
        <v>457</v>
      </c>
      <c r="R392" s="34">
        <v>45</v>
      </c>
      <c r="S392" s="34">
        <v>163.75</v>
      </c>
      <c r="T392" s="58">
        <f>SUM(R392:S392)</f>
        <v>208.75</v>
      </c>
      <c r="U392" s="36">
        <v>46010</v>
      </c>
      <c r="V392" s="4"/>
      <c r="W392" s="4"/>
      <c r="X392" s="4"/>
    </row>
    <row r="393" spans="1:24" ht="15" thickBot="1">
      <c r="A393" s="4" t="s">
        <v>25</v>
      </c>
      <c r="B393" s="4" t="s">
        <v>26</v>
      </c>
      <c r="C393" s="4">
        <v>682687160</v>
      </c>
      <c r="D393" s="4" t="s">
        <v>1164</v>
      </c>
      <c r="E393" s="4" t="s">
        <v>1268</v>
      </c>
      <c r="F393" s="31">
        <v>45968</v>
      </c>
      <c r="G393" s="4"/>
      <c r="H393" s="4" t="s">
        <v>1504</v>
      </c>
      <c r="I393" s="4" t="s">
        <v>1505</v>
      </c>
      <c r="J393" s="4" t="s">
        <v>216</v>
      </c>
      <c r="K393" s="4" t="s">
        <v>33</v>
      </c>
      <c r="L393" s="4" t="s">
        <v>1506</v>
      </c>
      <c r="M393" s="4"/>
      <c r="N393" s="4" t="s">
        <v>499</v>
      </c>
      <c r="O393" s="4">
        <v>1</v>
      </c>
      <c r="P393" s="112"/>
      <c r="Q393" s="4"/>
      <c r="R393" s="34">
        <v>45</v>
      </c>
      <c r="S393" s="4"/>
      <c r="T393" s="58">
        <v>0</v>
      </c>
      <c r="U393" s="36"/>
      <c r="V393" s="4"/>
      <c r="W393" s="4"/>
      <c r="X393" s="4"/>
    </row>
    <row r="394" spans="1:24" ht="15" thickBot="1">
      <c r="A394" s="4" t="s">
        <v>25</v>
      </c>
      <c r="B394" s="4" t="s">
        <v>26</v>
      </c>
      <c r="C394" s="4">
        <v>682687160</v>
      </c>
      <c r="D394" s="4" t="s">
        <v>1164</v>
      </c>
      <c r="E394" s="4" t="s">
        <v>1268</v>
      </c>
      <c r="F394" s="31">
        <v>45968</v>
      </c>
      <c r="G394" s="4"/>
      <c r="H394" s="4" t="s">
        <v>1507</v>
      </c>
      <c r="I394" s="4" t="s">
        <v>1508</v>
      </c>
      <c r="J394" s="4" t="s">
        <v>379</v>
      </c>
      <c r="K394" s="4" t="s">
        <v>48</v>
      </c>
      <c r="L394" s="4" t="s">
        <v>1506</v>
      </c>
      <c r="M394" s="4"/>
      <c r="N394" s="4" t="s">
        <v>499</v>
      </c>
      <c r="O394" s="4">
        <v>1</v>
      </c>
      <c r="P394" s="112"/>
      <c r="Q394" s="4"/>
      <c r="R394" s="34">
        <v>45</v>
      </c>
      <c r="S394" s="4"/>
      <c r="T394" s="58">
        <v>0</v>
      </c>
      <c r="U394" s="36"/>
      <c r="V394" s="4"/>
      <c r="W394" s="4"/>
      <c r="X394" s="4"/>
    </row>
    <row r="395" spans="1:24" ht="15" thickBot="1">
      <c r="A395" s="4" t="s">
        <v>25</v>
      </c>
      <c r="B395" s="4" t="s">
        <v>26</v>
      </c>
      <c r="C395" s="4" t="s">
        <v>27</v>
      </c>
      <c r="D395" s="4" t="s">
        <v>28</v>
      </c>
      <c r="E395" s="4" t="s">
        <v>29</v>
      </c>
      <c r="F395" s="31">
        <v>45952</v>
      </c>
      <c r="G395" s="4"/>
      <c r="H395" s="4" t="s">
        <v>1509</v>
      </c>
      <c r="I395" s="4" t="s">
        <v>1510</v>
      </c>
      <c r="J395" s="4" t="s">
        <v>201</v>
      </c>
      <c r="K395" s="4" t="s">
        <v>3233</v>
      </c>
      <c r="L395" s="4" t="s">
        <v>1511</v>
      </c>
      <c r="M395" s="4" t="s">
        <v>3229</v>
      </c>
      <c r="N395" s="4" t="s">
        <v>36</v>
      </c>
      <c r="O395" s="4">
        <v>1</v>
      </c>
      <c r="P395" s="112"/>
      <c r="Q395" s="4" t="s">
        <v>3229</v>
      </c>
      <c r="R395" s="34">
        <v>45</v>
      </c>
      <c r="S395" s="58">
        <v>160</v>
      </c>
      <c r="T395" s="58">
        <f t="shared" ref="T395:T396" si="44">SUM(R395:S395)</f>
        <v>205</v>
      </c>
      <c r="U395" s="126">
        <v>46072</v>
      </c>
      <c r="V395" s="4"/>
      <c r="W395" s="4"/>
      <c r="X395" s="4"/>
    </row>
    <row r="396" spans="1:24" ht="15" thickBot="1">
      <c r="A396" s="4" t="s">
        <v>25</v>
      </c>
      <c r="B396" s="4" t="s">
        <v>26</v>
      </c>
      <c r="C396" s="4" t="s">
        <v>27</v>
      </c>
      <c r="D396" s="4" t="s">
        <v>28</v>
      </c>
      <c r="E396" s="4" t="s">
        <v>29</v>
      </c>
      <c r="F396" s="31">
        <v>45952</v>
      </c>
      <c r="G396" s="4"/>
      <c r="H396" s="4" t="s">
        <v>1512</v>
      </c>
      <c r="I396" s="4" t="s">
        <v>1513</v>
      </c>
      <c r="J396" s="4" t="s">
        <v>201</v>
      </c>
      <c r="K396" s="4" t="s">
        <v>3233</v>
      </c>
      <c r="L396" s="4" t="s">
        <v>1511</v>
      </c>
      <c r="M396" s="4" t="s">
        <v>1514</v>
      </c>
      <c r="N396" s="4" t="s">
        <v>36</v>
      </c>
      <c r="O396" s="4">
        <v>1</v>
      </c>
      <c r="P396" s="112"/>
      <c r="Q396" s="4" t="s">
        <v>1514</v>
      </c>
      <c r="R396" s="34">
        <v>45</v>
      </c>
      <c r="S396" s="58">
        <v>160</v>
      </c>
      <c r="T396" s="58">
        <f t="shared" si="44"/>
        <v>205</v>
      </c>
      <c r="U396" s="126">
        <v>46072</v>
      </c>
      <c r="V396" s="4"/>
      <c r="W396" s="4"/>
      <c r="X396" s="4"/>
    </row>
    <row r="397" spans="1:24" ht="15" thickBot="1">
      <c r="A397" s="4" t="s">
        <v>25</v>
      </c>
      <c r="B397" s="4" t="s">
        <v>26</v>
      </c>
      <c r="C397" s="4" t="s">
        <v>27</v>
      </c>
      <c r="D397" s="4" t="s">
        <v>28</v>
      </c>
      <c r="E397" s="4" t="s">
        <v>29</v>
      </c>
      <c r="F397" s="31">
        <v>45952</v>
      </c>
      <c r="G397" s="4"/>
      <c r="H397" s="4" t="s">
        <v>1515</v>
      </c>
      <c r="I397" s="4" t="s">
        <v>1516</v>
      </c>
      <c r="J397" s="4" t="s">
        <v>502</v>
      </c>
      <c r="K397" s="4" t="s">
        <v>33</v>
      </c>
      <c r="L397" s="4" t="s">
        <v>1517</v>
      </c>
      <c r="M397" s="4" t="s">
        <v>1518</v>
      </c>
      <c r="N397" s="4" t="s">
        <v>36</v>
      </c>
      <c r="O397" s="4">
        <v>1</v>
      </c>
      <c r="P397" s="112"/>
      <c r="Q397" s="4" t="s">
        <v>3679</v>
      </c>
      <c r="R397" s="34">
        <v>45</v>
      </c>
      <c r="S397" s="34">
        <v>20</v>
      </c>
      <c r="T397" s="58">
        <f>SUM(R397:S397)</f>
        <v>65</v>
      </c>
      <c r="U397" s="36">
        <v>45993</v>
      </c>
      <c r="V397" s="4"/>
      <c r="W397" s="122" t="s">
        <v>789</v>
      </c>
      <c r="X397" s="4" t="s">
        <v>251</v>
      </c>
    </row>
    <row r="398" spans="1:24" ht="15" thickBot="1">
      <c r="A398" s="4" t="s">
        <v>25</v>
      </c>
      <c r="B398" s="4" t="s">
        <v>26</v>
      </c>
      <c r="C398" s="4" t="s">
        <v>27</v>
      </c>
      <c r="D398" s="4" t="s">
        <v>28</v>
      </c>
      <c r="E398" s="4" t="s">
        <v>29</v>
      </c>
      <c r="F398" s="31">
        <v>45952</v>
      </c>
      <c r="G398" s="4"/>
      <c r="H398" s="4" t="s">
        <v>1520</v>
      </c>
      <c r="I398" s="4" t="s">
        <v>1521</v>
      </c>
      <c r="J398" s="4" t="s">
        <v>379</v>
      </c>
      <c r="K398" s="4" t="s">
        <v>48</v>
      </c>
      <c r="L398" s="4" t="s">
        <v>1522</v>
      </c>
      <c r="M398" s="4"/>
      <c r="N398" s="4" t="s">
        <v>499</v>
      </c>
      <c r="O398" s="4">
        <v>1</v>
      </c>
      <c r="P398" s="112"/>
      <c r="Q398" s="4"/>
      <c r="R398" s="34">
        <v>45</v>
      </c>
      <c r="S398" s="4"/>
      <c r="T398" s="58">
        <v>0</v>
      </c>
      <c r="U398" s="36"/>
      <c r="V398" s="4"/>
      <c r="W398" s="4"/>
      <c r="X398" s="4"/>
    </row>
    <row r="399" spans="1:24" ht="15" thickBot="1">
      <c r="A399" s="4" t="s">
        <v>25</v>
      </c>
      <c r="B399" s="4" t="s">
        <v>26</v>
      </c>
      <c r="C399" s="4" t="s">
        <v>27</v>
      </c>
      <c r="D399" s="4" t="s">
        <v>28</v>
      </c>
      <c r="E399" s="4" t="s">
        <v>29</v>
      </c>
      <c r="F399" s="31">
        <v>45952</v>
      </c>
      <c r="G399" s="4"/>
      <c r="H399" s="4" t="s">
        <v>1523</v>
      </c>
      <c r="I399" s="4" t="s">
        <v>1524</v>
      </c>
      <c r="J399" s="4" t="s">
        <v>379</v>
      </c>
      <c r="K399" s="4" t="s">
        <v>48</v>
      </c>
      <c r="L399" s="4" t="s">
        <v>1525</v>
      </c>
      <c r="M399" s="4"/>
      <c r="N399" s="4" t="s">
        <v>499</v>
      </c>
      <c r="O399" s="4">
        <v>1</v>
      </c>
      <c r="P399" s="112"/>
      <c r="Q399" s="4"/>
      <c r="R399" s="34">
        <v>45</v>
      </c>
      <c r="S399" s="4"/>
      <c r="T399" s="58">
        <v>0</v>
      </c>
      <c r="U399" s="36"/>
      <c r="V399" s="4"/>
      <c r="W399" s="4"/>
      <c r="X399" s="4"/>
    </row>
    <row r="400" spans="1:24" ht="15" thickBot="1">
      <c r="A400" s="4" t="s">
        <v>25</v>
      </c>
      <c r="B400" s="4" t="s">
        <v>26</v>
      </c>
      <c r="C400" s="4" t="s">
        <v>27</v>
      </c>
      <c r="D400" s="4" t="s">
        <v>28</v>
      </c>
      <c r="E400" s="4" t="s">
        <v>29</v>
      </c>
      <c r="F400" s="31">
        <v>45952</v>
      </c>
      <c r="G400" s="4"/>
      <c r="H400" s="4" t="s">
        <v>1526</v>
      </c>
      <c r="I400" s="4" t="s">
        <v>1527</v>
      </c>
      <c r="J400" s="4" t="s">
        <v>160</v>
      </c>
      <c r="K400" s="4" t="s">
        <v>33</v>
      </c>
      <c r="L400" s="4" t="s">
        <v>1528</v>
      </c>
      <c r="M400" s="4" t="s">
        <v>168</v>
      </c>
      <c r="N400" s="4" t="s">
        <v>36</v>
      </c>
      <c r="O400" s="4">
        <v>1</v>
      </c>
      <c r="P400" s="112"/>
      <c r="Q400" s="4" t="s">
        <v>457</v>
      </c>
      <c r="R400" s="34">
        <v>45</v>
      </c>
      <c r="S400" s="34">
        <v>163.75</v>
      </c>
      <c r="T400" s="58">
        <f>SUM(R400:S400)</f>
        <v>208.75</v>
      </c>
      <c r="U400" s="126">
        <v>46085</v>
      </c>
      <c r="V400" s="4"/>
      <c r="W400" s="4"/>
      <c r="X400" s="4"/>
    </row>
    <row r="401" spans="1:24" ht="15" thickBot="1">
      <c r="A401" s="4" t="s">
        <v>25</v>
      </c>
      <c r="B401" s="4" t="s">
        <v>26</v>
      </c>
      <c r="C401" s="4" t="s">
        <v>27</v>
      </c>
      <c r="D401" s="4" t="s">
        <v>28</v>
      </c>
      <c r="E401" s="4" t="s">
        <v>29</v>
      </c>
      <c r="F401" s="31">
        <v>45952</v>
      </c>
      <c r="G401" s="4"/>
      <c r="H401" s="4" t="s">
        <v>1529</v>
      </c>
      <c r="I401" s="4" t="s">
        <v>1530</v>
      </c>
      <c r="J401" s="4" t="s">
        <v>201</v>
      </c>
      <c r="K401" s="4" t="s">
        <v>3233</v>
      </c>
      <c r="L401" s="4" t="s">
        <v>1511</v>
      </c>
      <c r="M401" s="4" t="s">
        <v>1514</v>
      </c>
      <c r="N401" s="4" t="s">
        <v>36</v>
      </c>
      <c r="O401" s="4">
        <v>1</v>
      </c>
      <c r="P401" s="112"/>
      <c r="Q401" s="4" t="s">
        <v>1514</v>
      </c>
      <c r="R401" s="34">
        <v>45</v>
      </c>
      <c r="S401" s="58">
        <v>160</v>
      </c>
      <c r="T401" s="58">
        <f t="shared" ref="T401:T406" si="45">SUM(R401:S401)</f>
        <v>205</v>
      </c>
      <c r="U401" s="126">
        <v>46072</v>
      </c>
      <c r="V401" s="4"/>
      <c r="W401" s="4"/>
      <c r="X401" s="4"/>
    </row>
    <row r="402" spans="1:24" ht="15" thickBot="1">
      <c r="A402" s="4" t="s">
        <v>25</v>
      </c>
      <c r="B402" s="4" t="s">
        <v>26</v>
      </c>
      <c r="C402" s="4" t="s">
        <v>27</v>
      </c>
      <c r="D402" s="4" t="s">
        <v>28</v>
      </c>
      <c r="E402" s="4" t="s">
        <v>29</v>
      </c>
      <c r="F402" s="31">
        <v>45952</v>
      </c>
      <c r="G402" s="4"/>
      <c r="H402" s="4" t="s">
        <v>1531</v>
      </c>
      <c r="I402" s="4" t="s">
        <v>1532</v>
      </c>
      <c r="J402" s="4" t="s">
        <v>160</v>
      </c>
      <c r="K402" s="4" t="s">
        <v>33</v>
      </c>
      <c r="L402" s="4" t="s">
        <v>1326</v>
      </c>
      <c r="M402" s="4" t="s">
        <v>1533</v>
      </c>
      <c r="N402" s="4" t="s">
        <v>36</v>
      </c>
      <c r="O402" s="4">
        <v>1</v>
      </c>
      <c r="P402" s="112"/>
      <c r="Q402" s="4" t="s">
        <v>261</v>
      </c>
      <c r="R402" s="34">
        <v>45</v>
      </c>
      <c r="S402" s="34">
        <v>215</v>
      </c>
      <c r="T402" s="58">
        <f>SUM(R402:S402)</f>
        <v>260</v>
      </c>
      <c r="U402" s="36">
        <v>46010</v>
      </c>
      <c r="V402" s="4"/>
      <c r="W402" s="4"/>
      <c r="X402" s="4" t="s">
        <v>251</v>
      </c>
    </row>
    <row r="403" spans="1:24" ht="15" thickBot="1">
      <c r="A403" s="4" t="s">
        <v>25</v>
      </c>
      <c r="B403" s="4" t="s">
        <v>26</v>
      </c>
      <c r="C403" s="4" t="s">
        <v>27</v>
      </c>
      <c r="D403" s="4" t="s">
        <v>28</v>
      </c>
      <c r="E403" s="4" t="s">
        <v>29</v>
      </c>
      <c r="F403" s="31">
        <v>45952</v>
      </c>
      <c r="G403" s="4"/>
      <c r="H403" s="4" t="s">
        <v>1534</v>
      </c>
      <c r="I403" s="4" t="s">
        <v>1535</v>
      </c>
      <c r="J403" s="4" t="s">
        <v>160</v>
      </c>
      <c r="K403" s="4" t="s">
        <v>3232</v>
      </c>
      <c r="L403" s="4" t="s">
        <v>1536</v>
      </c>
      <c r="M403" s="4" t="s">
        <v>1537</v>
      </c>
      <c r="N403" s="4" t="s">
        <v>36</v>
      </c>
      <c r="O403" s="4">
        <v>1</v>
      </c>
      <c r="P403" s="112"/>
      <c r="Q403" s="4" t="s">
        <v>1537</v>
      </c>
      <c r="R403" s="34">
        <v>45</v>
      </c>
      <c r="S403" s="58">
        <v>435</v>
      </c>
      <c r="T403" s="58">
        <f t="shared" si="45"/>
        <v>480</v>
      </c>
      <c r="U403" s="126">
        <v>46072</v>
      </c>
      <c r="V403" s="4"/>
      <c r="W403" s="4"/>
      <c r="X403" s="4" t="s">
        <v>927</v>
      </c>
    </row>
    <row r="404" spans="1:24" ht="15" thickBot="1">
      <c r="A404" s="4" t="s">
        <v>25</v>
      </c>
      <c r="B404" s="4" t="s">
        <v>26</v>
      </c>
      <c r="C404" s="4" t="s">
        <v>27</v>
      </c>
      <c r="D404" s="4" t="s">
        <v>28</v>
      </c>
      <c r="E404" s="4" t="s">
        <v>29</v>
      </c>
      <c r="F404" s="31">
        <v>45952</v>
      </c>
      <c r="G404" s="4"/>
      <c r="H404" s="4" t="s">
        <v>1538</v>
      </c>
      <c r="I404" s="4" t="s">
        <v>1539</v>
      </c>
      <c r="J404" s="4" t="s">
        <v>201</v>
      </c>
      <c r="K404" s="4" t="s">
        <v>3233</v>
      </c>
      <c r="L404" s="4" t="s">
        <v>1540</v>
      </c>
      <c r="M404" s="4" t="s">
        <v>1514</v>
      </c>
      <c r="N404" s="4" t="s">
        <v>36</v>
      </c>
      <c r="O404" s="4">
        <v>1</v>
      </c>
      <c r="P404" s="112"/>
      <c r="Q404" s="4" t="s">
        <v>1392</v>
      </c>
      <c r="R404" s="34">
        <v>45</v>
      </c>
      <c r="S404" s="58">
        <v>160</v>
      </c>
      <c r="T404" s="58">
        <f t="shared" si="45"/>
        <v>205</v>
      </c>
      <c r="U404" s="126">
        <v>46072</v>
      </c>
      <c r="V404" s="4"/>
      <c r="W404" s="4"/>
      <c r="X404" s="4"/>
    </row>
    <row r="405" spans="1:24" ht="15" thickBot="1">
      <c r="A405" s="4" t="s">
        <v>25</v>
      </c>
      <c r="B405" s="4" t="s">
        <v>26</v>
      </c>
      <c r="C405" s="4" t="s">
        <v>27</v>
      </c>
      <c r="D405" s="4" t="s">
        <v>28</v>
      </c>
      <c r="E405" s="4" t="s">
        <v>29</v>
      </c>
      <c r="F405" s="31">
        <v>45952</v>
      </c>
      <c r="G405" s="4"/>
      <c r="H405" s="4" t="s">
        <v>1541</v>
      </c>
      <c r="I405" s="4" t="s">
        <v>1542</v>
      </c>
      <c r="J405" s="4" t="s">
        <v>379</v>
      </c>
      <c r="K405" s="4" t="s">
        <v>3233</v>
      </c>
      <c r="L405" s="4" t="s">
        <v>1543</v>
      </c>
      <c r="M405" s="4" t="s">
        <v>1514</v>
      </c>
      <c r="N405" s="4" t="s">
        <v>36</v>
      </c>
      <c r="O405" s="4">
        <v>1</v>
      </c>
      <c r="P405" s="112"/>
      <c r="Q405" s="4" t="s">
        <v>1392</v>
      </c>
      <c r="R405" s="34">
        <v>45</v>
      </c>
      <c r="S405" s="58">
        <v>160</v>
      </c>
      <c r="T405" s="58">
        <f t="shared" si="45"/>
        <v>205</v>
      </c>
      <c r="U405" s="126">
        <v>46072</v>
      </c>
      <c r="V405" s="4"/>
      <c r="W405" s="4"/>
      <c r="X405" s="4"/>
    </row>
    <row r="406" spans="1:24" ht="15" thickBot="1">
      <c r="A406" s="4" t="s">
        <v>25</v>
      </c>
      <c r="B406" s="4" t="s">
        <v>26</v>
      </c>
      <c r="C406" s="4" t="s">
        <v>27</v>
      </c>
      <c r="D406" s="4" t="s">
        <v>28</v>
      </c>
      <c r="E406" s="4" t="s">
        <v>29</v>
      </c>
      <c r="F406" s="31">
        <v>45952</v>
      </c>
      <c r="G406" s="4"/>
      <c r="H406" s="4" t="s">
        <v>1544</v>
      </c>
      <c r="I406" s="4" t="s">
        <v>1545</v>
      </c>
      <c r="J406" s="4" t="s">
        <v>160</v>
      </c>
      <c r="K406" s="4" t="s">
        <v>33</v>
      </c>
      <c r="L406" s="4" t="s">
        <v>1546</v>
      </c>
      <c r="M406" s="4"/>
      <c r="N406" s="4" t="s">
        <v>36</v>
      </c>
      <c r="O406" s="4">
        <v>1</v>
      </c>
      <c r="P406" s="112"/>
      <c r="Q406" s="4" t="s">
        <v>457</v>
      </c>
      <c r="R406" s="34">
        <v>45</v>
      </c>
      <c r="S406" s="58">
        <v>163.75</v>
      </c>
      <c r="T406" s="58">
        <f t="shared" si="45"/>
        <v>208.75</v>
      </c>
      <c r="U406" s="36">
        <v>46122</v>
      </c>
      <c r="V406" s="4"/>
      <c r="W406" s="4"/>
      <c r="X406" s="4"/>
    </row>
    <row r="407" spans="1:24" ht="15" thickBot="1">
      <c r="A407" s="4" t="s">
        <v>154</v>
      </c>
      <c r="B407" s="4" t="s">
        <v>155</v>
      </c>
      <c r="C407" s="4">
        <v>616866669</v>
      </c>
      <c r="D407" s="4" t="s">
        <v>156</v>
      </c>
      <c r="E407" s="4" t="s">
        <v>599</v>
      </c>
      <c r="F407" s="31">
        <v>45952</v>
      </c>
      <c r="G407" s="4"/>
      <c r="H407" s="4" t="s">
        <v>1547</v>
      </c>
      <c r="I407" s="4" t="s">
        <v>1548</v>
      </c>
      <c r="J407" s="4" t="s">
        <v>160</v>
      </c>
      <c r="K407" s="4" t="s">
        <v>33</v>
      </c>
      <c r="L407" s="4" t="s">
        <v>1259</v>
      </c>
      <c r="M407" s="4" t="s">
        <v>457</v>
      </c>
      <c r="N407" s="4" t="s">
        <v>36</v>
      </c>
      <c r="O407" s="4">
        <v>1</v>
      </c>
      <c r="P407" s="112"/>
      <c r="Q407" s="4" t="s">
        <v>457</v>
      </c>
      <c r="R407" s="34">
        <v>45</v>
      </c>
      <c r="S407" s="34">
        <v>163.75</v>
      </c>
      <c r="T407" s="58">
        <f>SUM(R407:S407)</f>
        <v>208.75</v>
      </c>
      <c r="U407" s="36">
        <v>46010</v>
      </c>
      <c r="V407" s="4"/>
      <c r="W407" s="122" t="s">
        <v>789</v>
      </c>
      <c r="X407" s="4"/>
    </row>
    <row r="408" spans="1:24" ht="15" thickBot="1">
      <c r="A408" s="4" t="s">
        <v>154</v>
      </c>
      <c r="B408" s="4" t="s">
        <v>155</v>
      </c>
      <c r="C408" s="4">
        <v>616866669</v>
      </c>
      <c r="D408" s="4" t="s">
        <v>156</v>
      </c>
      <c r="E408" s="4" t="s">
        <v>599</v>
      </c>
      <c r="F408" s="31">
        <v>45952</v>
      </c>
      <c r="G408" s="4"/>
      <c r="H408" s="4" t="s">
        <v>1549</v>
      </c>
      <c r="I408" s="4" t="s">
        <v>1550</v>
      </c>
      <c r="J408" s="4" t="s">
        <v>160</v>
      </c>
      <c r="K408" s="4" t="s">
        <v>33</v>
      </c>
      <c r="L408" s="4" t="s">
        <v>936</v>
      </c>
      <c r="M408" s="4"/>
      <c r="N408" s="4" t="s">
        <v>36</v>
      </c>
      <c r="O408" s="4">
        <v>1</v>
      </c>
      <c r="P408" s="112"/>
      <c r="Q408" s="4" t="s">
        <v>261</v>
      </c>
      <c r="R408" s="34">
        <v>45</v>
      </c>
      <c r="S408" s="34">
        <v>215</v>
      </c>
      <c r="T408" s="58">
        <f>SUM(R408:S408)</f>
        <v>260</v>
      </c>
      <c r="U408" s="36">
        <v>46010</v>
      </c>
      <c r="V408" s="4"/>
      <c r="W408" s="4"/>
      <c r="X408" s="4" t="s">
        <v>251</v>
      </c>
    </row>
    <row r="409" spans="1:24" ht="15" thickBot="1">
      <c r="A409" s="4" t="s">
        <v>154</v>
      </c>
      <c r="B409" s="4" t="s">
        <v>155</v>
      </c>
      <c r="C409" s="4">
        <v>616866669</v>
      </c>
      <c r="D409" s="4" t="s">
        <v>156</v>
      </c>
      <c r="E409" s="4" t="s">
        <v>599</v>
      </c>
      <c r="F409" s="31">
        <v>45952</v>
      </c>
      <c r="G409" s="4"/>
      <c r="H409" s="4" t="s">
        <v>1551</v>
      </c>
      <c r="I409" s="4" t="s">
        <v>1552</v>
      </c>
      <c r="J409" s="4" t="s">
        <v>160</v>
      </c>
      <c r="K409" s="4" t="s">
        <v>33</v>
      </c>
      <c r="L409" s="4" t="s">
        <v>351</v>
      </c>
      <c r="M409" s="4" t="s">
        <v>1553</v>
      </c>
      <c r="N409" s="4" t="s">
        <v>36</v>
      </c>
      <c r="O409" s="4">
        <v>1</v>
      </c>
      <c r="P409" s="112"/>
      <c r="Q409" s="4" t="s">
        <v>352</v>
      </c>
      <c r="R409" s="34">
        <v>45</v>
      </c>
      <c r="S409" s="37">
        <v>160</v>
      </c>
      <c r="T409" s="58">
        <f>SUM(R409:S409)</f>
        <v>205</v>
      </c>
      <c r="U409" s="36">
        <v>46010</v>
      </c>
      <c r="V409" s="4"/>
      <c r="W409" s="4"/>
      <c r="X409" s="4"/>
    </row>
    <row r="410" spans="1:24" ht="15" thickBot="1">
      <c r="A410" s="4" t="s">
        <v>154</v>
      </c>
      <c r="B410" s="4" t="s">
        <v>155</v>
      </c>
      <c r="C410" s="4">
        <v>616866669</v>
      </c>
      <c r="D410" s="4" t="s">
        <v>156</v>
      </c>
      <c r="E410" s="4" t="s">
        <v>599</v>
      </c>
      <c r="F410" s="31">
        <v>45952</v>
      </c>
      <c r="G410" s="4"/>
      <c r="H410" s="4" t="s">
        <v>1554</v>
      </c>
      <c r="I410" s="4" t="s">
        <v>3262</v>
      </c>
      <c r="J410" s="4" t="s">
        <v>160</v>
      </c>
      <c r="K410" s="4" t="s">
        <v>33</v>
      </c>
      <c r="L410" s="4" t="s">
        <v>1555</v>
      </c>
      <c r="M410" s="4" t="s">
        <v>66</v>
      </c>
      <c r="N410" s="4" t="s">
        <v>36</v>
      </c>
      <c r="O410" s="4">
        <v>1</v>
      </c>
      <c r="P410" s="112"/>
      <c r="Q410" s="4" t="s">
        <v>66</v>
      </c>
      <c r="R410" s="34">
        <v>45</v>
      </c>
      <c r="S410" s="37">
        <v>120</v>
      </c>
      <c r="T410" s="58">
        <f>SUM(R410:S410)</f>
        <v>165</v>
      </c>
      <c r="U410" s="36">
        <v>46122</v>
      </c>
      <c r="V410" s="4"/>
      <c r="W410" s="4"/>
      <c r="X410" s="4" t="s">
        <v>3261</v>
      </c>
    </row>
    <row r="411" spans="1:24" ht="15" thickBot="1">
      <c r="A411" s="4" t="s">
        <v>154</v>
      </c>
      <c r="B411" s="4" t="s">
        <v>155</v>
      </c>
      <c r="C411" s="4">
        <v>616866669</v>
      </c>
      <c r="D411" s="4" t="s">
        <v>156</v>
      </c>
      <c r="E411" s="4" t="s">
        <v>599</v>
      </c>
      <c r="F411" s="31">
        <v>45952</v>
      </c>
      <c r="G411" s="4"/>
      <c r="H411" s="4" t="s">
        <v>1556</v>
      </c>
      <c r="I411" s="4" t="s">
        <v>1557</v>
      </c>
      <c r="J411" s="4" t="s">
        <v>160</v>
      </c>
      <c r="K411" s="4" t="s">
        <v>33</v>
      </c>
      <c r="L411" s="4" t="s">
        <v>1558</v>
      </c>
      <c r="M411" s="4"/>
      <c r="N411" s="4" t="s">
        <v>499</v>
      </c>
      <c r="O411" s="4">
        <v>1</v>
      </c>
      <c r="P411" s="112"/>
      <c r="Q411" s="4"/>
      <c r="R411" s="34">
        <v>45</v>
      </c>
      <c r="S411" s="4"/>
      <c r="T411" s="58">
        <v>0</v>
      </c>
      <c r="U411" s="36"/>
      <c r="V411" s="4"/>
      <c r="W411" s="4"/>
      <c r="X411" s="4"/>
    </row>
    <row r="412" spans="1:24" ht="15" thickBot="1">
      <c r="A412" s="4" t="s">
        <v>154</v>
      </c>
      <c r="B412" s="4" t="s">
        <v>155</v>
      </c>
      <c r="C412" s="4">
        <v>616866669</v>
      </c>
      <c r="D412" s="4" t="s">
        <v>156</v>
      </c>
      <c r="E412" s="4" t="s">
        <v>599</v>
      </c>
      <c r="F412" s="31">
        <v>45952</v>
      </c>
      <c r="G412" s="4"/>
      <c r="H412" s="4" t="s">
        <v>1559</v>
      </c>
      <c r="I412" s="4" t="s">
        <v>1560</v>
      </c>
      <c r="J412" s="4" t="s">
        <v>160</v>
      </c>
      <c r="K412" s="4" t="s">
        <v>33</v>
      </c>
      <c r="L412" s="4" t="s">
        <v>1561</v>
      </c>
      <c r="M412" s="4" t="s">
        <v>3360</v>
      </c>
      <c r="N412" s="4" t="s">
        <v>36</v>
      </c>
      <c r="O412" s="4">
        <v>1</v>
      </c>
      <c r="P412" s="112"/>
      <c r="Q412" s="4" t="s">
        <v>3361</v>
      </c>
      <c r="R412" s="34">
        <v>45</v>
      </c>
      <c r="S412" s="37">
        <v>378.75</v>
      </c>
      <c r="T412" s="58">
        <f>SUM(R412:S412)</f>
        <v>423.75</v>
      </c>
      <c r="U412" s="36">
        <v>46122</v>
      </c>
      <c r="V412" s="4"/>
      <c r="W412" s="4"/>
      <c r="X412" s="4" t="s">
        <v>3714</v>
      </c>
    </row>
    <row r="413" spans="1:24" ht="15" thickBot="1">
      <c r="A413" s="4" t="s">
        <v>154</v>
      </c>
      <c r="B413" s="4" t="s">
        <v>155</v>
      </c>
      <c r="C413" s="4">
        <v>616866669</v>
      </c>
      <c r="D413" s="4" t="s">
        <v>156</v>
      </c>
      <c r="E413" s="4" t="s">
        <v>599</v>
      </c>
      <c r="F413" s="31">
        <v>45952</v>
      </c>
      <c r="G413" s="4"/>
      <c r="H413" s="4" t="s">
        <v>1562</v>
      </c>
      <c r="I413" s="4" t="s">
        <v>1563</v>
      </c>
      <c r="J413" s="4" t="s">
        <v>160</v>
      </c>
      <c r="K413" s="4" t="s">
        <v>33</v>
      </c>
      <c r="L413" s="4" t="s">
        <v>173</v>
      </c>
      <c r="M413" s="4"/>
      <c r="N413" s="4" t="s">
        <v>499</v>
      </c>
      <c r="O413" s="4">
        <v>1</v>
      </c>
      <c r="P413" s="112"/>
      <c r="Q413" s="4"/>
      <c r="R413" s="34">
        <v>45</v>
      </c>
      <c r="S413" s="4"/>
      <c r="T413" s="58">
        <v>0</v>
      </c>
      <c r="U413" s="36"/>
      <c r="V413" s="4"/>
      <c r="W413" s="4"/>
      <c r="X413" s="4"/>
    </row>
    <row r="414" spans="1:24" ht="15" thickBot="1">
      <c r="A414" s="4" t="s">
        <v>154</v>
      </c>
      <c r="B414" s="4" t="s">
        <v>155</v>
      </c>
      <c r="C414" s="4">
        <v>616866669</v>
      </c>
      <c r="D414" s="4" t="s">
        <v>156</v>
      </c>
      <c r="E414" s="4" t="s">
        <v>599</v>
      </c>
      <c r="F414" s="31">
        <v>45952</v>
      </c>
      <c r="G414" s="4"/>
      <c r="H414" s="4" t="s">
        <v>1564</v>
      </c>
      <c r="I414" s="4" t="s">
        <v>1565</v>
      </c>
      <c r="J414" s="4" t="s">
        <v>216</v>
      </c>
      <c r="K414" s="4" t="s">
        <v>33</v>
      </c>
      <c r="L414" s="4" t="s">
        <v>636</v>
      </c>
      <c r="M414" s="4" t="s">
        <v>1566</v>
      </c>
      <c r="N414" s="4" t="s">
        <v>36</v>
      </c>
      <c r="O414" s="4">
        <v>1</v>
      </c>
      <c r="P414" s="112" t="s">
        <v>1567</v>
      </c>
      <c r="Q414" s="4" t="s">
        <v>194</v>
      </c>
      <c r="R414" s="34">
        <v>45</v>
      </c>
      <c r="S414" s="34">
        <v>100</v>
      </c>
      <c r="T414" s="58">
        <f>SUM(R414:S414)</f>
        <v>145</v>
      </c>
      <c r="U414" s="36">
        <v>45993</v>
      </c>
      <c r="V414" s="4"/>
      <c r="W414" s="4"/>
      <c r="X414" s="4"/>
    </row>
    <row r="415" spans="1:24" ht="15" thickBot="1">
      <c r="A415" s="4" t="s">
        <v>154</v>
      </c>
      <c r="B415" s="4" t="s">
        <v>155</v>
      </c>
      <c r="C415" s="4">
        <v>616866669</v>
      </c>
      <c r="D415" s="4" t="s">
        <v>156</v>
      </c>
      <c r="E415" s="4" t="s">
        <v>599</v>
      </c>
      <c r="F415" s="31">
        <v>45952</v>
      </c>
      <c r="G415" s="4"/>
      <c r="H415" s="4" t="s">
        <v>1568</v>
      </c>
      <c r="I415" s="4" t="s">
        <v>1569</v>
      </c>
      <c r="J415" s="4" t="s">
        <v>216</v>
      </c>
      <c r="K415" s="4" t="s">
        <v>33</v>
      </c>
      <c r="L415" s="4" t="s">
        <v>351</v>
      </c>
      <c r="M415" s="4" t="s">
        <v>1570</v>
      </c>
      <c r="N415" s="4" t="s">
        <v>36</v>
      </c>
      <c r="O415" s="4">
        <v>1</v>
      </c>
      <c r="P415" s="112"/>
      <c r="Q415" s="4" t="s">
        <v>3239</v>
      </c>
      <c r="R415" s="34">
        <v>45</v>
      </c>
      <c r="S415" s="58">
        <v>698.75</v>
      </c>
      <c r="T415" s="58">
        <f t="shared" ref="T415" si="46">SUM(R415:S415)</f>
        <v>743.75</v>
      </c>
      <c r="U415" s="126">
        <v>46072</v>
      </c>
      <c r="V415" s="4"/>
      <c r="W415" s="4"/>
      <c r="X415" s="4" t="s">
        <v>927</v>
      </c>
    </row>
    <row r="416" spans="1:24" ht="15" thickBot="1">
      <c r="A416" s="4" t="s">
        <v>154</v>
      </c>
      <c r="B416" s="4" t="s">
        <v>155</v>
      </c>
      <c r="C416" s="4">
        <v>616866669</v>
      </c>
      <c r="D416" s="4" t="s">
        <v>156</v>
      </c>
      <c r="E416" s="4" t="s">
        <v>599</v>
      </c>
      <c r="F416" s="31">
        <v>45952</v>
      </c>
      <c r="G416" s="4"/>
      <c r="H416" s="4" t="s">
        <v>1571</v>
      </c>
      <c r="I416" s="4" t="s">
        <v>1572</v>
      </c>
      <c r="J416" s="4" t="s">
        <v>216</v>
      </c>
      <c r="K416" s="4" t="s">
        <v>33</v>
      </c>
      <c r="L416" s="4" t="s">
        <v>1573</v>
      </c>
      <c r="M416" s="4" t="s">
        <v>1574</v>
      </c>
      <c r="N416" s="4" t="s">
        <v>36</v>
      </c>
      <c r="O416" s="4">
        <v>1</v>
      </c>
      <c r="P416" s="112"/>
      <c r="Q416" s="4" t="s">
        <v>1575</v>
      </c>
      <c r="R416" s="34">
        <v>45</v>
      </c>
      <c r="S416" s="34">
        <v>303.75</v>
      </c>
      <c r="T416" s="58">
        <f t="shared" ref="T416:T424" si="47">SUM(R416:S416)</f>
        <v>348.75</v>
      </c>
      <c r="U416" s="126">
        <v>46072</v>
      </c>
      <c r="V416" s="4"/>
      <c r="W416" s="4"/>
      <c r="X416" s="4" t="s">
        <v>262</v>
      </c>
    </row>
    <row r="417" spans="1:24" ht="15" thickBot="1">
      <c r="A417" s="4" t="s">
        <v>154</v>
      </c>
      <c r="B417" s="4" t="s">
        <v>155</v>
      </c>
      <c r="C417" s="4">
        <v>616866669</v>
      </c>
      <c r="D417" s="4" t="s">
        <v>156</v>
      </c>
      <c r="E417" s="4" t="s">
        <v>599</v>
      </c>
      <c r="F417" s="31">
        <v>45952</v>
      </c>
      <c r="G417" s="4"/>
      <c r="H417" s="4" t="s">
        <v>1576</v>
      </c>
      <c r="I417" s="4" t="s">
        <v>1577</v>
      </c>
      <c r="J417" s="4" t="s">
        <v>502</v>
      </c>
      <c r="K417" s="4" t="s">
        <v>33</v>
      </c>
      <c r="L417" s="4" t="s">
        <v>1578</v>
      </c>
      <c r="M417" s="4" t="s">
        <v>1579</v>
      </c>
      <c r="N417" s="4" t="s">
        <v>36</v>
      </c>
      <c r="O417" s="4">
        <v>1</v>
      </c>
      <c r="P417" s="112"/>
      <c r="Q417" s="4" t="s">
        <v>1580</v>
      </c>
      <c r="R417" s="34">
        <v>45</v>
      </c>
      <c r="S417" s="34">
        <v>20</v>
      </c>
      <c r="T417" s="58">
        <f t="shared" si="47"/>
        <v>65</v>
      </c>
      <c r="U417" s="36">
        <v>45993</v>
      </c>
      <c r="V417" s="4"/>
      <c r="W417" s="4"/>
      <c r="X417" s="4"/>
    </row>
    <row r="418" spans="1:24" ht="15" thickBot="1">
      <c r="A418" s="4" t="s">
        <v>154</v>
      </c>
      <c r="B418" s="4" t="s">
        <v>155</v>
      </c>
      <c r="C418" s="4">
        <v>616866669</v>
      </c>
      <c r="D418" s="4" t="s">
        <v>156</v>
      </c>
      <c r="E418" s="4" t="s">
        <v>599</v>
      </c>
      <c r="F418" s="31">
        <v>45952</v>
      </c>
      <c r="G418" s="4"/>
      <c r="H418" s="4" t="s">
        <v>1581</v>
      </c>
      <c r="I418" s="4" t="s">
        <v>1582</v>
      </c>
      <c r="J418" s="4" t="s">
        <v>345</v>
      </c>
      <c r="K418" s="4" t="s">
        <v>48</v>
      </c>
      <c r="L418" s="4" t="s">
        <v>1216</v>
      </c>
      <c r="M418" s="4" t="s">
        <v>1583</v>
      </c>
      <c r="N418" s="4" t="s">
        <v>36</v>
      </c>
      <c r="O418" s="4">
        <v>1</v>
      </c>
      <c r="P418" s="112"/>
      <c r="Q418" s="4" t="s">
        <v>1584</v>
      </c>
      <c r="R418" s="34">
        <v>45</v>
      </c>
      <c r="S418" s="58">
        <v>0</v>
      </c>
      <c r="T418" s="58">
        <f t="shared" si="47"/>
        <v>45</v>
      </c>
      <c r="U418" s="36">
        <v>46010</v>
      </c>
      <c r="V418" s="4"/>
      <c r="W418" s="4"/>
      <c r="X418" s="4"/>
    </row>
    <row r="419" spans="1:24" ht="15" thickBot="1">
      <c r="A419" s="4" t="s">
        <v>154</v>
      </c>
      <c r="B419" s="4" t="s">
        <v>155</v>
      </c>
      <c r="C419" s="4">
        <v>616866669</v>
      </c>
      <c r="D419" s="4" t="s">
        <v>156</v>
      </c>
      <c r="E419" s="4" t="s">
        <v>599</v>
      </c>
      <c r="F419" s="31">
        <v>45952</v>
      </c>
      <c r="G419" s="4"/>
      <c r="H419" s="4" t="s">
        <v>1585</v>
      </c>
      <c r="I419" s="4" t="s">
        <v>1586</v>
      </c>
      <c r="J419" s="4" t="s">
        <v>201</v>
      </c>
      <c r="K419" s="4" t="s">
        <v>48</v>
      </c>
      <c r="L419" s="4" t="s">
        <v>1587</v>
      </c>
      <c r="M419" s="4" t="s">
        <v>3227</v>
      </c>
      <c r="N419" s="4" t="s">
        <v>36</v>
      </c>
      <c r="O419" s="4">
        <v>1</v>
      </c>
      <c r="P419" s="112"/>
      <c r="Q419" s="4" t="s">
        <v>3227</v>
      </c>
      <c r="R419" s="34">
        <v>45</v>
      </c>
      <c r="S419" s="58">
        <v>0</v>
      </c>
      <c r="T419" s="58">
        <f t="shared" si="47"/>
        <v>45</v>
      </c>
      <c r="U419" s="36">
        <v>46122</v>
      </c>
      <c r="V419" s="4"/>
      <c r="W419" s="4"/>
      <c r="X419" s="4"/>
    </row>
    <row r="420" spans="1:24" ht="15" thickBot="1">
      <c r="A420" s="4" t="s">
        <v>154</v>
      </c>
      <c r="B420" s="4" t="s">
        <v>155</v>
      </c>
      <c r="C420" s="4">
        <v>616866669</v>
      </c>
      <c r="D420" s="4" t="s">
        <v>156</v>
      </c>
      <c r="E420" s="4" t="s">
        <v>599</v>
      </c>
      <c r="F420" s="31">
        <v>45952</v>
      </c>
      <c r="G420" s="4"/>
      <c r="H420" s="4" t="s">
        <v>1588</v>
      </c>
      <c r="I420" s="4" t="s">
        <v>1589</v>
      </c>
      <c r="J420" s="4" t="s">
        <v>201</v>
      </c>
      <c r="K420" s="4" t="s">
        <v>48</v>
      </c>
      <c r="L420" s="4" t="s">
        <v>1590</v>
      </c>
      <c r="M420" s="4" t="s">
        <v>3680</v>
      </c>
      <c r="N420" s="4" t="s">
        <v>36</v>
      </c>
      <c r="O420" s="4">
        <v>1</v>
      </c>
      <c r="P420" s="112"/>
      <c r="Q420" s="4" t="s">
        <v>3681</v>
      </c>
      <c r="R420" s="34">
        <v>45</v>
      </c>
      <c r="S420" s="58">
        <v>100</v>
      </c>
      <c r="T420" s="58">
        <f t="shared" si="47"/>
        <v>145</v>
      </c>
      <c r="U420" s="36">
        <v>46122</v>
      </c>
      <c r="V420" s="4"/>
      <c r="W420" s="4"/>
      <c r="X420" s="4"/>
    </row>
    <row r="421" spans="1:24" ht="15" thickBot="1">
      <c r="A421" s="4" t="s">
        <v>154</v>
      </c>
      <c r="B421" s="4" t="s">
        <v>155</v>
      </c>
      <c r="C421" s="4">
        <v>616866669</v>
      </c>
      <c r="D421" s="4" t="s">
        <v>156</v>
      </c>
      <c r="E421" s="4" t="s">
        <v>599</v>
      </c>
      <c r="F421" s="31">
        <v>45952</v>
      </c>
      <c r="G421" s="4"/>
      <c r="H421" s="4" t="s">
        <v>1591</v>
      </c>
      <c r="I421" s="4" t="s">
        <v>1592</v>
      </c>
      <c r="J421" s="4" t="s">
        <v>201</v>
      </c>
      <c r="K421" s="4" t="s">
        <v>48</v>
      </c>
      <c r="L421" s="4" t="s">
        <v>1593</v>
      </c>
      <c r="M421" s="4" t="s">
        <v>3694</v>
      </c>
      <c r="N421" s="4" t="s">
        <v>36</v>
      </c>
      <c r="O421" s="4">
        <v>1</v>
      </c>
      <c r="P421" s="112"/>
      <c r="Q421" s="4" t="s">
        <v>3694</v>
      </c>
      <c r="R421" s="34">
        <v>45</v>
      </c>
      <c r="S421" s="58">
        <v>125</v>
      </c>
      <c r="T421" s="58">
        <f t="shared" si="47"/>
        <v>170</v>
      </c>
      <c r="U421" s="36">
        <v>46122</v>
      </c>
      <c r="V421" s="4"/>
      <c r="W421" s="4"/>
      <c r="X421" s="4"/>
    </row>
    <row r="422" spans="1:24" ht="15" thickBot="1">
      <c r="A422" s="4" t="s">
        <v>154</v>
      </c>
      <c r="B422" s="4" t="s">
        <v>155</v>
      </c>
      <c r="C422" s="4">
        <v>616866669</v>
      </c>
      <c r="D422" s="4" t="s">
        <v>156</v>
      </c>
      <c r="E422" s="4" t="s">
        <v>599</v>
      </c>
      <c r="F422" s="31">
        <v>45952</v>
      </c>
      <c r="G422" s="4"/>
      <c r="H422" s="4" t="s">
        <v>1594</v>
      </c>
      <c r="I422" s="4" t="s">
        <v>1595</v>
      </c>
      <c r="J422" s="4" t="s">
        <v>345</v>
      </c>
      <c r="K422" s="4" t="s">
        <v>1596</v>
      </c>
      <c r="L422" s="4" t="s">
        <v>290</v>
      </c>
      <c r="M422" s="4" t="s">
        <v>1597</v>
      </c>
      <c r="N422" s="4" t="s">
        <v>36</v>
      </c>
      <c r="O422" s="4">
        <v>1</v>
      </c>
      <c r="P422" s="112" t="s">
        <v>1598</v>
      </c>
      <c r="Q422" s="4" t="s">
        <v>134</v>
      </c>
      <c r="R422" s="34">
        <v>45</v>
      </c>
      <c r="S422" s="58">
        <v>77</v>
      </c>
      <c r="T422" s="58">
        <f t="shared" si="47"/>
        <v>122</v>
      </c>
      <c r="U422" s="36">
        <v>46122</v>
      </c>
      <c r="V422" s="4"/>
      <c r="W422" s="4"/>
      <c r="X422" s="4"/>
    </row>
    <row r="423" spans="1:24" ht="15" thickBot="1">
      <c r="A423" s="4" t="s">
        <v>154</v>
      </c>
      <c r="B423" s="4" t="s">
        <v>155</v>
      </c>
      <c r="C423" s="4">
        <v>616866669</v>
      </c>
      <c r="D423" s="4" t="s">
        <v>156</v>
      </c>
      <c r="E423" s="4" t="s">
        <v>599</v>
      </c>
      <c r="F423" s="31">
        <v>45952</v>
      </c>
      <c r="G423" s="4"/>
      <c r="H423" s="4" t="s">
        <v>1599</v>
      </c>
      <c r="I423" s="4" t="s">
        <v>1600</v>
      </c>
      <c r="J423" s="4" t="s">
        <v>379</v>
      </c>
      <c r="K423" s="4" t="s">
        <v>48</v>
      </c>
      <c r="L423" s="4" t="s">
        <v>1256</v>
      </c>
      <c r="M423" s="4" t="s">
        <v>66</v>
      </c>
      <c r="N423" s="4" t="s">
        <v>36</v>
      </c>
      <c r="O423" s="4">
        <v>1</v>
      </c>
      <c r="P423" s="112"/>
      <c r="Q423" s="4" t="s">
        <v>66</v>
      </c>
      <c r="R423" s="34">
        <v>45</v>
      </c>
      <c r="S423" s="34">
        <v>120</v>
      </c>
      <c r="T423" s="58">
        <f t="shared" si="47"/>
        <v>165</v>
      </c>
      <c r="U423" s="126">
        <v>46072</v>
      </c>
      <c r="V423" s="4"/>
      <c r="W423" s="4"/>
      <c r="X423" s="4"/>
    </row>
    <row r="424" spans="1:24" ht="15" thickBot="1">
      <c r="A424" s="4" t="s">
        <v>25</v>
      </c>
      <c r="B424" s="4" t="s">
        <v>26</v>
      </c>
      <c r="C424" s="4" t="s">
        <v>27</v>
      </c>
      <c r="D424" s="4" t="s">
        <v>28</v>
      </c>
      <c r="E424" s="4" t="s">
        <v>29</v>
      </c>
      <c r="F424" s="31">
        <v>45975</v>
      </c>
      <c r="G424" s="4"/>
      <c r="H424" s="4" t="s">
        <v>1601</v>
      </c>
      <c r="I424" s="4" t="s">
        <v>1602</v>
      </c>
      <c r="J424" s="4" t="s">
        <v>160</v>
      </c>
      <c r="K424" s="4" t="s">
        <v>33</v>
      </c>
      <c r="L424" s="4" t="s">
        <v>1348</v>
      </c>
      <c r="M424" s="4"/>
      <c r="N424" s="4" t="s">
        <v>36</v>
      </c>
      <c r="O424" s="4">
        <v>1</v>
      </c>
      <c r="P424" s="112"/>
      <c r="Q424" s="4" t="s">
        <v>457</v>
      </c>
      <c r="R424" s="34">
        <v>45</v>
      </c>
      <c r="S424" s="34">
        <v>163.75</v>
      </c>
      <c r="T424" s="58">
        <f t="shared" si="47"/>
        <v>208.75</v>
      </c>
      <c r="U424" s="36">
        <v>46038</v>
      </c>
      <c r="V424" s="4"/>
      <c r="W424" s="4"/>
      <c r="X424" s="4"/>
    </row>
    <row r="425" spans="1:24" ht="15" thickBot="1">
      <c r="A425" s="4" t="s">
        <v>25</v>
      </c>
      <c r="B425" s="4" t="s">
        <v>26</v>
      </c>
      <c r="C425" s="4" t="s">
        <v>27</v>
      </c>
      <c r="D425" s="4" t="s">
        <v>28</v>
      </c>
      <c r="E425" s="4" t="s">
        <v>29</v>
      </c>
      <c r="F425" s="31">
        <v>45975</v>
      </c>
      <c r="G425" s="4"/>
      <c r="H425" s="4" t="s">
        <v>1603</v>
      </c>
      <c r="I425" s="4" t="s">
        <v>1604</v>
      </c>
      <c r="J425" s="4" t="s">
        <v>379</v>
      </c>
      <c r="K425" s="4" t="s">
        <v>48</v>
      </c>
      <c r="L425" s="4" t="s">
        <v>351</v>
      </c>
      <c r="M425" s="4"/>
      <c r="N425" s="4" t="s">
        <v>499</v>
      </c>
      <c r="O425" s="4">
        <v>1</v>
      </c>
      <c r="P425" s="112"/>
      <c r="Q425" s="4"/>
      <c r="R425" s="34">
        <v>45</v>
      </c>
      <c r="S425" s="4"/>
      <c r="T425" s="58">
        <v>0</v>
      </c>
      <c r="U425" s="36"/>
      <c r="V425" s="4"/>
      <c r="W425" s="4"/>
      <c r="X425" s="4"/>
    </row>
    <row r="426" spans="1:24" ht="15" thickBot="1">
      <c r="A426" s="4" t="s">
        <v>25</v>
      </c>
      <c r="B426" s="4" t="s">
        <v>26</v>
      </c>
      <c r="C426" s="4" t="s">
        <v>27</v>
      </c>
      <c r="D426" s="4" t="s">
        <v>28</v>
      </c>
      <c r="E426" s="4" t="s">
        <v>29</v>
      </c>
      <c r="F426" s="31">
        <v>45975</v>
      </c>
      <c r="G426" s="4"/>
      <c r="H426" s="4" t="s">
        <v>1605</v>
      </c>
      <c r="I426" s="4" t="s">
        <v>1606</v>
      </c>
      <c r="J426" s="4" t="s">
        <v>379</v>
      </c>
      <c r="K426" s="4" t="s">
        <v>48</v>
      </c>
      <c r="L426" s="4" t="s">
        <v>1607</v>
      </c>
      <c r="M426" s="4"/>
      <c r="N426" s="4" t="s">
        <v>499</v>
      </c>
      <c r="O426" s="4">
        <v>1</v>
      </c>
      <c r="P426" s="112"/>
      <c r="Q426" s="4"/>
      <c r="R426" s="34">
        <v>45</v>
      </c>
      <c r="S426" s="4"/>
      <c r="T426" s="58">
        <v>0</v>
      </c>
      <c r="U426" s="36"/>
      <c r="V426" s="4"/>
      <c r="W426" s="4"/>
      <c r="X426" s="4"/>
    </row>
    <row r="427" spans="1:24" ht="15" thickBot="1">
      <c r="A427" s="4" t="s">
        <v>25</v>
      </c>
      <c r="B427" s="4" t="s">
        <v>26</v>
      </c>
      <c r="C427" s="4" t="s">
        <v>27</v>
      </c>
      <c r="D427" s="4" t="s">
        <v>28</v>
      </c>
      <c r="E427" s="4" t="s">
        <v>29</v>
      </c>
      <c r="F427" s="31">
        <v>45975</v>
      </c>
      <c r="G427" s="4"/>
      <c r="H427" s="4" t="s">
        <v>1608</v>
      </c>
      <c r="I427" s="4" t="s">
        <v>1609</v>
      </c>
      <c r="J427" s="4" t="s">
        <v>756</v>
      </c>
      <c r="K427" s="4" t="s">
        <v>33</v>
      </c>
      <c r="L427" s="4" t="s">
        <v>173</v>
      </c>
      <c r="M427" s="4" t="s">
        <v>1610</v>
      </c>
      <c r="N427" s="4" t="s">
        <v>499</v>
      </c>
      <c r="O427" s="4">
        <v>1</v>
      </c>
      <c r="P427" s="112"/>
      <c r="Q427" s="4"/>
      <c r="R427" s="34">
        <v>45</v>
      </c>
      <c r="S427" s="4"/>
      <c r="T427" s="58">
        <v>0</v>
      </c>
      <c r="U427" s="36"/>
      <c r="V427" s="4"/>
      <c r="W427" s="4"/>
      <c r="X427" s="4"/>
    </row>
    <row r="428" spans="1:24" ht="15" thickBot="1">
      <c r="A428" s="4" t="s">
        <v>25</v>
      </c>
      <c r="B428" s="4" t="s">
        <v>26</v>
      </c>
      <c r="C428" s="4" t="s">
        <v>27</v>
      </c>
      <c r="D428" s="4" t="s">
        <v>28</v>
      </c>
      <c r="E428" s="4" t="s">
        <v>29</v>
      </c>
      <c r="F428" s="31">
        <v>45975</v>
      </c>
      <c r="G428" s="4"/>
      <c r="H428" s="4" t="s">
        <v>1611</v>
      </c>
      <c r="I428" s="4" t="s">
        <v>1612</v>
      </c>
      <c r="J428" s="4" t="s">
        <v>160</v>
      </c>
      <c r="K428" s="4" t="s">
        <v>33</v>
      </c>
      <c r="L428" s="4" t="s">
        <v>1348</v>
      </c>
      <c r="M428" s="4" t="s">
        <v>457</v>
      </c>
      <c r="N428" s="4" t="s">
        <v>36</v>
      </c>
      <c r="O428" s="4">
        <v>1</v>
      </c>
      <c r="P428" s="112"/>
      <c r="Q428" s="4" t="s">
        <v>457</v>
      </c>
      <c r="R428" s="34">
        <v>45</v>
      </c>
      <c r="S428" s="34">
        <v>163.75</v>
      </c>
      <c r="T428" s="58">
        <f t="shared" ref="T428:T434" si="48">SUM(R428:S428)</f>
        <v>208.75</v>
      </c>
      <c r="U428" s="126">
        <v>46085</v>
      </c>
      <c r="V428" s="4"/>
      <c r="W428" s="4"/>
      <c r="X428" s="4"/>
    </row>
    <row r="429" spans="1:24" ht="15" thickBot="1">
      <c r="A429" s="4" t="s">
        <v>25</v>
      </c>
      <c r="B429" s="4" t="s">
        <v>26</v>
      </c>
      <c r="C429" s="4" t="s">
        <v>27</v>
      </c>
      <c r="D429" s="4" t="s">
        <v>28</v>
      </c>
      <c r="E429" s="4" t="s">
        <v>29</v>
      </c>
      <c r="F429" s="31">
        <v>45975</v>
      </c>
      <c r="G429" s="4"/>
      <c r="H429" s="4" t="s">
        <v>1613</v>
      </c>
      <c r="I429" s="4" t="s">
        <v>1614</v>
      </c>
      <c r="J429" s="4" t="s">
        <v>160</v>
      </c>
      <c r="K429" s="4" t="s">
        <v>33</v>
      </c>
      <c r="L429" s="4" t="s">
        <v>1615</v>
      </c>
      <c r="M429" s="4"/>
      <c r="N429" s="4" t="s">
        <v>36</v>
      </c>
      <c r="O429" s="4">
        <v>1</v>
      </c>
      <c r="P429" s="112"/>
      <c r="Q429" s="4" t="s">
        <v>117</v>
      </c>
      <c r="R429" s="34">
        <v>45</v>
      </c>
      <c r="S429" s="58">
        <v>215</v>
      </c>
      <c r="T429" s="58">
        <f t="shared" si="48"/>
        <v>260</v>
      </c>
      <c r="U429" s="36">
        <v>46038</v>
      </c>
      <c r="V429" s="4"/>
      <c r="W429" s="4"/>
      <c r="X429" s="4"/>
    </row>
    <row r="430" spans="1:24" ht="15" thickBot="1">
      <c r="A430" s="4" t="s">
        <v>25</v>
      </c>
      <c r="B430" s="4" t="s">
        <v>26</v>
      </c>
      <c r="C430" s="4" t="s">
        <v>27</v>
      </c>
      <c r="D430" s="4" t="s">
        <v>28</v>
      </c>
      <c r="E430" s="4" t="s">
        <v>29</v>
      </c>
      <c r="F430" s="31">
        <v>45975</v>
      </c>
      <c r="G430" s="4"/>
      <c r="H430" s="4" t="s">
        <v>1616</v>
      </c>
      <c r="I430" s="4" t="s">
        <v>1617</v>
      </c>
      <c r="J430" s="4" t="s">
        <v>397</v>
      </c>
      <c r="K430" s="4" t="s">
        <v>48</v>
      </c>
      <c r="L430" s="4" t="s">
        <v>1517</v>
      </c>
      <c r="M430" s="4" t="s">
        <v>3688</v>
      </c>
      <c r="N430" s="4" t="s">
        <v>36</v>
      </c>
      <c r="O430" s="4">
        <v>1</v>
      </c>
      <c r="P430" s="112"/>
      <c r="Q430" s="4" t="s">
        <v>3688</v>
      </c>
      <c r="R430" s="34">
        <v>45</v>
      </c>
      <c r="S430" s="58">
        <v>0</v>
      </c>
      <c r="T430" s="58">
        <f t="shared" si="48"/>
        <v>45</v>
      </c>
      <c r="U430" s="36">
        <v>46122</v>
      </c>
      <c r="V430" s="4"/>
      <c r="W430" s="4"/>
      <c r="X430" s="4"/>
    </row>
    <row r="431" spans="1:24" ht="15" thickBot="1">
      <c r="A431" s="4" t="s">
        <v>25</v>
      </c>
      <c r="B431" s="4" t="s">
        <v>26</v>
      </c>
      <c r="C431" s="4" t="s">
        <v>27</v>
      </c>
      <c r="D431" s="4" t="s">
        <v>28</v>
      </c>
      <c r="E431" s="4" t="s">
        <v>29</v>
      </c>
      <c r="F431" s="31">
        <v>45975</v>
      </c>
      <c r="G431" s="4"/>
      <c r="H431" s="4" t="s">
        <v>1618</v>
      </c>
      <c r="I431" s="4" t="s">
        <v>1619</v>
      </c>
      <c r="J431" s="4" t="s">
        <v>160</v>
      </c>
      <c r="K431" s="4" t="s">
        <v>33</v>
      </c>
      <c r="L431" s="4" t="s">
        <v>1348</v>
      </c>
      <c r="M431" s="4"/>
      <c r="N431" s="4" t="s">
        <v>36</v>
      </c>
      <c r="O431" s="4">
        <v>1</v>
      </c>
      <c r="P431" s="112"/>
      <c r="Q431" s="4" t="s">
        <v>457</v>
      </c>
      <c r="R431" s="34">
        <v>45</v>
      </c>
      <c r="S431" s="58">
        <v>163.75</v>
      </c>
      <c r="T431" s="58">
        <f t="shared" si="48"/>
        <v>208.75</v>
      </c>
      <c r="U431" s="36">
        <v>46010</v>
      </c>
      <c r="V431" s="4"/>
      <c r="W431" s="4"/>
      <c r="X431" s="4"/>
    </row>
    <row r="432" spans="1:24" ht="15" thickBot="1">
      <c r="A432" s="4" t="s">
        <v>25</v>
      </c>
      <c r="B432" s="4" t="s">
        <v>26</v>
      </c>
      <c r="C432" s="4" t="s">
        <v>27</v>
      </c>
      <c r="D432" s="4" t="s">
        <v>28</v>
      </c>
      <c r="E432" s="4" t="s">
        <v>29</v>
      </c>
      <c r="F432" s="31">
        <v>45975</v>
      </c>
      <c r="G432" s="4"/>
      <c r="H432" s="4" t="s">
        <v>666</v>
      </c>
      <c r="I432" s="4" t="s">
        <v>667</v>
      </c>
      <c r="J432" s="4" t="s">
        <v>201</v>
      </c>
      <c r="K432" s="4" t="s">
        <v>48</v>
      </c>
      <c r="L432" s="4" t="s">
        <v>1607</v>
      </c>
      <c r="M432" s="4" t="s">
        <v>1620</v>
      </c>
      <c r="N432" s="4" t="s">
        <v>36</v>
      </c>
      <c r="O432" s="4">
        <v>1</v>
      </c>
      <c r="P432" s="112"/>
      <c r="Q432" s="4" t="s">
        <v>3735</v>
      </c>
      <c r="R432" s="34">
        <v>45</v>
      </c>
      <c r="S432" s="58">
        <v>0</v>
      </c>
      <c r="T432" s="58">
        <f t="shared" si="48"/>
        <v>45</v>
      </c>
      <c r="U432" s="36">
        <v>46122</v>
      </c>
      <c r="V432" s="4"/>
      <c r="W432" s="122" t="s">
        <v>789</v>
      </c>
      <c r="X432" s="4"/>
    </row>
    <row r="433" spans="1:24" ht="15" thickBot="1">
      <c r="A433" s="4" t="s">
        <v>25</v>
      </c>
      <c r="B433" s="4" t="s">
        <v>26</v>
      </c>
      <c r="C433" s="4" t="s">
        <v>27</v>
      </c>
      <c r="D433" s="4" t="s">
        <v>28</v>
      </c>
      <c r="E433" s="4" t="s">
        <v>29</v>
      </c>
      <c r="F433" s="31">
        <v>45975</v>
      </c>
      <c r="G433" s="4"/>
      <c r="H433" s="4" t="s">
        <v>1621</v>
      </c>
      <c r="I433" s="4" t="s">
        <v>1622</v>
      </c>
      <c r="J433" s="4" t="s">
        <v>201</v>
      </c>
      <c r="K433" s="4" t="s">
        <v>3233</v>
      </c>
      <c r="L433" s="4" t="s">
        <v>1623</v>
      </c>
      <c r="M433" s="4"/>
      <c r="N433" s="4" t="s">
        <v>36</v>
      </c>
      <c r="O433" s="4">
        <v>1</v>
      </c>
      <c r="P433" s="112"/>
      <c r="Q433" s="4" t="s">
        <v>3230</v>
      </c>
      <c r="R433" s="34">
        <v>45</v>
      </c>
      <c r="S433" s="34">
        <v>0</v>
      </c>
      <c r="T433" s="58">
        <f t="shared" si="48"/>
        <v>45</v>
      </c>
      <c r="U433" s="126">
        <v>46072</v>
      </c>
      <c r="V433" s="4"/>
      <c r="W433" s="4"/>
      <c r="X433" s="4"/>
    </row>
    <row r="434" spans="1:24" ht="15" thickBot="1">
      <c r="A434" s="4" t="s">
        <v>25</v>
      </c>
      <c r="B434" s="4" t="s">
        <v>26</v>
      </c>
      <c r="C434" s="4" t="s">
        <v>27</v>
      </c>
      <c r="D434" s="4" t="s">
        <v>28</v>
      </c>
      <c r="E434" s="4" t="s">
        <v>29</v>
      </c>
      <c r="F434" s="31">
        <v>45975</v>
      </c>
      <c r="G434" s="4"/>
      <c r="H434" s="4" t="s">
        <v>1624</v>
      </c>
      <c r="I434" s="4" t="s">
        <v>1625</v>
      </c>
      <c r="J434" s="4" t="s">
        <v>502</v>
      </c>
      <c r="K434" s="4" t="s">
        <v>3232</v>
      </c>
      <c r="L434" s="4" t="s">
        <v>1348</v>
      </c>
      <c r="M434" s="4"/>
      <c r="N434" s="4" t="s">
        <v>36</v>
      </c>
      <c r="O434" s="4">
        <v>1</v>
      </c>
      <c r="P434" s="112"/>
      <c r="Q434" s="4" t="s">
        <v>474</v>
      </c>
      <c r="R434" s="34">
        <v>45</v>
      </c>
      <c r="S434" s="34">
        <v>183.75</v>
      </c>
      <c r="T434" s="58">
        <f t="shared" si="48"/>
        <v>228.75</v>
      </c>
      <c r="U434" s="126">
        <v>46072</v>
      </c>
      <c r="V434" s="4"/>
      <c r="W434" s="4"/>
      <c r="X434" s="4"/>
    </row>
    <row r="435" spans="1:24" ht="15" thickBot="1">
      <c r="A435" s="4" t="s">
        <v>25</v>
      </c>
      <c r="B435" s="4" t="s">
        <v>26</v>
      </c>
      <c r="C435" s="4" t="s">
        <v>27</v>
      </c>
      <c r="D435" s="4" t="s">
        <v>28</v>
      </c>
      <c r="E435" s="4" t="s">
        <v>29</v>
      </c>
      <c r="F435" s="31">
        <v>45975</v>
      </c>
      <c r="G435" s="4"/>
      <c r="H435" s="4" t="s">
        <v>1626</v>
      </c>
      <c r="I435" s="4" t="s">
        <v>1627</v>
      </c>
      <c r="J435" s="4" t="s">
        <v>201</v>
      </c>
      <c r="K435" s="4" t="s">
        <v>48</v>
      </c>
      <c r="L435" s="4" t="s">
        <v>1348</v>
      </c>
      <c r="M435" s="4" t="s">
        <v>1628</v>
      </c>
      <c r="N435" s="4" t="s">
        <v>499</v>
      </c>
      <c r="O435" s="4">
        <v>1</v>
      </c>
      <c r="P435" s="112" t="s">
        <v>1598</v>
      </c>
      <c r="Q435" s="4"/>
      <c r="R435" s="34">
        <v>45</v>
      </c>
      <c r="S435" s="4"/>
      <c r="T435" s="58">
        <v>0</v>
      </c>
      <c r="U435" s="36"/>
      <c r="V435" s="4"/>
      <c r="W435" s="4"/>
      <c r="X435" s="4"/>
    </row>
    <row r="436" spans="1:24" ht="15" thickBot="1">
      <c r="A436" s="4" t="s">
        <v>25</v>
      </c>
      <c r="B436" s="4" t="s">
        <v>26</v>
      </c>
      <c r="C436" s="4" t="s">
        <v>27</v>
      </c>
      <c r="D436" s="4" t="s">
        <v>28</v>
      </c>
      <c r="E436" s="4" t="s">
        <v>29</v>
      </c>
      <c r="F436" s="31">
        <v>45975</v>
      </c>
      <c r="G436" s="4"/>
      <c r="H436" s="4" t="s">
        <v>1629</v>
      </c>
      <c r="I436" s="4" t="s">
        <v>1630</v>
      </c>
      <c r="J436" s="4" t="s">
        <v>160</v>
      </c>
      <c r="K436" s="4" t="s">
        <v>33</v>
      </c>
      <c r="L436" s="4" t="s">
        <v>1631</v>
      </c>
      <c r="M436" s="4" t="s">
        <v>457</v>
      </c>
      <c r="N436" s="4" t="s">
        <v>36</v>
      </c>
      <c r="O436" s="4">
        <v>1</v>
      </c>
      <c r="P436" s="112"/>
      <c r="Q436" s="4" t="s">
        <v>457</v>
      </c>
      <c r="R436" s="34">
        <v>45</v>
      </c>
      <c r="S436" s="34">
        <v>163.75</v>
      </c>
      <c r="T436" s="58">
        <f t="shared" ref="T436:T447" si="49">SUM(R436:S436)</f>
        <v>208.75</v>
      </c>
      <c r="U436" s="126">
        <v>46085</v>
      </c>
      <c r="V436" s="4"/>
      <c r="W436" s="4"/>
      <c r="X436" s="4"/>
    </row>
    <row r="437" spans="1:24" ht="15" thickBot="1">
      <c r="A437" s="4" t="s">
        <v>25</v>
      </c>
      <c r="B437" s="4" t="s">
        <v>26</v>
      </c>
      <c r="C437" s="4" t="s">
        <v>27</v>
      </c>
      <c r="D437" s="4" t="s">
        <v>28</v>
      </c>
      <c r="E437" s="4" t="s">
        <v>29</v>
      </c>
      <c r="F437" s="31">
        <v>45975</v>
      </c>
      <c r="G437" s="4"/>
      <c r="H437" s="4" t="s">
        <v>934</v>
      </c>
      <c r="I437" s="4" t="s">
        <v>935</v>
      </c>
      <c r="J437" s="4" t="s">
        <v>201</v>
      </c>
      <c r="K437" s="4" t="s">
        <v>3233</v>
      </c>
      <c r="L437" s="4" t="s">
        <v>1517</v>
      </c>
      <c r="M437" s="4"/>
      <c r="N437" s="4" t="s">
        <v>36</v>
      </c>
      <c r="O437" s="4">
        <v>1</v>
      </c>
      <c r="P437" s="112"/>
      <c r="Q437" s="4" t="s">
        <v>3230</v>
      </c>
      <c r="R437" s="34">
        <v>45</v>
      </c>
      <c r="S437" s="34">
        <v>0</v>
      </c>
      <c r="T437" s="58">
        <f t="shared" si="49"/>
        <v>45</v>
      </c>
      <c r="U437" s="126">
        <v>46072</v>
      </c>
      <c r="V437" s="4"/>
      <c r="W437" s="122" t="s">
        <v>789</v>
      </c>
      <c r="X437" s="4"/>
    </row>
    <row r="438" spans="1:24" ht="15" thickBot="1">
      <c r="A438" s="4" t="s">
        <v>25</v>
      </c>
      <c r="B438" s="4" t="s">
        <v>26</v>
      </c>
      <c r="C438" s="4" t="s">
        <v>27</v>
      </c>
      <c r="D438" s="4" t="s">
        <v>28</v>
      </c>
      <c r="E438" s="4" t="s">
        <v>29</v>
      </c>
      <c r="F438" s="31">
        <v>45975</v>
      </c>
      <c r="G438" s="4"/>
      <c r="H438" s="4" t="s">
        <v>1632</v>
      </c>
      <c r="I438" s="4" t="s">
        <v>1633</v>
      </c>
      <c r="J438" s="4" t="s">
        <v>160</v>
      </c>
      <c r="K438" s="4" t="s">
        <v>33</v>
      </c>
      <c r="L438" s="4" t="s">
        <v>1634</v>
      </c>
      <c r="M438" s="4" t="s">
        <v>2920</v>
      </c>
      <c r="N438" s="4" t="s">
        <v>36</v>
      </c>
      <c r="O438" s="4">
        <v>1</v>
      </c>
      <c r="P438" s="112"/>
      <c r="Q438" s="4" t="s">
        <v>2920</v>
      </c>
      <c r="R438" s="34">
        <v>45</v>
      </c>
      <c r="S438" s="34">
        <v>111.75</v>
      </c>
      <c r="T438" s="58">
        <f t="shared" si="49"/>
        <v>156.75</v>
      </c>
      <c r="U438" s="126">
        <v>46085</v>
      </c>
      <c r="V438" s="4"/>
      <c r="W438" s="4"/>
      <c r="X438" s="4"/>
    </row>
    <row r="439" spans="1:24" ht="15" thickBot="1">
      <c r="A439" s="4" t="s">
        <v>25</v>
      </c>
      <c r="B439" s="4" t="s">
        <v>26</v>
      </c>
      <c r="C439" s="4" t="s">
        <v>27</v>
      </c>
      <c r="D439" s="4" t="s">
        <v>28</v>
      </c>
      <c r="E439" s="4" t="s">
        <v>29</v>
      </c>
      <c r="F439" s="31">
        <v>45975</v>
      </c>
      <c r="G439" s="4"/>
      <c r="H439" s="4" t="s">
        <v>1635</v>
      </c>
      <c r="I439" s="4" t="s">
        <v>1636</v>
      </c>
      <c r="J439" s="4" t="s">
        <v>379</v>
      </c>
      <c r="K439" s="4" t="s">
        <v>3233</v>
      </c>
      <c r="L439" s="4" t="s">
        <v>1517</v>
      </c>
      <c r="M439" s="4"/>
      <c r="N439" s="4" t="s">
        <v>36</v>
      </c>
      <c r="O439" s="4">
        <v>1</v>
      </c>
      <c r="P439" s="112"/>
      <c r="Q439" s="4" t="s">
        <v>3230</v>
      </c>
      <c r="R439" s="34">
        <v>45</v>
      </c>
      <c r="S439" s="34">
        <v>0</v>
      </c>
      <c r="T439" s="58">
        <f t="shared" si="49"/>
        <v>45</v>
      </c>
      <c r="U439" s="126">
        <v>46072</v>
      </c>
      <c r="V439" s="4"/>
      <c r="W439" s="4"/>
      <c r="X439" s="4"/>
    </row>
    <row r="440" spans="1:24" ht="15" thickBot="1">
      <c r="A440" s="4" t="s">
        <v>25</v>
      </c>
      <c r="B440" s="4" t="s">
        <v>26</v>
      </c>
      <c r="C440" s="4" t="s">
        <v>27</v>
      </c>
      <c r="D440" s="4" t="s">
        <v>28</v>
      </c>
      <c r="E440" s="4" t="s">
        <v>29</v>
      </c>
      <c r="F440" s="31">
        <v>45975</v>
      </c>
      <c r="G440" s="4"/>
      <c r="H440" s="4" t="s">
        <v>1637</v>
      </c>
      <c r="I440" s="4" t="s">
        <v>1638</v>
      </c>
      <c r="J440" s="4" t="s">
        <v>1639</v>
      </c>
      <c r="K440" s="4" t="s">
        <v>48</v>
      </c>
      <c r="L440" s="4" t="s">
        <v>1640</v>
      </c>
      <c r="M440" s="4" t="s">
        <v>3708</v>
      </c>
      <c r="N440" s="4" t="s">
        <v>36</v>
      </c>
      <c r="O440" s="4">
        <v>1</v>
      </c>
      <c r="P440" s="112"/>
      <c r="Q440" s="4" t="s">
        <v>3708</v>
      </c>
      <c r="R440" s="34">
        <v>45</v>
      </c>
      <c r="S440" s="34">
        <v>0</v>
      </c>
      <c r="T440" s="58">
        <f t="shared" si="49"/>
        <v>45</v>
      </c>
      <c r="U440" s="36">
        <v>46122</v>
      </c>
      <c r="V440" s="4"/>
      <c r="W440" s="4"/>
      <c r="X440" s="4"/>
    </row>
    <row r="441" spans="1:24" ht="15" thickBot="1">
      <c r="A441" s="4" t="s">
        <v>25</v>
      </c>
      <c r="B441" s="4" t="s">
        <v>26</v>
      </c>
      <c r="C441" s="4" t="s">
        <v>27</v>
      </c>
      <c r="D441" s="4" t="s">
        <v>28</v>
      </c>
      <c r="E441" s="4" t="s">
        <v>29</v>
      </c>
      <c r="F441" s="31">
        <v>45975</v>
      </c>
      <c r="G441" s="4"/>
      <c r="H441" s="4" t="s">
        <v>1641</v>
      </c>
      <c r="I441" s="4" t="s">
        <v>1642</v>
      </c>
      <c r="J441" s="4" t="s">
        <v>1639</v>
      </c>
      <c r="K441" s="4" t="s">
        <v>48</v>
      </c>
      <c r="L441" s="4" t="s">
        <v>1643</v>
      </c>
      <c r="M441" s="4" t="s">
        <v>3697</v>
      </c>
      <c r="N441" s="4" t="s">
        <v>36</v>
      </c>
      <c r="O441" s="4">
        <v>1</v>
      </c>
      <c r="P441" s="112"/>
      <c r="Q441" s="4" t="s">
        <v>3698</v>
      </c>
      <c r="R441" s="34">
        <v>45</v>
      </c>
      <c r="S441" s="34">
        <v>0</v>
      </c>
      <c r="T441" s="58">
        <f t="shared" si="49"/>
        <v>45</v>
      </c>
      <c r="U441" s="36">
        <v>46122</v>
      </c>
      <c r="V441" s="4"/>
      <c r="W441" s="4"/>
      <c r="X441" s="4"/>
    </row>
    <row r="442" spans="1:24" ht="15" thickBot="1">
      <c r="A442" s="4" t="s">
        <v>25</v>
      </c>
      <c r="B442" s="4" t="s">
        <v>26</v>
      </c>
      <c r="C442" s="4" t="s">
        <v>27</v>
      </c>
      <c r="D442" s="4" t="s">
        <v>28</v>
      </c>
      <c r="E442" s="4" t="s">
        <v>29</v>
      </c>
      <c r="F442" s="31">
        <v>45975</v>
      </c>
      <c r="G442" s="4"/>
      <c r="H442" s="4" t="s">
        <v>93</v>
      </c>
      <c r="I442" s="4" t="s">
        <v>94</v>
      </c>
      <c r="J442" s="4" t="s">
        <v>1644</v>
      </c>
      <c r="K442" s="4" t="s">
        <v>48</v>
      </c>
      <c r="L442" s="4" t="s">
        <v>1640</v>
      </c>
      <c r="M442" s="4" t="s">
        <v>1645</v>
      </c>
      <c r="N442" s="4" t="s">
        <v>36</v>
      </c>
      <c r="O442" s="4">
        <v>1</v>
      </c>
      <c r="P442" s="112"/>
      <c r="Q442" s="4" t="s">
        <v>1646</v>
      </c>
      <c r="R442" s="34">
        <v>45</v>
      </c>
      <c r="S442" s="34">
        <v>320</v>
      </c>
      <c r="T442" s="58">
        <f t="shared" si="49"/>
        <v>365</v>
      </c>
      <c r="U442" s="36">
        <v>45993</v>
      </c>
      <c r="V442" s="4"/>
      <c r="W442" s="122" t="s">
        <v>789</v>
      </c>
      <c r="X442" s="4"/>
    </row>
    <row r="443" spans="1:24" ht="15" thickBot="1">
      <c r="A443" s="4" t="s">
        <v>25</v>
      </c>
      <c r="B443" s="4" t="s">
        <v>26</v>
      </c>
      <c r="C443" s="4" t="s">
        <v>27</v>
      </c>
      <c r="D443" s="4" t="s">
        <v>28</v>
      </c>
      <c r="E443" s="4" t="s">
        <v>29</v>
      </c>
      <c r="F443" s="31">
        <v>45975</v>
      </c>
      <c r="G443" s="4"/>
      <c r="H443" s="4" t="s">
        <v>1647</v>
      </c>
      <c r="I443" s="4" t="s">
        <v>521</v>
      </c>
      <c r="J443" s="4" t="s">
        <v>1648</v>
      </c>
      <c r="K443" s="4" t="s">
        <v>33</v>
      </c>
      <c r="L443" s="4" t="s">
        <v>1649</v>
      </c>
      <c r="M443" s="4" t="s">
        <v>3741</v>
      </c>
      <c r="N443" s="4" t="s">
        <v>36</v>
      </c>
      <c r="O443" s="4">
        <v>1</v>
      </c>
      <c r="P443" s="112" t="s">
        <v>3365</v>
      </c>
      <c r="Q443" s="4" t="s">
        <v>3724</v>
      </c>
      <c r="R443" s="34">
        <v>45</v>
      </c>
      <c r="S443" s="34">
        <v>326.75</v>
      </c>
      <c r="T443" s="58">
        <f t="shared" si="49"/>
        <v>371.75</v>
      </c>
      <c r="U443" s="36">
        <v>46122</v>
      </c>
      <c r="V443" s="4"/>
      <c r="W443" s="122" t="s">
        <v>789</v>
      </c>
      <c r="X443" s="4" t="s">
        <v>3714</v>
      </c>
    </row>
    <row r="444" spans="1:24" ht="15" thickBot="1">
      <c r="A444" s="4" t="s">
        <v>25</v>
      </c>
      <c r="B444" s="4" t="s">
        <v>26</v>
      </c>
      <c r="C444" s="4" t="s">
        <v>27</v>
      </c>
      <c r="D444" s="4" t="s">
        <v>28</v>
      </c>
      <c r="E444" s="4" t="s">
        <v>29</v>
      </c>
      <c r="F444" s="31">
        <v>45975</v>
      </c>
      <c r="G444" s="4"/>
      <c r="H444" s="4" t="s">
        <v>1650</v>
      </c>
      <c r="I444" s="4" t="s">
        <v>1651</v>
      </c>
      <c r="J444" s="4" t="s">
        <v>382</v>
      </c>
      <c r="K444" s="4" t="s">
        <v>33</v>
      </c>
      <c r="L444" s="4" t="s">
        <v>884</v>
      </c>
      <c r="M444" s="4"/>
      <c r="N444" s="4" t="s">
        <v>36</v>
      </c>
      <c r="O444" s="4">
        <v>1</v>
      </c>
      <c r="P444" s="112" t="s">
        <v>1652</v>
      </c>
      <c r="Q444" s="4" t="s">
        <v>1653</v>
      </c>
      <c r="R444" s="34">
        <v>45</v>
      </c>
      <c r="S444" s="34">
        <v>270</v>
      </c>
      <c r="T444" s="58">
        <f t="shared" si="49"/>
        <v>315</v>
      </c>
      <c r="U444" s="36">
        <v>46038</v>
      </c>
      <c r="V444" s="4"/>
      <c r="W444" s="4"/>
      <c r="X444" s="4"/>
    </row>
    <row r="445" spans="1:24" ht="15" thickBot="1">
      <c r="A445" s="4" t="s">
        <v>25</v>
      </c>
      <c r="B445" s="4" t="s">
        <v>26</v>
      </c>
      <c r="C445" s="4" t="s">
        <v>27</v>
      </c>
      <c r="D445" s="4" t="s">
        <v>28</v>
      </c>
      <c r="E445" s="4" t="s">
        <v>29</v>
      </c>
      <c r="F445" s="31">
        <v>45975</v>
      </c>
      <c r="G445" s="4"/>
      <c r="H445" s="4" t="s">
        <v>1654</v>
      </c>
      <c r="I445" s="4" t="s">
        <v>1655</v>
      </c>
      <c r="J445" s="4" t="s">
        <v>502</v>
      </c>
      <c r="K445" s="4" t="s">
        <v>3232</v>
      </c>
      <c r="L445" s="4" t="s">
        <v>1517</v>
      </c>
      <c r="M445" s="4" t="s">
        <v>1656</v>
      </c>
      <c r="N445" s="4" t="s">
        <v>36</v>
      </c>
      <c r="O445" s="4">
        <v>1</v>
      </c>
      <c r="P445" s="112"/>
      <c r="Q445" s="4" t="s">
        <v>1656</v>
      </c>
      <c r="R445" s="34">
        <v>45</v>
      </c>
      <c r="S445" s="34">
        <v>235</v>
      </c>
      <c r="T445" s="58">
        <f t="shared" si="49"/>
        <v>280</v>
      </c>
      <c r="U445" s="126">
        <v>46072</v>
      </c>
      <c r="V445" s="4"/>
      <c r="W445" s="4"/>
      <c r="X445" s="4" t="s">
        <v>927</v>
      </c>
    </row>
    <row r="446" spans="1:24" ht="15" thickBot="1">
      <c r="A446" s="4" t="s">
        <v>25</v>
      </c>
      <c r="B446" s="4" t="s">
        <v>26</v>
      </c>
      <c r="C446" s="4" t="s">
        <v>27</v>
      </c>
      <c r="D446" s="4" t="s">
        <v>28</v>
      </c>
      <c r="E446" s="4" t="s">
        <v>29</v>
      </c>
      <c r="F446" s="31">
        <v>45975</v>
      </c>
      <c r="G446" s="4"/>
      <c r="H446" s="4" t="s">
        <v>1657</v>
      </c>
      <c r="I446" s="4" t="s">
        <v>1658</v>
      </c>
      <c r="J446" s="4" t="s">
        <v>160</v>
      </c>
      <c r="K446" s="4" t="s">
        <v>33</v>
      </c>
      <c r="L446" s="4" t="s">
        <v>1659</v>
      </c>
      <c r="M446" s="4" t="s">
        <v>251</v>
      </c>
      <c r="N446" s="4" t="s">
        <v>36</v>
      </c>
      <c r="O446" s="4">
        <v>1</v>
      </c>
      <c r="P446" s="112" t="s">
        <v>3684</v>
      </c>
      <c r="Q446" s="4" t="s">
        <v>117</v>
      </c>
      <c r="R446" s="34">
        <v>45</v>
      </c>
      <c r="S446" s="34">
        <v>215</v>
      </c>
      <c r="T446" s="58">
        <f t="shared" si="49"/>
        <v>260</v>
      </c>
      <c r="U446" s="36">
        <v>46122</v>
      </c>
      <c r="V446" s="4"/>
      <c r="W446" s="4"/>
      <c r="X446" s="4" t="s">
        <v>3714</v>
      </c>
    </row>
    <row r="447" spans="1:24" ht="15" thickBot="1">
      <c r="A447" s="4" t="s">
        <v>25</v>
      </c>
      <c r="B447" s="4" t="s">
        <v>26</v>
      </c>
      <c r="C447" s="4">
        <v>682687160</v>
      </c>
      <c r="D447" s="4" t="s">
        <v>1164</v>
      </c>
      <c r="E447" s="4" t="s">
        <v>1268</v>
      </c>
      <c r="F447" s="31">
        <v>45980</v>
      </c>
      <c r="G447" s="4"/>
      <c r="H447" s="4" t="s">
        <v>1660</v>
      </c>
      <c r="I447" s="4" t="s">
        <v>1661</v>
      </c>
      <c r="J447" s="4" t="s">
        <v>345</v>
      </c>
      <c r="K447" s="4" t="s">
        <v>48</v>
      </c>
      <c r="L447" s="4" t="s">
        <v>1662</v>
      </c>
      <c r="M447" s="4" t="s">
        <v>3250</v>
      </c>
      <c r="N447" s="4" t="s">
        <v>36</v>
      </c>
      <c r="O447" s="4">
        <v>1</v>
      </c>
      <c r="P447" s="112"/>
      <c r="Q447" s="4" t="s">
        <v>1584</v>
      </c>
      <c r="R447" s="34">
        <v>45</v>
      </c>
      <c r="S447" s="34">
        <v>0</v>
      </c>
      <c r="T447" s="58">
        <f t="shared" si="49"/>
        <v>45</v>
      </c>
      <c r="U447" s="126">
        <v>46085</v>
      </c>
      <c r="V447" s="4"/>
      <c r="W447" s="4"/>
      <c r="X447" s="4"/>
    </row>
    <row r="448" spans="1:24" ht="15" thickBot="1">
      <c r="A448" s="4" t="s">
        <v>25</v>
      </c>
      <c r="B448" s="4" t="s">
        <v>26</v>
      </c>
      <c r="C448" s="4">
        <v>682687161</v>
      </c>
      <c r="D448" s="4" t="s">
        <v>1164</v>
      </c>
      <c r="E448" s="4" t="s">
        <v>1664</v>
      </c>
      <c r="F448" s="31">
        <v>45980</v>
      </c>
      <c r="G448" s="4"/>
      <c r="H448" s="4" t="s">
        <v>1665</v>
      </c>
      <c r="I448" s="4" t="s">
        <v>1666</v>
      </c>
      <c r="J448" s="4" t="s">
        <v>201</v>
      </c>
      <c r="K448" s="4" t="s">
        <v>48</v>
      </c>
      <c r="L448" s="4" t="s">
        <v>1667</v>
      </c>
      <c r="M448" s="4"/>
      <c r="N448" s="4" t="s">
        <v>499</v>
      </c>
      <c r="O448" s="4">
        <v>1</v>
      </c>
      <c r="P448" s="112"/>
      <c r="Q448" s="4"/>
      <c r="R448" s="34">
        <v>45</v>
      </c>
      <c r="S448" s="4"/>
      <c r="T448" s="58">
        <v>0</v>
      </c>
      <c r="U448" s="36"/>
      <c r="V448" s="4"/>
      <c r="W448" s="4"/>
      <c r="X448" s="4"/>
    </row>
    <row r="449" spans="1:24" ht="15" thickBot="1">
      <c r="A449" s="4" t="s">
        <v>25</v>
      </c>
      <c r="B449" s="4" t="s">
        <v>26</v>
      </c>
      <c r="C449" s="4">
        <v>682687162</v>
      </c>
      <c r="D449" s="4" t="s">
        <v>1164</v>
      </c>
      <c r="E449" s="4" t="s">
        <v>1668</v>
      </c>
      <c r="F449" s="31">
        <v>45980</v>
      </c>
      <c r="G449" s="4"/>
      <c r="H449" s="4" t="s">
        <v>1669</v>
      </c>
      <c r="I449" s="4" t="s">
        <v>1670</v>
      </c>
      <c r="J449" s="4" t="s">
        <v>485</v>
      </c>
      <c r="K449" s="4" t="s">
        <v>48</v>
      </c>
      <c r="L449" s="4" t="s">
        <v>1671</v>
      </c>
      <c r="M449" s="4"/>
      <c r="N449" s="4" t="s">
        <v>499</v>
      </c>
      <c r="O449" s="4">
        <v>1</v>
      </c>
      <c r="P449" s="112"/>
      <c r="Q449" s="4"/>
      <c r="R449" s="34">
        <v>45</v>
      </c>
      <c r="S449" s="4"/>
      <c r="T449" s="58">
        <v>0</v>
      </c>
      <c r="U449" s="36"/>
      <c r="V449" s="4"/>
      <c r="W449" s="4"/>
      <c r="X449" s="4"/>
    </row>
    <row r="450" spans="1:24" ht="15" thickBot="1">
      <c r="A450" s="4" t="s">
        <v>25</v>
      </c>
      <c r="B450" s="4" t="s">
        <v>26</v>
      </c>
      <c r="C450" s="4">
        <v>682687163</v>
      </c>
      <c r="D450" s="4" t="s">
        <v>1164</v>
      </c>
      <c r="E450" s="4" t="s">
        <v>1672</v>
      </c>
      <c r="F450" s="31">
        <v>45980</v>
      </c>
      <c r="G450" s="4"/>
      <c r="H450" s="4" t="s">
        <v>1673</v>
      </c>
      <c r="I450" s="4" t="s">
        <v>1674</v>
      </c>
      <c r="J450" s="4" t="s">
        <v>160</v>
      </c>
      <c r="K450" s="4" t="s">
        <v>33</v>
      </c>
      <c r="L450" s="4" t="s">
        <v>1675</v>
      </c>
      <c r="M450" s="4"/>
      <c r="N450" s="4" t="s">
        <v>36</v>
      </c>
      <c r="O450" s="4">
        <v>1</v>
      </c>
      <c r="P450" s="112"/>
      <c r="Q450" s="4" t="s">
        <v>1676</v>
      </c>
      <c r="R450" s="34">
        <v>45</v>
      </c>
      <c r="S450" s="58">
        <v>111.75</v>
      </c>
      <c r="T450" s="58">
        <f>SUM(R450:S450)</f>
        <v>156.75</v>
      </c>
      <c r="U450" s="36">
        <v>46010</v>
      </c>
      <c r="V450" s="4"/>
      <c r="W450" s="4"/>
      <c r="X450" s="4"/>
    </row>
    <row r="451" spans="1:24" ht="15" thickBot="1">
      <c r="A451" s="4" t="s">
        <v>25</v>
      </c>
      <c r="B451" s="4" t="s">
        <v>26</v>
      </c>
      <c r="C451" s="4">
        <v>682687164</v>
      </c>
      <c r="D451" s="4" t="s">
        <v>1164</v>
      </c>
      <c r="E451" s="4" t="s">
        <v>1677</v>
      </c>
      <c r="F451" s="31">
        <v>45980</v>
      </c>
      <c r="G451" s="4"/>
      <c r="H451" s="4" t="s">
        <v>1678</v>
      </c>
      <c r="I451" s="4" t="s">
        <v>1679</v>
      </c>
      <c r="J451" s="4" t="s">
        <v>160</v>
      </c>
      <c r="K451" s="4" t="s">
        <v>33</v>
      </c>
      <c r="L451" s="4" t="s">
        <v>213</v>
      </c>
      <c r="M451" s="4" t="s">
        <v>457</v>
      </c>
      <c r="N451" s="4" t="s">
        <v>36</v>
      </c>
      <c r="O451" s="4">
        <v>1</v>
      </c>
      <c r="P451" s="112"/>
      <c r="Q451" s="4" t="s">
        <v>457</v>
      </c>
      <c r="R451" s="34">
        <v>45</v>
      </c>
      <c r="S451" s="34">
        <v>163.75</v>
      </c>
      <c r="T451" s="58">
        <f>SUM(R451:S451)</f>
        <v>208.75</v>
      </c>
      <c r="U451" s="36">
        <v>46010</v>
      </c>
      <c r="V451" s="4"/>
      <c r="W451" s="4"/>
      <c r="X451" s="4"/>
    </row>
    <row r="452" spans="1:24" ht="15" thickBot="1">
      <c r="A452" s="4" t="s">
        <v>25</v>
      </c>
      <c r="B452" s="4" t="s">
        <v>26</v>
      </c>
      <c r="C452" s="4">
        <v>682687165</v>
      </c>
      <c r="D452" s="4" t="s">
        <v>1164</v>
      </c>
      <c r="E452" s="4" t="s">
        <v>1680</v>
      </c>
      <c r="F452" s="31">
        <v>45980</v>
      </c>
      <c r="G452" s="4"/>
      <c r="H452" s="4" t="s">
        <v>1681</v>
      </c>
      <c r="I452" s="4" t="s">
        <v>1682</v>
      </c>
      <c r="J452" s="4" t="s">
        <v>160</v>
      </c>
      <c r="K452" s="4" t="s">
        <v>33</v>
      </c>
      <c r="L452" s="4" t="s">
        <v>1683</v>
      </c>
      <c r="M452" s="4"/>
      <c r="N452" s="4" t="s">
        <v>499</v>
      </c>
      <c r="O452" s="4">
        <v>1</v>
      </c>
      <c r="P452" s="112"/>
      <c r="Q452" s="4"/>
      <c r="R452" s="34">
        <v>45</v>
      </c>
      <c r="S452" s="4"/>
      <c r="T452" s="58">
        <v>0</v>
      </c>
      <c r="U452" s="36"/>
      <c r="V452" s="4"/>
      <c r="W452" s="4"/>
      <c r="X452" s="4"/>
    </row>
    <row r="453" spans="1:24" ht="15" thickBot="1">
      <c r="A453" s="4" t="s">
        <v>25</v>
      </c>
      <c r="B453" s="4" t="s">
        <v>26</v>
      </c>
      <c r="C453" s="4">
        <v>682687166</v>
      </c>
      <c r="D453" s="4" t="s">
        <v>1164</v>
      </c>
      <c r="E453" s="4" t="s">
        <v>1684</v>
      </c>
      <c r="F453" s="31">
        <v>45980</v>
      </c>
      <c r="G453" s="4"/>
      <c r="H453" s="4" t="s">
        <v>1685</v>
      </c>
      <c r="I453" s="4" t="s">
        <v>1686</v>
      </c>
      <c r="J453" s="4" t="s">
        <v>160</v>
      </c>
      <c r="K453" s="4" t="s">
        <v>33</v>
      </c>
      <c r="L453" s="4" t="s">
        <v>241</v>
      </c>
      <c r="M453" s="4"/>
      <c r="N453" s="4" t="s">
        <v>36</v>
      </c>
      <c r="O453" s="4">
        <v>1</v>
      </c>
      <c r="P453" s="112"/>
      <c r="Q453" s="4" t="s">
        <v>457</v>
      </c>
      <c r="R453" s="34">
        <v>45</v>
      </c>
      <c r="S453" s="34">
        <v>163.75</v>
      </c>
      <c r="T453" s="58">
        <f>SUM(R453:S453)</f>
        <v>208.75</v>
      </c>
      <c r="U453" s="36">
        <v>46010</v>
      </c>
      <c r="V453" s="4"/>
      <c r="W453" s="4"/>
      <c r="X453" s="4"/>
    </row>
    <row r="454" spans="1:24" ht="20.25" customHeight="1" thickBot="1">
      <c r="A454" s="4" t="s">
        <v>25</v>
      </c>
      <c r="B454" s="4" t="s">
        <v>26</v>
      </c>
      <c r="C454" s="4">
        <v>682687167</v>
      </c>
      <c r="D454" s="4" t="s">
        <v>1164</v>
      </c>
      <c r="E454" s="4" t="s">
        <v>1687</v>
      </c>
      <c r="F454" s="31">
        <v>45980</v>
      </c>
      <c r="G454" s="4"/>
      <c r="H454" s="4" t="s">
        <v>1688</v>
      </c>
      <c r="I454" s="4" t="s">
        <v>1689</v>
      </c>
      <c r="J454" s="4" t="s">
        <v>160</v>
      </c>
      <c r="K454" s="4" t="s">
        <v>33</v>
      </c>
      <c r="L454" s="4" t="s">
        <v>1690</v>
      </c>
      <c r="M454" s="127" t="s">
        <v>3713</v>
      </c>
      <c r="N454" s="4" t="s">
        <v>36</v>
      </c>
      <c r="O454" s="4">
        <v>1</v>
      </c>
      <c r="P454" s="112"/>
      <c r="Q454" s="127" t="s">
        <v>3713</v>
      </c>
      <c r="R454" s="34">
        <v>45</v>
      </c>
      <c r="S454" s="34">
        <v>435.4</v>
      </c>
      <c r="T454" s="58">
        <f>SUM(R454:S454)</f>
        <v>480.4</v>
      </c>
      <c r="U454" s="36">
        <v>46122</v>
      </c>
      <c r="V454" s="4"/>
      <c r="W454" s="4"/>
      <c r="X454" s="4"/>
    </row>
    <row r="455" spans="1:24" ht="15" thickBot="1">
      <c r="A455" s="4" t="s">
        <v>25</v>
      </c>
      <c r="B455" s="4" t="s">
        <v>26</v>
      </c>
      <c r="C455" s="4">
        <v>682687168</v>
      </c>
      <c r="D455" s="4" t="s">
        <v>1164</v>
      </c>
      <c r="E455" s="4" t="s">
        <v>1691</v>
      </c>
      <c r="F455" s="31">
        <v>45980</v>
      </c>
      <c r="G455" s="4"/>
      <c r="H455" s="4" t="s">
        <v>1692</v>
      </c>
      <c r="I455" s="4" t="s">
        <v>1693</v>
      </c>
      <c r="J455" s="4" t="s">
        <v>160</v>
      </c>
      <c r="K455" s="4" t="s">
        <v>33</v>
      </c>
      <c r="L455" s="4" t="s">
        <v>241</v>
      </c>
      <c r="M455" s="4" t="s">
        <v>1694</v>
      </c>
      <c r="N455" s="4" t="s">
        <v>36</v>
      </c>
      <c r="O455" s="4">
        <v>1</v>
      </c>
      <c r="P455" s="112" t="s">
        <v>251</v>
      </c>
      <c r="Q455" s="31" t="s">
        <v>815</v>
      </c>
      <c r="R455" s="34">
        <v>45</v>
      </c>
      <c r="S455" s="34">
        <v>215</v>
      </c>
      <c r="T455" s="58">
        <f>SUM(R455:S455)</f>
        <v>260</v>
      </c>
      <c r="U455" s="36">
        <v>45993</v>
      </c>
      <c r="V455" s="4"/>
      <c r="W455" s="4"/>
      <c r="X455" s="4"/>
    </row>
    <row r="456" spans="1:24" ht="15" thickBot="1">
      <c r="A456" s="4" t="s">
        <v>25</v>
      </c>
      <c r="B456" s="4" t="s">
        <v>26</v>
      </c>
      <c r="C456" s="4">
        <v>682687169</v>
      </c>
      <c r="D456" s="4" t="s">
        <v>1164</v>
      </c>
      <c r="E456" s="4" t="s">
        <v>1695</v>
      </c>
      <c r="F456" s="31">
        <v>45980</v>
      </c>
      <c r="G456" s="4"/>
      <c r="H456" s="4" t="s">
        <v>1696</v>
      </c>
      <c r="I456" s="4" t="s">
        <v>1697</v>
      </c>
      <c r="J456" s="4" t="s">
        <v>502</v>
      </c>
      <c r="K456" s="4" t="s">
        <v>33</v>
      </c>
      <c r="L456" s="4" t="s">
        <v>351</v>
      </c>
      <c r="M456" s="4" t="s">
        <v>1698</v>
      </c>
      <c r="N456" s="4" t="s">
        <v>36</v>
      </c>
      <c r="O456" s="4">
        <v>1</v>
      </c>
      <c r="P456" s="112" t="s">
        <v>1699</v>
      </c>
      <c r="Q456" s="4" t="s">
        <v>1700</v>
      </c>
      <c r="R456" s="34">
        <v>45</v>
      </c>
      <c r="S456" s="34">
        <v>483.75</v>
      </c>
      <c r="T456" s="58">
        <f>SUM(R456:S456)</f>
        <v>528.75</v>
      </c>
      <c r="U456" s="36">
        <v>45993</v>
      </c>
      <c r="V456" s="4"/>
      <c r="W456" s="122" t="s">
        <v>789</v>
      </c>
      <c r="X456" s="4"/>
    </row>
    <row r="457" spans="1:24" ht="15" thickBot="1">
      <c r="A457" s="4" t="s">
        <v>154</v>
      </c>
      <c r="B457" s="4" t="s">
        <v>940</v>
      </c>
      <c r="C457" s="4" t="s">
        <v>941</v>
      </c>
      <c r="D457" s="4" t="s">
        <v>156</v>
      </c>
      <c r="E457" s="4" t="s">
        <v>2345</v>
      </c>
      <c r="F457" s="31">
        <v>45981</v>
      </c>
      <c r="G457" s="4"/>
      <c r="H457" s="4" t="s">
        <v>1701</v>
      </c>
      <c r="I457" s="4" t="s">
        <v>1702</v>
      </c>
      <c r="J457" s="4" t="s">
        <v>160</v>
      </c>
      <c r="K457" s="4" t="s">
        <v>33</v>
      </c>
      <c r="L457" s="4" t="s">
        <v>1703</v>
      </c>
      <c r="M457" s="4" t="s">
        <v>3727</v>
      </c>
      <c r="N457" s="4" t="s">
        <v>36</v>
      </c>
      <c r="O457" s="4">
        <v>1</v>
      </c>
      <c r="P457" s="112"/>
      <c r="Q457" s="4" t="s">
        <v>3727</v>
      </c>
      <c r="R457" s="34">
        <v>45</v>
      </c>
      <c r="S457" s="34">
        <v>111.75</v>
      </c>
      <c r="T457" s="58">
        <f>SUM(R457:S457)</f>
        <v>156.75</v>
      </c>
      <c r="U457" s="36">
        <v>46122</v>
      </c>
      <c r="V457" s="4"/>
      <c r="W457" s="4"/>
      <c r="X457" s="4"/>
    </row>
    <row r="458" spans="1:24" ht="15" thickBot="1">
      <c r="A458" s="4" t="s">
        <v>154</v>
      </c>
      <c r="B458" s="4" t="s">
        <v>940</v>
      </c>
      <c r="C458" s="4" t="s">
        <v>941</v>
      </c>
      <c r="D458" s="4" t="s">
        <v>156</v>
      </c>
      <c r="E458" s="4" t="s">
        <v>2345</v>
      </c>
      <c r="F458" s="31">
        <v>45981</v>
      </c>
      <c r="G458" s="4"/>
      <c r="H458" s="4" t="s">
        <v>1704</v>
      </c>
      <c r="I458" s="4" t="s">
        <v>1705</v>
      </c>
      <c r="J458" s="4" t="s">
        <v>485</v>
      </c>
      <c r="K458" s="4" t="s">
        <v>48</v>
      </c>
      <c r="L458" s="4" t="s">
        <v>351</v>
      </c>
      <c r="M458" s="4"/>
      <c r="N458" s="4" t="s">
        <v>499</v>
      </c>
      <c r="O458" s="4">
        <v>1</v>
      </c>
      <c r="P458" s="112"/>
      <c r="Q458" s="4"/>
      <c r="R458" s="34">
        <v>45</v>
      </c>
      <c r="S458" s="4"/>
      <c r="T458" s="58">
        <v>0</v>
      </c>
      <c r="U458" s="36"/>
      <c r="V458" s="4"/>
      <c r="W458" s="4"/>
      <c r="X458" s="4"/>
    </row>
    <row r="459" spans="1:24" ht="15" thickBot="1">
      <c r="A459" s="4" t="s">
        <v>154</v>
      </c>
      <c r="B459" s="4" t="s">
        <v>940</v>
      </c>
      <c r="C459" s="4" t="s">
        <v>941</v>
      </c>
      <c r="D459" s="4" t="s">
        <v>156</v>
      </c>
      <c r="E459" s="4" t="s">
        <v>2345</v>
      </c>
      <c r="F459" s="31">
        <v>45981</v>
      </c>
      <c r="G459" s="4"/>
      <c r="H459" s="4" t="s">
        <v>1706</v>
      </c>
      <c r="I459" s="4" t="s">
        <v>1707</v>
      </c>
      <c r="J459" s="4" t="s">
        <v>502</v>
      </c>
      <c r="K459" s="4" t="s">
        <v>33</v>
      </c>
      <c r="L459" s="4" t="s">
        <v>1708</v>
      </c>
      <c r="M459" s="4" t="s">
        <v>258</v>
      </c>
      <c r="N459" s="4" t="s">
        <v>36</v>
      </c>
      <c r="O459" s="4">
        <v>1</v>
      </c>
      <c r="P459" s="112"/>
      <c r="Q459" s="4" t="s">
        <v>258</v>
      </c>
      <c r="R459" s="34">
        <v>45</v>
      </c>
      <c r="S459" s="34">
        <v>320</v>
      </c>
      <c r="T459" s="58">
        <f>SUM(R459:S459)</f>
        <v>365</v>
      </c>
      <c r="U459" s="126">
        <v>46072</v>
      </c>
      <c r="V459" s="4"/>
      <c r="W459" s="4"/>
      <c r="X459" s="4"/>
    </row>
    <row r="460" spans="1:24" ht="15" thickBot="1">
      <c r="A460" s="4" t="s">
        <v>154</v>
      </c>
      <c r="B460" s="4" t="s">
        <v>940</v>
      </c>
      <c r="C460" s="4" t="s">
        <v>941</v>
      </c>
      <c r="D460" s="4" t="s">
        <v>156</v>
      </c>
      <c r="E460" s="4" t="s">
        <v>2345</v>
      </c>
      <c r="F460" s="31">
        <v>45981</v>
      </c>
      <c r="G460" s="4"/>
      <c r="H460" s="4" t="s">
        <v>1709</v>
      </c>
      <c r="I460" s="4" t="s">
        <v>1710</v>
      </c>
      <c r="J460" s="4" t="s">
        <v>759</v>
      </c>
      <c r="K460" s="4" t="s">
        <v>48</v>
      </c>
      <c r="L460" s="4" t="s">
        <v>1711</v>
      </c>
      <c r="M460" s="4" t="s">
        <v>1712</v>
      </c>
      <c r="N460" s="4" t="s">
        <v>36</v>
      </c>
      <c r="O460" s="4">
        <v>1</v>
      </c>
      <c r="P460" s="112" t="s">
        <v>1713</v>
      </c>
      <c r="Q460" s="4" t="s">
        <v>457</v>
      </c>
      <c r="R460" s="34">
        <v>45</v>
      </c>
      <c r="S460" s="34">
        <v>120</v>
      </c>
      <c r="T460" s="58">
        <f>SUM(R460:S460)</f>
        <v>165</v>
      </c>
      <c r="U460" s="36">
        <v>45993</v>
      </c>
      <c r="V460" s="4"/>
      <c r="W460" s="4"/>
      <c r="X460" s="4"/>
    </row>
    <row r="461" spans="1:24" ht="15" thickBot="1">
      <c r="A461" s="4" t="s">
        <v>154</v>
      </c>
      <c r="B461" s="4" t="s">
        <v>940</v>
      </c>
      <c r="C461" s="4" t="s">
        <v>941</v>
      </c>
      <c r="D461" s="4" t="s">
        <v>156</v>
      </c>
      <c r="E461" s="4" t="s">
        <v>2345</v>
      </c>
      <c r="F461" s="31">
        <v>45981</v>
      </c>
      <c r="G461" s="4"/>
      <c r="H461" s="4" t="s">
        <v>1714</v>
      </c>
      <c r="I461" s="4" t="s">
        <v>1715</v>
      </c>
      <c r="J461" s="4" t="s">
        <v>759</v>
      </c>
      <c r="K461" s="4" t="s">
        <v>48</v>
      </c>
      <c r="L461" s="4" t="s">
        <v>1711</v>
      </c>
      <c r="M461" s="4" t="s">
        <v>1712</v>
      </c>
      <c r="N461" s="4" t="s">
        <v>36</v>
      </c>
      <c r="O461" s="4">
        <v>1</v>
      </c>
      <c r="P461" s="112" t="s">
        <v>1713</v>
      </c>
      <c r="Q461" s="4" t="s">
        <v>457</v>
      </c>
      <c r="R461" s="34">
        <v>45</v>
      </c>
      <c r="S461" s="34">
        <v>120</v>
      </c>
      <c r="T461" s="58">
        <f>SUM(R461:S461)</f>
        <v>165</v>
      </c>
      <c r="U461" s="36">
        <v>45993</v>
      </c>
      <c r="V461" s="4"/>
      <c r="W461" s="4"/>
      <c r="X461" s="4"/>
    </row>
    <row r="462" spans="1:24" ht="15" thickBot="1">
      <c r="A462" s="4" t="s">
        <v>154</v>
      </c>
      <c r="B462" s="4" t="s">
        <v>940</v>
      </c>
      <c r="C462" s="4" t="s">
        <v>941</v>
      </c>
      <c r="D462" s="4" t="s">
        <v>156</v>
      </c>
      <c r="E462" s="4" t="s">
        <v>2345</v>
      </c>
      <c r="F462" s="31">
        <v>45981</v>
      </c>
      <c r="G462" s="4"/>
      <c r="H462" s="4" t="s">
        <v>1716</v>
      </c>
      <c r="I462" s="4" t="s">
        <v>1717</v>
      </c>
      <c r="J462" s="4" t="s">
        <v>216</v>
      </c>
      <c r="K462" s="4" t="s">
        <v>33</v>
      </c>
      <c r="L462" s="4" t="s">
        <v>1718</v>
      </c>
      <c r="M462" s="4" t="s">
        <v>1719</v>
      </c>
      <c r="N462" s="4" t="s">
        <v>36</v>
      </c>
      <c r="O462" s="4">
        <v>1</v>
      </c>
      <c r="P462" s="112"/>
      <c r="Q462" s="4" t="s">
        <v>376</v>
      </c>
      <c r="R462" s="34">
        <v>45</v>
      </c>
      <c r="S462" s="34">
        <v>220</v>
      </c>
      <c r="T462" s="58">
        <f>SUM(R462:S462)</f>
        <v>265</v>
      </c>
      <c r="U462" s="36">
        <v>45993</v>
      </c>
      <c r="V462" s="4"/>
      <c r="W462" s="4"/>
      <c r="X462" s="4"/>
    </row>
    <row r="463" spans="1:24" ht="15" thickBot="1">
      <c r="A463" s="4" t="s">
        <v>154</v>
      </c>
      <c r="B463" s="4" t="s">
        <v>940</v>
      </c>
      <c r="C463" s="4" t="s">
        <v>941</v>
      </c>
      <c r="D463" s="4" t="s">
        <v>156</v>
      </c>
      <c r="E463" s="4" t="s">
        <v>2345</v>
      </c>
      <c r="F463" s="31">
        <v>45981</v>
      </c>
      <c r="G463" s="4"/>
      <c r="H463" s="4" t="s">
        <v>1720</v>
      </c>
      <c r="I463" s="4" t="s">
        <v>1721</v>
      </c>
      <c r="J463" s="4" t="s">
        <v>160</v>
      </c>
      <c r="K463" s="4" t="s">
        <v>33</v>
      </c>
      <c r="L463" s="4" t="s">
        <v>1722</v>
      </c>
      <c r="M463" s="4" t="s">
        <v>1663</v>
      </c>
      <c r="N463" s="4" t="s">
        <v>499</v>
      </c>
      <c r="O463" s="4">
        <v>1</v>
      </c>
      <c r="P463" s="112"/>
      <c r="Q463" s="4"/>
      <c r="R463" s="34">
        <v>45</v>
      </c>
      <c r="S463" s="4"/>
      <c r="T463" s="58">
        <v>0</v>
      </c>
      <c r="U463" s="36"/>
      <c r="V463" s="4"/>
      <c r="W463" s="4"/>
      <c r="X463" s="4" t="s">
        <v>927</v>
      </c>
    </row>
    <row r="464" spans="1:24" ht="15" thickBot="1">
      <c r="A464" s="4" t="s">
        <v>154</v>
      </c>
      <c r="B464" s="4" t="s">
        <v>940</v>
      </c>
      <c r="C464" s="4" t="s">
        <v>941</v>
      </c>
      <c r="D464" s="4" t="s">
        <v>156</v>
      </c>
      <c r="E464" s="4" t="s">
        <v>2345</v>
      </c>
      <c r="F464" s="31">
        <v>45981</v>
      </c>
      <c r="G464" s="4"/>
      <c r="H464" s="4" t="s">
        <v>1723</v>
      </c>
      <c r="I464" s="4" t="s">
        <v>1724</v>
      </c>
      <c r="J464" s="4" t="s">
        <v>160</v>
      </c>
      <c r="K464" s="4" t="s">
        <v>33</v>
      </c>
      <c r="L464" s="4" t="s">
        <v>1725</v>
      </c>
      <c r="M464" s="4"/>
      <c r="N464" s="4" t="s">
        <v>499</v>
      </c>
      <c r="O464" s="4">
        <v>1</v>
      </c>
      <c r="P464" s="112"/>
      <c r="Q464" s="4"/>
      <c r="R464" s="34">
        <v>45</v>
      </c>
      <c r="S464" s="4"/>
      <c r="T464" s="58">
        <v>0</v>
      </c>
      <c r="U464" s="36"/>
      <c r="V464" s="4"/>
      <c r="W464" s="4"/>
      <c r="X464" s="4"/>
    </row>
    <row r="465" spans="1:24" ht="15" thickBot="1">
      <c r="A465" s="4" t="s">
        <v>154</v>
      </c>
      <c r="B465" s="4" t="s">
        <v>940</v>
      </c>
      <c r="C465" s="4" t="s">
        <v>941</v>
      </c>
      <c r="D465" s="4" t="s">
        <v>156</v>
      </c>
      <c r="E465" s="4" t="s">
        <v>2345</v>
      </c>
      <c r="F465" s="31">
        <v>45981</v>
      </c>
      <c r="G465" s="4"/>
      <c r="H465" s="4" t="s">
        <v>1726</v>
      </c>
      <c r="I465" s="4" t="s">
        <v>1727</v>
      </c>
      <c r="J465" s="4" t="s">
        <v>160</v>
      </c>
      <c r="K465" s="4" t="s">
        <v>33</v>
      </c>
      <c r="L465" s="4" t="s">
        <v>1728</v>
      </c>
      <c r="M465" s="4" t="s">
        <v>3742</v>
      </c>
      <c r="N465" s="4" t="s">
        <v>36</v>
      </c>
      <c r="O465" s="4">
        <v>1</v>
      </c>
      <c r="P465" s="112"/>
      <c r="Q465" s="4" t="s">
        <v>3364</v>
      </c>
      <c r="R465" s="34">
        <v>45</v>
      </c>
      <c r="S465" s="34">
        <v>613.75</v>
      </c>
      <c r="T465" s="58">
        <f t="shared" ref="T465:T471" si="50">SUM(R465:S465)</f>
        <v>658.75</v>
      </c>
      <c r="U465" s="36">
        <v>46122</v>
      </c>
      <c r="V465" s="4"/>
      <c r="W465" s="4"/>
      <c r="X465" s="4" t="s">
        <v>3714</v>
      </c>
    </row>
    <row r="466" spans="1:24" ht="15" thickBot="1">
      <c r="A466" s="4" t="s">
        <v>154</v>
      </c>
      <c r="B466" s="4" t="s">
        <v>940</v>
      </c>
      <c r="C466" s="4" t="s">
        <v>941</v>
      </c>
      <c r="D466" s="4" t="s">
        <v>156</v>
      </c>
      <c r="E466" s="4" t="s">
        <v>2345</v>
      </c>
      <c r="F466" s="31">
        <v>45981</v>
      </c>
      <c r="G466" s="4"/>
      <c r="H466" s="4" t="s">
        <v>1729</v>
      </c>
      <c r="I466" s="4" t="s">
        <v>1730</v>
      </c>
      <c r="J466" s="4" t="s">
        <v>160</v>
      </c>
      <c r="K466" s="4" t="s">
        <v>33</v>
      </c>
      <c r="L466" s="4" t="s">
        <v>1731</v>
      </c>
      <c r="M466" s="4" t="s">
        <v>1732</v>
      </c>
      <c r="N466" s="4" t="s">
        <v>36</v>
      </c>
      <c r="O466" s="4">
        <v>1</v>
      </c>
      <c r="P466" s="112"/>
      <c r="Q466" s="4" t="s">
        <v>998</v>
      </c>
      <c r="R466" s="34">
        <v>45</v>
      </c>
      <c r="S466" s="34">
        <v>183.75</v>
      </c>
      <c r="T466" s="58">
        <f t="shared" si="50"/>
        <v>228.75</v>
      </c>
      <c r="U466" s="36">
        <v>46038</v>
      </c>
      <c r="V466" s="4"/>
      <c r="W466" s="4"/>
      <c r="X466" s="4"/>
    </row>
    <row r="467" spans="1:24" ht="15" thickBot="1">
      <c r="A467" s="4" t="s">
        <v>154</v>
      </c>
      <c r="B467" s="4" t="s">
        <v>940</v>
      </c>
      <c r="C467" s="4" t="s">
        <v>941</v>
      </c>
      <c r="D467" s="4" t="s">
        <v>156</v>
      </c>
      <c r="E467" s="4" t="s">
        <v>2345</v>
      </c>
      <c r="F467" s="31">
        <v>45981</v>
      </c>
      <c r="G467" s="4"/>
      <c r="H467" s="4" t="s">
        <v>1733</v>
      </c>
      <c r="I467" s="4" t="s">
        <v>1734</v>
      </c>
      <c r="J467" s="4" t="s">
        <v>216</v>
      </c>
      <c r="K467" s="4" t="s">
        <v>33</v>
      </c>
      <c r="L467" s="4" t="s">
        <v>1735</v>
      </c>
      <c r="M467" s="4" t="s">
        <v>3254</v>
      </c>
      <c r="N467" s="4" t="s">
        <v>36</v>
      </c>
      <c r="O467" s="4">
        <v>1</v>
      </c>
      <c r="P467" s="112"/>
      <c r="Q467" s="4" t="s">
        <v>3254</v>
      </c>
      <c r="R467" s="34">
        <v>45</v>
      </c>
      <c r="S467" s="34">
        <v>431.75</v>
      </c>
      <c r="T467" s="58">
        <f t="shared" si="50"/>
        <v>476.75</v>
      </c>
      <c r="U467" s="126">
        <v>46085</v>
      </c>
      <c r="V467" s="4"/>
      <c r="W467" s="4"/>
      <c r="X467" s="4"/>
    </row>
    <row r="468" spans="1:24" ht="15" thickBot="1">
      <c r="A468" s="4" t="s">
        <v>154</v>
      </c>
      <c r="B468" s="4" t="s">
        <v>940</v>
      </c>
      <c r="C468" s="4" t="s">
        <v>941</v>
      </c>
      <c r="D468" s="4" t="s">
        <v>156</v>
      </c>
      <c r="E468" s="4" t="s">
        <v>2345</v>
      </c>
      <c r="F468" s="31">
        <v>45981</v>
      </c>
      <c r="G468" s="4"/>
      <c r="H468" s="4" t="s">
        <v>1736</v>
      </c>
      <c r="I468" s="4" t="s">
        <v>1737</v>
      </c>
      <c r="J468" s="4" t="s">
        <v>216</v>
      </c>
      <c r="K468" s="4" t="s">
        <v>33</v>
      </c>
      <c r="L468" s="4" t="s">
        <v>1738</v>
      </c>
      <c r="M468" s="4" t="s">
        <v>295</v>
      </c>
      <c r="N468" s="4" t="s">
        <v>36</v>
      </c>
      <c r="O468" s="4">
        <v>1</v>
      </c>
      <c r="P468" s="112"/>
      <c r="Q468" s="4" t="s">
        <v>35</v>
      </c>
      <c r="R468" s="34">
        <v>45</v>
      </c>
      <c r="S468" s="34">
        <v>335</v>
      </c>
      <c r="T468" s="58">
        <f t="shared" si="50"/>
        <v>380</v>
      </c>
      <c r="U468" s="36">
        <v>46122</v>
      </c>
      <c r="V468" s="4"/>
      <c r="W468" s="4"/>
      <c r="X468" s="4" t="s">
        <v>3714</v>
      </c>
    </row>
    <row r="469" spans="1:24" ht="15" thickBot="1">
      <c r="A469" s="4" t="s">
        <v>154</v>
      </c>
      <c r="B469" s="4" t="s">
        <v>940</v>
      </c>
      <c r="C469" s="4" t="s">
        <v>941</v>
      </c>
      <c r="D469" s="4" t="s">
        <v>156</v>
      </c>
      <c r="E469" s="4" t="s">
        <v>2345</v>
      </c>
      <c r="F469" s="31">
        <v>45981</v>
      </c>
      <c r="G469" s="4"/>
      <c r="H469" s="4" t="s">
        <v>1739</v>
      </c>
      <c r="I469" s="4" t="s">
        <v>1740</v>
      </c>
      <c r="J469" s="4" t="s">
        <v>160</v>
      </c>
      <c r="K469" s="4" t="s">
        <v>33</v>
      </c>
      <c r="L469" s="4" t="s">
        <v>1741</v>
      </c>
      <c r="M469" s="4"/>
      <c r="N469" s="4" t="s">
        <v>36</v>
      </c>
      <c r="O469" s="4">
        <v>1</v>
      </c>
      <c r="P469" s="112"/>
      <c r="Q469" s="4" t="s">
        <v>457</v>
      </c>
      <c r="R469" s="34">
        <v>45</v>
      </c>
      <c r="S469" s="34">
        <v>163.75</v>
      </c>
      <c r="T469" s="58">
        <f t="shared" si="50"/>
        <v>208.75</v>
      </c>
      <c r="U469" s="126">
        <v>46085</v>
      </c>
      <c r="V469" s="4"/>
      <c r="W469" s="4"/>
      <c r="X469" s="4"/>
    </row>
    <row r="470" spans="1:24" ht="15" thickBot="1">
      <c r="A470" s="4" t="s">
        <v>154</v>
      </c>
      <c r="B470" s="4" t="s">
        <v>940</v>
      </c>
      <c r="C470" s="4" t="s">
        <v>941</v>
      </c>
      <c r="D470" s="4" t="s">
        <v>156</v>
      </c>
      <c r="E470" s="4" t="s">
        <v>2345</v>
      </c>
      <c r="F470" s="31">
        <v>45981</v>
      </c>
      <c r="G470" s="4"/>
      <c r="H470" s="4" t="s">
        <v>1742</v>
      </c>
      <c r="I470" s="4" t="s">
        <v>1743</v>
      </c>
      <c r="J470" s="4" t="s">
        <v>160</v>
      </c>
      <c r="K470" s="4" t="s">
        <v>33</v>
      </c>
      <c r="L470" s="4" t="s">
        <v>1744</v>
      </c>
      <c r="M470" s="4"/>
      <c r="N470" s="4" t="s">
        <v>36</v>
      </c>
      <c r="O470" s="4">
        <v>1</v>
      </c>
      <c r="P470" s="112"/>
      <c r="Q470" s="4" t="s">
        <v>457</v>
      </c>
      <c r="R470" s="34">
        <v>45</v>
      </c>
      <c r="S470" s="34">
        <v>163.75</v>
      </c>
      <c r="T470" s="58">
        <f t="shared" si="50"/>
        <v>208.75</v>
      </c>
      <c r="U470" s="126">
        <v>46085</v>
      </c>
      <c r="V470" s="4"/>
      <c r="W470" s="4"/>
      <c r="X470" s="4"/>
    </row>
    <row r="471" spans="1:24" ht="15" thickBot="1">
      <c r="A471" s="4" t="s">
        <v>154</v>
      </c>
      <c r="B471" s="4" t="s">
        <v>940</v>
      </c>
      <c r="C471" s="4" t="s">
        <v>941</v>
      </c>
      <c r="D471" s="4" t="s">
        <v>156</v>
      </c>
      <c r="E471" s="4" t="s">
        <v>2345</v>
      </c>
      <c r="F471" s="31">
        <v>45981</v>
      </c>
      <c r="G471" s="4"/>
      <c r="H471" s="4" t="s">
        <v>1745</v>
      </c>
      <c r="I471" s="4" t="s">
        <v>1746</v>
      </c>
      <c r="J471" s="4" t="s">
        <v>382</v>
      </c>
      <c r="K471" s="4" t="s">
        <v>33</v>
      </c>
      <c r="L471" s="4" t="s">
        <v>1747</v>
      </c>
      <c r="M471" s="4" t="s">
        <v>1748</v>
      </c>
      <c r="N471" s="4" t="s">
        <v>36</v>
      </c>
      <c r="O471" s="4">
        <v>1</v>
      </c>
      <c r="P471" s="112"/>
      <c r="Q471" s="4" t="s">
        <v>352</v>
      </c>
      <c r="R471" s="34">
        <v>45</v>
      </c>
      <c r="S471" s="34">
        <v>160</v>
      </c>
      <c r="T471" s="58">
        <f t="shared" si="50"/>
        <v>205</v>
      </c>
      <c r="U471" s="36">
        <v>46038</v>
      </c>
      <c r="V471" s="4"/>
      <c r="W471" s="4"/>
      <c r="X471" s="4"/>
    </row>
    <row r="472" spans="1:24" ht="15" thickBot="1">
      <c r="A472" s="4" t="s">
        <v>154</v>
      </c>
      <c r="B472" s="4" t="s">
        <v>940</v>
      </c>
      <c r="C472" s="4" t="s">
        <v>941</v>
      </c>
      <c r="D472" s="4" t="s">
        <v>156</v>
      </c>
      <c r="E472" s="4" t="s">
        <v>2345</v>
      </c>
      <c r="F472" s="31">
        <v>45981</v>
      </c>
      <c r="G472" s="4"/>
      <c r="H472" s="4" t="s">
        <v>1749</v>
      </c>
      <c r="I472" s="4" t="s">
        <v>1750</v>
      </c>
      <c r="J472" s="4" t="s">
        <v>382</v>
      </c>
      <c r="K472" s="4" t="s">
        <v>33</v>
      </c>
      <c r="L472" s="4" t="s">
        <v>1751</v>
      </c>
      <c r="M472" s="4"/>
      <c r="N472" s="4" t="s">
        <v>499</v>
      </c>
      <c r="O472" s="4">
        <v>1</v>
      </c>
      <c r="P472" s="112"/>
      <c r="Q472" s="4"/>
      <c r="R472" s="34">
        <v>45</v>
      </c>
      <c r="S472" s="4"/>
      <c r="T472" s="58">
        <v>0</v>
      </c>
      <c r="U472" s="36"/>
      <c r="V472" s="4"/>
      <c r="W472" s="4"/>
      <c r="X472" s="4" t="s">
        <v>927</v>
      </c>
    </row>
    <row r="473" spans="1:24" ht="15" thickBot="1">
      <c r="A473" s="4" t="s">
        <v>154</v>
      </c>
      <c r="B473" s="4" t="s">
        <v>940</v>
      </c>
      <c r="C473" s="4" t="s">
        <v>941</v>
      </c>
      <c r="D473" s="4" t="s">
        <v>156</v>
      </c>
      <c r="E473" s="4" t="s">
        <v>2345</v>
      </c>
      <c r="F473" s="31">
        <v>45981</v>
      </c>
      <c r="G473" s="4"/>
      <c r="H473" s="4" t="s">
        <v>1752</v>
      </c>
      <c r="I473" s="4" t="s">
        <v>1753</v>
      </c>
      <c r="J473" s="4" t="s">
        <v>382</v>
      </c>
      <c r="K473" s="4" t="s">
        <v>33</v>
      </c>
      <c r="L473" s="4" t="s">
        <v>351</v>
      </c>
      <c r="M473" s="4" t="s">
        <v>1754</v>
      </c>
      <c r="N473" s="4" t="s">
        <v>36</v>
      </c>
      <c r="O473" s="4">
        <v>1</v>
      </c>
      <c r="P473" s="112"/>
      <c r="Q473" s="4" t="s">
        <v>3216</v>
      </c>
      <c r="R473" s="34">
        <v>45</v>
      </c>
      <c r="S473" s="34">
        <v>275</v>
      </c>
      <c r="T473" s="58">
        <f>SUM(R473:S473)</f>
        <v>320</v>
      </c>
      <c r="U473" s="36">
        <v>46038</v>
      </c>
      <c r="V473" s="4"/>
      <c r="W473" s="4"/>
      <c r="X473" s="4"/>
    </row>
    <row r="474" spans="1:24" ht="15" thickBot="1">
      <c r="A474" s="4" t="s">
        <v>154</v>
      </c>
      <c r="B474" s="4" t="s">
        <v>940</v>
      </c>
      <c r="C474" s="4" t="s">
        <v>941</v>
      </c>
      <c r="D474" s="4" t="s">
        <v>156</v>
      </c>
      <c r="E474" s="4" t="s">
        <v>2345</v>
      </c>
      <c r="F474" s="31">
        <v>45981</v>
      </c>
      <c r="G474" s="4"/>
      <c r="H474" s="4" t="s">
        <v>1755</v>
      </c>
      <c r="I474" s="4" t="s">
        <v>1756</v>
      </c>
      <c r="J474" s="4" t="s">
        <v>160</v>
      </c>
      <c r="K474" s="4" t="s">
        <v>33</v>
      </c>
      <c r="L474" s="4" t="s">
        <v>1757</v>
      </c>
      <c r="M474" s="4"/>
      <c r="N474" s="4" t="s">
        <v>36</v>
      </c>
      <c r="O474" s="4">
        <v>1</v>
      </c>
      <c r="P474" s="112"/>
      <c r="Q474" s="4" t="s">
        <v>457</v>
      </c>
      <c r="R474" s="34">
        <v>45</v>
      </c>
      <c r="S474" s="34">
        <v>163.75</v>
      </c>
      <c r="T474" s="58">
        <f>SUM(R474:S474)</f>
        <v>208.75</v>
      </c>
      <c r="U474" s="126">
        <v>46085</v>
      </c>
      <c r="V474" s="4"/>
      <c r="W474" s="4"/>
      <c r="X474" s="4" t="s">
        <v>262</v>
      </c>
    </row>
    <row r="475" spans="1:24" ht="15" thickBot="1">
      <c r="A475" s="4" t="s">
        <v>154</v>
      </c>
      <c r="B475" s="4" t="s">
        <v>940</v>
      </c>
      <c r="C475" s="4" t="s">
        <v>941</v>
      </c>
      <c r="D475" s="4" t="s">
        <v>156</v>
      </c>
      <c r="E475" s="4" t="s">
        <v>2345</v>
      </c>
      <c r="F475" s="31">
        <v>45981</v>
      </c>
      <c r="G475" s="4"/>
      <c r="H475" s="4" t="s">
        <v>1758</v>
      </c>
      <c r="I475" s="4" t="s">
        <v>1759</v>
      </c>
      <c r="J475" s="4" t="s">
        <v>160</v>
      </c>
      <c r="K475" s="4" t="s">
        <v>33</v>
      </c>
      <c r="L475" s="4" t="s">
        <v>1760</v>
      </c>
      <c r="M475" s="4"/>
      <c r="N475" s="4" t="s">
        <v>36</v>
      </c>
      <c r="O475" s="4">
        <v>1</v>
      </c>
      <c r="P475" s="112"/>
      <c r="Q475" s="4" t="s">
        <v>1761</v>
      </c>
      <c r="R475" s="34">
        <v>45</v>
      </c>
      <c r="S475" s="34">
        <v>280</v>
      </c>
      <c r="T475" s="58">
        <f>SUM(R475:S475)</f>
        <v>325</v>
      </c>
      <c r="U475" s="126">
        <v>46072</v>
      </c>
      <c r="V475" s="4" t="s">
        <v>1762</v>
      </c>
      <c r="W475" s="4"/>
      <c r="X475" s="4"/>
    </row>
    <row r="476" spans="1:24" ht="15" thickBot="1">
      <c r="A476" s="4" t="s">
        <v>154</v>
      </c>
      <c r="B476" s="4" t="s">
        <v>940</v>
      </c>
      <c r="C476" s="4" t="s">
        <v>941</v>
      </c>
      <c r="D476" s="4" t="s">
        <v>156</v>
      </c>
      <c r="E476" s="4" t="s">
        <v>2345</v>
      </c>
      <c r="F476" s="31">
        <v>45981</v>
      </c>
      <c r="G476" s="4"/>
      <c r="H476" s="4" t="s">
        <v>1763</v>
      </c>
      <c r="I476" s="4" t="s">
        <v>1764</v>
      </c>
      <c r="J476" s="4" t="s">
        <v>160</v>
      </c>
      <c r="K476" s="4" t="s">
        <v>33</v>
      </c>
      <c r="L476" s="4" t="s">
        <v>1765</v>
      </c>
      <c r="M476" s="4" t="s">
        <v>457</v>
      </c>
      <c r="N476" s="4" t="s">
        <v>36</v>
      </c>
      <c r="O476" s="4">
        <v>1</v>
      </c>
      <c r="P476" s="112"/>
      <c r="Q476" s="4" t="s">
        <v>457</v>
      </c>
      <c r="R476" s="34">
        <v>45</v>
      </c>
      <c r="S476" s="34">
        <v>163.75</v>
      </c>
      <c r="T476" s="58">
        <f>SUM(R476:S476)</f>
        <v>208.75</v>
      </c>
      <c r="U476" s="126">
        <v>46072</v>
      </c>
      <c r="V476" s="4"/>
      <c r="W476" s="4"/>
      <c r="X476" s="4"/>
    </row>
    <row r="477" spans="1:24" ht="15" thickBot="1">
      <c r="A477" s="4" t="s">
        <v>154</v>
      </c>
      <c r="B477" s="4" t="s">
        <v>940</v>
      </c>
      <c r="C477" s="4" t="s">
        <v>941</v>
      </c>
      <c r="D477" s="4" t="s">
        <v>156</v>
      </c>
      <c r="E477" s="4" t="s">
        <v>2345</v>
      </c>
      <c r="F477" s="31">
        <v>45981</v>
      </c>
      <c r="G477" s="4"/>
      <c r="H477" s="4" t="s">
        <v>1766</v>
      </c>
      <c r="I477" s="4" t="s">
        <v>1767</v>
      </c>
      <c r="J477" s="4" t="s">
        <v>160</v>
      </c>
      <c r="K477" s="4" t="s">
        <v>33</v>
      </c>
      <c r="L477" s="4" t="s">
        <v>1768</v>
      </c>
      <c r="M477" s="4"/>
      <c r="N477" s="4" t="s">
        <v>499</v>
      </c>
      <c r="O477" s="4">
        <v>1</v>
      </c>
      <c r="P477" s="112"/>
      <c r="Q477" s="4"/>
      <c r="R477" s="34">
        <v>45</v>
      </c>
      <c r="S477" s="4"/>
      <c r="T477" s="58">
        <v>0</v>
      </c>
      <c r="U477" s="36"/>
      <c r="V477" s="4"/>
      <c r="W477" s="4"/>
      <c r="X477" s="4"/>
    </row>
    <row r="478" spans="1:24" ht="15" thickBot="1">
      <c r="A478" s="4" t="s">
        <v>154</v>
      </c>
      <c r="B478" s="4" t="s">
        <v>940</v>
      </c>
      <c r="C478" s="4" t="s">
        <v>941</v>
      </c>
      <c r="D478" s="4" t="s">
        <v>156</v>
      </c>
      <c r="E478" s="4" t="s">
        <v>2345</v>
      </c>
      <c r="F478" s="31">
        <v>45981</v>
      </c>
      <c r="G478" s="4"/>
      <c r="H478" s="4" t="s">
        <v>1769</v>
      </c>
      <c r="I478" s="4" t="s">
        <v>1770</v>
      </c>
      <c r="J478" s="4" t="s">
        <v>160</v>
      </c>
      <c r="K478" s="4" t="s">
        <v>33</v>
      </c>
      <c r="L478" s="4" t="s">
        <v>1711</v>
      </c>
      <c r="M478" s="4" t="s">
        <v>3363</v>
      </c>
      <c r="N478" s="4" t="s">
        <v>499</v>
      </c>
      <c r="O478" s="4">
        <v>1</v>
      </c>
      <c r="P478" s="112"/>
      <c r="Q478" s="4" t="s">
        <v>3363</v>
      </c>
      <c r="R478" s="34">
        <v>45</v>
      </c>
      <c r="S478" s="4"/>
      <c r="T478" s="58">
        <v>0</v>
      </c>
      <c r="U478" s="36"/>
      <c r="V478" s="4"/>
      <c r="W478" s="4"/>
      <c r="X478" s="4"/>
    </row>
    <row r="479" spans="1:24" ht="15" thickBot="1">
      <c r="A479" s="4" t="s">
        <v>154</v>
      </c>
      <c r="B479" s="4" t="s">
        <v>940</v>
      </c>
      <c r="C479" s="4" t="s">
        <v>941</v>
      </c>
      <c r="D479" s="4" t="s">
        <v>156</v>
      </c>
      <c r="E479" s="4" t="s">
        <v>2345</v>
      </c>
      <c r="F479" s="31">
        <v>45981</v>
      </c>
      <c r="G479" s="4"/>
      <c r="H479" s="4" t="s">
        <v>1771</v>
      </c>
      <c r="I479" s="4" t="s">
        <v>1772</v>
      </c>
      <c r="J479" s="4" t="s">
        <v>160</v>
      </c>
      <c r="K479" s="4" t="s">
        <v>33</v>
      </c>
      <c r="L479" s="4" t="s">
        <v>1773</v>
      </c>
      <c r="M479" s="4"/>
      <c r="N479" s="4" t="s">
        <v>499</v>
      </c>
      <c r="O479" s="4">
        <v>1</v>
      </c>
      <c r="P479" s="112"/>
      <c r="Q479" s="4"/>
      <c r="R479" s="34">
        <v>45</v>
      </c>
      <c r="S479" s="4"/>
      <c r="T479" s="58">
        <v>0</v>
      </c>
      <c r="U479" s="36"/>
      <c r="V479" s="4"/>
      <c r="W479" s="4"/>
      <c r="X479" s="4"/>
    </row>
    <row r="480" spans="1:24" ht="15" thickBot="1">
      <c r="A480" s="4" t="s">
        <v>154</v>
      </c>
      <c r="B480" s="4" t="s">
        <v>940</v>
      </c>
      <c r="C480" s="4" t="s">
        <v>941</v>
      </c>
      <c r="D480" s="4" t="s">
        <v>156</v>
      </c>
      <c r="E480" s="4" t="s">
        <v>2345</v>
      </c>
      <c r="F480" s="31">
        <v>45981</v>
      </c>
      <c r="G480" s="4"/>
      <c r="H480" s="4" t="s">
        <v>1774</v>
      </c>
      <c r="I480" s="4" t="s">
        <v>1775</v>
      </c>
      <c r="J480" s="4" t="s">
        <v>502</v>
      </c>
      <c r="K480" s="4" t="s">
        <v>33</v>
      </c>
      <c r="L480" s="4" t="s">
        <v>1776</v>
      </c>
      <c r="M480" s="4"/>
      <c r="N480" s="4" t="s">
        <v>36</v>
      </c>
      <c r="O480" s="4">
        <v>1</v>
      </c>
      <c r="P480" s="112"/>
      <c r="Q480" s="4" t="s">
        <v>66</v>
      </c>
      <c r="R480" s="34">
        <v>45</v>
      </c>
      <c r="S480" s="34">
        <v>120</v>
      </c>
      <c r="T480" s="58">
        <f t="shared" ref="T480:T486" si="51">SUM(R480:S480)</f>
        <v>165</v>
      </c>
      <c r="U480" s="36">
        <v>46038</v>
      </c>
      <c r="V480" s="4"/>
      <c r="W480" s="4"/>
      <c r="X480" s="4" t="s">
        <v>3260</v>
      </c>
    </row>
    <row r="481" spans="1:24" ht="15" thickBot="1">
      <c r="A481" s="4" t="s">
        <v>154</v>
      </c>
      <c r="B481" s="4" t="s">
        <v>940</v>
      </c>
      <c r="C481" s="4" t="s">
        <v>941</v>
      </c>
      <c r="D481" s="4" t="s">
        <v>156</v>
      </c>
      <c r="E481" s="4" t="s">
        <v>2345</v>
      </c>
      <c r="F481" s="31">
        <v>45981</v>
      </c>
      <c r="G481" s="4"/>
      <c r="H481" s="4" t="s">
        <v>1777</v>
      </c>
      <c r="I481" s="4" t="s">
        <v>1778</v>
      </c>
      <c r="J481" s="4" t="s">
        <v>502</v>
      </c>
      <c r="K481" s="4" t="s">
        <v>33</v>
      </c>
      <c r="L481" s="4" t="s">
        <v>957</v>
      </c>
      <c r="M481" s="4" t="s">
        <v>117</v>
      </c>
      <c r="N481" s="4" t="s">
        <v>36</v>
      </c>
      <c r="O481" s="4">
        <v>1</v>
      </c>
      <c r="P481" s="112"/>
      <c r="Q481" s="4" t="s">
        <v>117</v>
      </c>
      <c r="R481" s="34">
        <v>45</v>
      </c>
      <c r="S481" s="34">
        <v>215</v>
      </c>
      <c r="T481" s="58">
        <f t="shared" si="51"/>
        <v>260</v>
      </c>
      <c r="U481" s="36">
        <v>46038</v>
      </c>
      <c r="V481" s="4"/>
      <c r="W481" s="4"/>
      <c r="X481" s="4" t="s">
        <v>1124</v>
      </c>
    </row>
    <row r="482" spans="1:24" ht="15" thickBot="1">
      <c r="A482" s="4" t="s">
        <v>154</v>
      </c>
      <c r="B482" s="4" t="s">
        <v>940</v>
      </c>
      <c r="C482" s="4" t="s">
        <v>941</v>
      </c>
      <c r="D482" s="4" t="s">
        <v>156</v>
      </c>
      <c r="E482" s="4" t="s">
        <v>2345</v>
      </c>
      <c r="F482" s="31">
        <v>45981</v>
      </c>
      <c r="G482" s="4"/>
      <c r="H482" s="4" t="s">
        <v>1779</v>
      </c>
      <c r="I482" s="4" t="s">
        <v>1780</v>
      </c>
      <c r="J482" s="4" t="s">
        <v>160</v>
      </c>
      <c r="K482" s="4" t="s">
        <v>33</v>
      </c>
      <c r="L482" s="4" t="s">
        <v>1781</v>
      </c>
      <c r="M482" s="4"/>
      <c r="N482" s="4" t="s">
        <v>36</v>
      </c>
      <c r="O482" s="4">
        <v>1</v>
      </c>
      <c r="P482" s="112"/>
      <c r="Q482" s="4" t="s">
        <v>3240</v>
      </c>
      <c r="R482" s="34">
        <v>45</v>
      </c>
      <c r="S482" s="34">
        <v>283.75</v>
      </c>
      <c r="T482" s="58">
        <f t="shared" si="51"/>
        <v>328.75</v>
      </c>
      <c r="U482" s="126">
        <v>46072</v>
      </c>
      <c r="V482" s="4" t="s">
        <v>1762</v>
      </c>
      <c r="W482" s="4"/>
      <c r="X482" s="4"/>
    </row>
    <row r="483" spans="1:24" ht="15" thickBot="1">
      <c r="A483" s="4" t="s">
        <v>154</v>
      </c>
      <c r="B483" s="4" t="s">
        <v>940</v>
      </c>
      <c r="C483" s="4" t="s">
        <v>941</v>
      </c>
      <c r="D483" s="4" t="s">
        <v>156</v>
      </c>
      <c r="E483" s="4" t="s">
        <v>2345</v>
      </c>
      <c r="F483" s="31">
        <v>45981</v>
      </c>
      <c r="G483" s="4"/>
      <c r="H483" s="4" t="s">
        <v>1782</v>
      </c>
      <c r="I483" s="4" t="s">
        <v>1783</v>
      </c>
      <c r="J483" s="4" t="s">
        <v>160</v>
      </c>
      <c r="K483" s="4" t="s">
        <v>33</v>
      </c>
      <c r="L483" s="4" t="s">
        <v>730</v>
      </c>
      <c r="M483" s="4"/>
      <c r="N483" s="4" t="s">
        <v>36</v>
      </c>
      <c r="O483" s="4">
        <v>1</v>
      </c>
      <c r="P483" s="112"/>
      <c r="Q483" s="4" t="s">
        <v>457</v>
      </c>
      <c r="R483" s="34">
        <v>45</v>
      </c>
      <c r="S483" s="34">
        <v>163.75</v>
      </c>
      <c r="T483" s="58">
        <f t="shared" si="51"/>
        <v>208.75</v>
      </c>
      <c r="U483" s="126">
        <v>46072</v>
      </c>
      <c r="V483" s="4"/>
      <c r="W483" s="4"/>
      <c r="X483" s="4"/>
    </row>
    <row r="484" spans="1:24" ht="15" thickBot="1">
      <c r="A484" s="4" t="s">
        <v>154</v>
      </c>
      <c r="B484" s="4" t="s">
        <v>940</v>
      </c>
      <c r="C484" s="4" t="s">
        <v>941</v>
      </c>
      <c r="D484" s="4" t="s">
        <v>156</v>
      </c>
      <c r="E484" s="4" t="s">
        <v>2345</v>
      </c>
      <c r="F484" s="31">
        <v>45981</v>
      </c>
      <c r="G484" s="4"/>
      <c r="H484" s="4" t="s">
        <v>1784</v>
      </c>
      <c r="I484" s="4" t="s">
        <v>1785</v>
      </c>
      <c r="J484" s="4" t="s">
        <v>201</v>
      </c>
      <c r="K484" s="4" t="s">
        <v>48</v>
      </c>
      <c r="L484" s="4" t="s">
        <v>1786</v>
      </c>
      <c r="M484" s="4" t="s">
        <v>3711</v>
      </c>
      <c r="N484" s="4" t="s">
        <v>36</v>
      </c>
      <c r="O484" s="4">
        <v>1</v>
      </c>
      <c r="P484" s="112"/>
      <c r="Q484" s="4" t="s">
        <v>3712</v>
      </c>
      <c r="R484" s="34">
        <v>45</v>
      </c>
      <c r="S484" s="34">
        <v>0</v>
      </c>
      <c r="T484" s="58">
        <f t="shared" si="51"/>
        <v>45</v>
      </c>
      <c r="U484" s="36">
        <v>46122</v>
      </c>
      <c r="V484" s="4"/>
      <c r="W484" s="4"/>
      <c r="X484" s="4"/>
    </row>
    <row r="485" spans="1:24" ht="15" thickBot="1">
      <c r="A485" s="4" t="s">
        <v>25</v>
      </c>
      <c r="B485" s="4" t="s">
        <v>26</v>
      </c>
      <c r="C485" s="4" t="s">
        <v>27</v>
      </c>
      <c r="D485" s="4" t="s">
        <v>28</v>
      </c>
      <c r="E485" s="4" t="s">
        <v>29</v>
      </c>
      <c r="F485" s="31">
        <v>45993</v>
      </c>
      <c r="G485" s="4"/>
      <c r="H485" s="4" t="s">
        <v>1787</v>
      </c>
      <c r="I485" s="4" t="s">
        <v>1788</v>
      </c>
      <c r="J485" s="4" t="s">
        <v>216</v>
      </c>
      <c r="K485" s="4" t="s">
        <v>3232</v>
      </c>
      <c r="L485" s="4" t="s">
        <v>117</v>
      </c>
      <c r="M485" s="4"/>
      <c r="N485" s="4" t="s">
        <v>36</v>
      </c>
      <c r="O485" s="4">
        <v>1</v>
      </c>
      <c r="P485" s="112"/>
      <c r="Q485" s="4" t="s">
        <v>117</v>
      </c>
      <c r="R485" s="34">
        <v>45</v>
      </c>
      <c r="S485" s="34">
        <v>215</v>
      </c>
      <c r="T485" s="58">
        <f t="shared" si="51"/>
        <v>260</v>
      </c>
      <c r="U485" s="126">
        <v>46072</v>
      </c>
      <c r="V485" s="4"/>
      <c r="W485" s="4"/>
      <c r="X485" s="4" t="s">
        <v>927</v>
      </c>
    </row>
    <row r="486" spans="1:24" ht="15" thickBot="1">
      <c r="A486" s="4" t="s">
        <v>25</v>
      </c>
      <c r="B486" s="4" t="s">
        <v>26</v>
      </c>
      <c r="C486" s="4" t="s">
        <v>27</v>
      </c>
      <c r="D486" s="4" t="s">
        <v>28</v>
      </c>
      <c r="E486" s="4" t="s">
        <v>29</v>
      </c>
      <c r="F486" s="31">
        <v>45993</v>
      </c>
      <c r="G486" s="4"/>
      <c r="H486" s="4" t="s">
        <v>1789</v>
      </c>
      <c r="I486" s="4" t="s">
        <v>1790</v>
      </c>
      <c r="J486" s="4" t="s">
        <v>160</v>
      </c>
      <c r="K486" s="4" t="s">
        <v>33</v>
      </c>
      <c r="L486" s="4" t="s">
        <v>1348</v>
      </c>
      <c r="M486" s="4"/>
      <c r="N486" s="4" t="s">
        <v>36</v>
      </c>
      <c r="O486" s="4">
        <v>1</v>
      </c>
      <c r="P486" s="112"/>
      <c r="Q486" s="4" t="s">
        <v>457</v>
      </c>
      <c r="R486" s="34">
        <v>45</v>
      </c>
      <c r="S486" s="34">
        <v>163.75</v>
      </c>
      <c r="T486" s="58">
        <f t="shared" si="51"/>
        <v>208.75</v>
      </c>
      <c r="U486" s="126">
        <v>46085</v>
      </c>
      <c r="V486" s="4"/>
      <c r="W486" s="4"/>
      <c r="X486" s="4"/>
    </row>
    <row r="487" spans="1:24" ht="15" thickBot="1">
      <c r="A487" s="4" t="s">
        <v>25</v>
      </c>
      <c r="B487" s="4" t="s">
        <v>26</v>
      </c>
      <c r="C487" s="4" t="s">
        <v>27</v>
      </c>
      <c r="D487" s="4" t="s">
        <v>28</v>
      </c>
      <c r="E487" s="4" t="s">
        <v>29</v>
      </c>
      <c r="F487" s="31">
        <v>45993</v>
      </c>
      <c r="G487" s="4"/>
      <c r="H487" s="4" t="s">
        <v>1791</v>
      </c>
      <c r="I487" s="4" t="s">
        <v>1792</v>
      </c>
      <c r="J487" s="4" t="s">
        <v>382</v>
      </c>
      <c r="K487" s="4" t="s">
        <v>33</v>
      </c>
      <c r="L487" s="4" t="s">
        <v>1348</v>
      </c>
      <c r="M487" s="4"/>
      <c r="N487" s="4" t="s">
        <v>499</v>
      </c>
      <c r="O487" s="4">
        <v>1</v>
      </c>
      <c r="P487" s="112"/>
      <c r="Q487" s="4"/>
      <c r="R487" s="34">
        <v>45</v>
      </c>
      <c r="S487" s="4"/>
      <c r="T487" s="58">
        <v>0</v>
      </c>
      <c r="U487" s="36"/>
      <c r="V487" s="4"/>
      <c r="W487" s="4"/>
      <c r="X487" s="4"/>
    </row>
    <row r="488" spans="1:24" ht="15" thickBot="1">
      <c r="A488" s="4" t="s">
        <v>25</v>
      </c>
      <c r="B488" s="4" t="s">
        <v>26</v>
      </c>
      <c r="C488" s="4" t="s">
        <v>27</v>
      </c>
      <c r="D488" s="4" t="s">
        <v>28</v>
      </c>
      <c r="E488" s="4" t="s">
        <v>29</v>
      </c>
      <c r="F488" s="31">
        <v>45993</v>
      </c>
      <c r="G488" s="4"/>
      <c r="H488" s="4" t="s">
        <v>1793</v>
      </c>
      <c r="I488" s="4" t="s">
        <v>1794</v>
      </c>
      <c r="J488" s="4" t="s">
        <v>160</v>
      </c>
      <c r="K488" s="4" t="s">
        <v>33</v>
      </c>
      <c r="L488" s="4" t="s">
        <v>1795</v>
      </c>
      <c r="M488" s="4"/>
      <c r="N488" s="4" t="s">
        <v>499</v>
      </c>
      <c r="O488" s="4">
        <v>1</v>
      </c>
      <c r="P488" s="112"/>
      <c r="Q488" s="4"/>
      <c r="R488" s="34">
        <v>45</v>
      </c>
      <c r="S488" s="4"/>
      <c r="T488" s="58">
        <v>0</v>
      </c>
      <c r="U488" s="36"/>
      <c r="V488" s="4"/>
      <c r="W488" s="4"/>
      <c r="X488" s="4" t="s">
        <v>927</v>
      </c>
    </row>
    <row r="489" spans="1:24" ht="15" thickBot="1">
      <c r="A489" s="4" t="s">
        <v>25</v>
      </c>
      <c r="B489" s="4" t="s">
        <v>26</v>
      </c>
      <c r="C489" s="4" t="s">
        <v>27</v>
      </c>
      <c r="D489" s="4" t="s">
        <v>28</v>
      </c>
      <c r="E489" s="4" t="s">
        <v>29</v>
      </c>
      <c r="F489" s="31">
        <v>45993</v>
      </c>
      <c r="G489" s="4"/>
      <c r="H489" s="4" t="s">
        <v>1796</v>
      </c>
      <c r="I489" s="4" t="s">
        <v>1797</v>
      </c>
      <c r="J489" s="4" t="s">
        <v>379</v>
      </c>
      <c r="K489" s="4" t="s">
        <v>48</v>
      </c>
      <c r="L489" s="4" t="s">
        <v>1798</v>
      </c>
      <c r="M489" s="4"/>
      <c r="N489" s="4" t="s">
        <v>36</v>
      </c>
      <c r="O489" s="4">
        <v>1</v>
      </c>
      <c r="P489" s="112"/>
      <c r="Q489" s="4" t="s">
        <v>3227</v>
      </c>
      <c r="R489" s="34">
        <v>45</v>
      </c>
      <c r="S489" s="34">
        <v>0</v>
      </c>
      <c r="T489" s="58">
        <f>SUM(R489:S489)</f>
        <v>45</v>
      </c>
      <c r="U489" s="126">
        <v>46085</v>
      </c>
      <c r="V489" s="4"/>
      <c r="W489" s="4"/>
      <c r="X489" s="4"/>
    </row>
    <row r="490" spans="1:24" ht="15" thickBot="1">
      <c r="A490" s="4" t="s">
        <v>25</v>
      </c>
      <c r="B490" s="4" t="s">
        <v>26</v>
      </c>
      <c r="C490" s="4" t="s">
        <v>27</v>
      </c>
      <c r="D490" s="4" t="s">
        <v>28</v>
      </c>
      <c r="E490" s="4" t="s">
        <v>29</v>
      </c>
      <c r="F490" s="31">
        <v>45993</v>
      </c>
      <c r="G490" s="4"/>
      <c r="H490" s="4" t="s">
        <v>1799</v>
      </c>
      <c r="I490" s="4" t="s">
        <v>1800</v>
      </c>
      <c r="J490" s="4" t="s">
        <v>201</v>
      </c>
      <c r="K490" s="4" t="s">
        <v>3233</v>
      </c>
      <c r="L490" s="4" t="s">
        <v>1801</v>
      </c>
      <c r="M490" s="4"/>
      <c r="N490" s="4" t="s">
        <v>36</v>
      </c>
      <c r="O490" s="4">
        <v>1</v>
      </c>
      <c r="P490" s="112"/>
      <c r="Q490" s="4" t="s">
        <v>1802</v>
      </c>
      <c r="R490" s="34">
        <v>45</v>
      </c>
      <c r="S490" s="34">
        <v>115</v>
      </c>
      <c r="T490" s="58">
        <f t="shared" ref="T490:T500" si="52">SUM(R490:S490)</f>
        <v>160</v>
      </c>
      <c r="U490" s="126">
        <v>46072</v>
      </c>
      <c r="V490" s="4"/>
      <c r="W490" s="4"/>
      <c r="X490" s="4" t="s">
        <v>174</v>
      </c>
    </row>
    <row r="491" spans="1:24" ht="15" thickBot="1">
      <c r="A491" s="4" t="s">
        <v>25</v>
      </c>
      <c r="B491" s="4" t="s">
        <v>26</v>
      </c>
      <c r="C491" s="4" t="s">
        <v>27</v>
      </c>
      <c r="D491" s="4" t="s">
        <v>28</v>
      </c>
      <c r="E491" s="4" t="s">
        <v>29</v>
      </c>
      <c r="F491" s="31">
        <v>45993</v>
      </c>
      <c r="G491" s="4"/>
      <c r="H491" s="4" t="s">
        <v>1803</v>
      </c>
      <c r="I491" s="4" t="s">
        <v>1804</v>
      </c>
      <c r="J491" s="4" t="s">
        <v>201</v>
      </c>
      <c r="K491" s="4" t="s">
        <v>3233</v>
      </c>
      <c r="L491" s="4" t="s">
        <v>884</v>
      </c>
      <c r="M491" s="4"/>
      <c r="N491" s="4" t="s">
        <v>36</v>
      </c>
      <c r="O491" s="4">
        <v>1</v>
      </c>
      <c r="P491" s="112"/>
      <c r="Q491" s="4" t="s">
        <v>3241</v>
      </c>
      <c r="R491" s="34">
        <v>45</v>
      </c>
      <c r="S491" s="34">
        <v>160</v>
      </c>
      <c r="T491" s="58">
        <f t="shared" si="52"/>
        <v>205</v>
      </c>
      <c r="U491" s="126">
        <v>46072</v>
      </c>
      <c r="V491" s="4"/>
      <c r="W491" s="4"/>
      <c r="X491" s="4" t="s">
        <v>927</v>
      </c>
    </row>
    <row r="492" spans="1:24" ht="15" thickBot="1">
      <c r="A492" s="4" t="s">
        <v>25</v>
      </c>
      <c r="B492" s="4" t="s">
        <v>26</v>
      </c>
      <c r="C492" s="4" t="s">
        <v>27</v>
      </c>
      <c r="D492" s="4" t="s">
        <v>28</v>
      </c>
      <c r="E492" s="4" t="s">
        <v>29</v>
      </c>
      <c r="F492" s="31">
        <v>45993</v>
      </c>
      <c r="G492" s="4"/>
      <c r="H492" s="4" t="s">
        <v>1805</v>
      </c>
      <c r="I492" s="4" t="s">
        <v>1806</v>
      </c>
      <c r="J492" s="4" t="s">
        <v>160</v>
      </c>
      <c r="K492" s="4" t="s">
        <v>33</v>
      </c>
      <c r="L492" s="4" t="s">
        <v>884</v>
      </c>
      <c r="M492" s="4"/>
      <c r="N492" s="4" t="s">
        <v>36</v>
      </c>
      <c r="O492" s="4">
        <v>1</v>
      </c>
      <c r="P492" s="112"/>
      <c r="Q492" s="4" t="s">
        <v>352</v>
      </c>
      <c r="R492" s="34">
        <v>45</v>
      </c>
      <c r="S492" s="34">
        <v>160</v>
      </c>
      <c r="T492" s="58">
        <f t="shared" si="52"/>
        <v>205</v>
      </c>
      <c r="U492" s="36">
        <v>46038</v>
      </c>
      <c r="V492" s="4"/>
      <c r="W492" s="4"/>
      <c r="X492" s="4"/>
    </row>
    <row r="493" spans="1:24" ht="15" thickBot="1">
      <c r="A493" s="4" t="s">
        <v>25</v>
      </c>
      <c r="B493" s="4" t="s">
        <v>26</v>
      </c>
      <c r="C493" s="4" t="s">
        <v>27</v>
      </c>
      <c r="D493" s="4" t="s">
        <v>28</v>
      </c>
      <c r="E493" s="4" t="s">
        <v>29</v>
      </c>
      <c r="F493" s="31">
        <v>45993</v>
      </c>
      <c r="G493" s="4"/>
      <c r="H493" s="4" t="s">
        <v>1807</v>
      </c>
      <c r="I493" s="4" t="s">
        <v>1808</v>
      </c>
      <c r="J493" s="4" t="s">
        <v>160</v>
      </c>
      <c r="K493" s="4" t="s">
        <v>33</v>
      </c>
      <c r="L493" s="4" t="s">
        <v>1809</v>
      </c>
      <c r="M493" s="4"/>
      <c r="N493" s="4" t="s">
        <v>36</v>
      </c>
      <c r="O493" s="4">
        <v>1</v>
      </c>
      <c r="P493" s="112"/>
      <c r="Q493" s="4" t="s">
        <v>1810</v>
      </c>
      <c r="R493" s="34">
        <v>45</v>
      </c>
      <c r="S493" s="34">
        <v>190</v>
      </c>
      <c r="T493" s="58">
        <f t="shared" si="52"/>
        <v>235</v>
      </c>
      <c r="U493" s="36">
        <v>46010</v>
      </c>
      <c r="V493" s="4"/>
      <c r="W493" s="4"/>
      <c r="X493" s="4"/>
    </row>
    <row r="494" spans="1:24" ht="15" thickBot="1">
      <c r="A494" s="4" t="s">
        <v>25</v>
      </c>
      <c r="B494" s="4" t="s">
        <v>26</v>
      </c>
      <c r="C494" s="4" t="s">
        <v>27</v>
      </c>
      <c r="D494" s="4" t="s">
        <v>28</v>
      </c>
      <c r="E494" s="4" t="s">
        <v>29</v>
      </c>
      <c r="F494" s="31">
        <v>45993</v>
      </c>
      <c r="G494" s="4"/>
      <c r="H494" s="4" t="s">
        <v>1811</v>
      </c>
      <c r="I494" s="4" t="s">
        <v>1812</v>
      </c>
      <c r="J494" s="4" t="s">
        <v>160</v>
      </c>
      <c r="K494" s="4" t="s">
        <v>33</v>
      </c>
      <c r="L494" s="4" t="s">
        <v>1348</v>
      </c>
      <c r="M494" s="4" t="s">
        <v>1628</v>
      </c>
      <c r="N494" s="4" t="s">
        <v>36</v>
      </c>
      <c r="O494" s="4">
        <v>1</v>
      </c>
      <c r="P494" s="112"/>
      <c r="Q494" s="4" t="s">
        <v>457</v>
      </c>
      <c r="R494" s="34">
        <v>45</v>
      </c>
      <c r="S494" s="34">
        <v>163.75</v>
      </c>
      <c r="T494" s="58">
        <f t="shared" si="52"/>
        <v>208.75</v>
      </c>
      <c r="U494" s="36">
        <v>46038</v>
      </c>
      <c r="V494" s="4"/>
      <c r="W494" s="4"/>
      <c r="X494" s="4"/>
    </row>
    <row r="495" spans="1:24" ht="15" thickBot="1">
      <c r="A495" s="4" t="s">
        <v>25</v>
      </c>
      <c r="B495" s="4" t="s">
        <v>26</v>
      </c>
      <c r="C495" s="4" t="s">
        <v>27</v>
      </c>
      <c r="D495" s="4" t="s">
        <v>28</v>
      </c>
      <c r="E495" s="4" t="s">
        <v>29</v>
      </c>
      <c r="F495" s="31">
        <v>45993</v>
      </c>
      <c r="G495" s="4"/>
      <c r="H495" s="4" t="s">
        <v>1813</v>
      </c>
      <c r="I495" s="4" t="s">
        <v>1814</v>
      </c>
      <c r="J495" s="4" t="s">
        <v>382</v>
      </c>
      <c r="K495" s="4" t="s">
        <v>3232</v>
      </c>
      <c r="L495" s="4" t="s">
        <v>1348</v>
      </c>
      <c r="M495" s="4"/>
      <c r="N495" s="4" t="s">
        <v>36</v>
      </c>
      <c r="O495" s="4">
        <v>1</v>
      </c>
      <c r="P495" s="112"/>
      <c r="Q495" s="4" t="s">
        <v>1815</v>
      </c>
      <c r="R495" s="34">
        <v>45</v>
      </c>
      <c r="S495" s="34">
        <v>393.75</v>
      </c>
      <c r="T495" s="58">
        <f t="shared" si="52"/>
        <v>438.75</v>
      </c>
      <c r="U495" s="126">
        <v>46072</v>
      </c>
      <c r="V495" s="4"/>
      <c r="W495" s="4"/>
      <c r="X495" s="4"/>
    </row>
    <row r="496" spans="1:24" ht="15" thickBot="1">
      <c r="A496" s="4" t="s">
        <v>25</v>
      </c>
      <c r="B496" s="4" t="s">
        <v>26</v>
      </c>
      <c r="C496" s="4" t="s">
        <v>27</v>
      </c>
      <c r="D496" s="4" t="s">
        <v>28</v>
      </c>
      <c r="E496" s="4" t="s">
        <v>29</v>
      </c>
      <c r="F496" s="31">
        <v>45993</v>
      </c>
      <c r="G496" s="4"/>
      <c r="H496" s="4" t="s">
        <v>1816</v>
      </c>
      <c r="I496" s="4" t="s">
        <v>1817</v>
      </c>
      <c r="J496" s="4" t="s">
        <v>382</v>
      </c>
      <c r="K496" s="4" t="s">
        <v>3232</v>
      </c>
      <c r="L496" s="4" t="s">
        <v>1818</v>
      </c>
      <c r="M496" s="4" t="s">
        <v>1819</v>
      </c>
      <c r="N496" s="4" t="s">
        <v>36</v>
      </c>
      <c r="O496" s="4">
        <v>1</v>
      </c>
      <c r="P496" s="112"/>
      <c r="Q496" s="4" t="s">
        <v>1819</v>
      </c>
      <c r="R496" s="34">
        <v>45</v>
      </c>
      <c r="S496" s="34">
        <v>455</v>
      </c>
      <c r="T496" s="58">
        <f t="shared" si="52"/>
        <v>500</v>
      </c>
      <c r="U496" s="126">
        <v>46072</v>
      </c>
      <c r="V496" s="4"/>
      <c r="W496" s="4"/>
      <c r="X496" s="4" t="s">
        <v>927</v>
      </c>
    </row>
    <row r="497" spans="1:24" ht="15" thickBot="1">
      <c r="A497" s="4" t="s">
        <v>25</v>
      </c>
      <c r="B497" s="4" t="s">
        <v>26</v>
      </c>
      <c r="C497" s="4" t="s">
        <v>27</v>
      </c>
      <c r="D497" s="4" t="s">
        <v>28</v>
      </c>
      <c r="E497" s="4" t="s">
        <v>29</v>
      </c>
      <c r="F497" s="31">
        <v>45993</v>
      </c>
      <c r="G497" s="4"/>
      <c r="H497" s="4" t="s">
        <v>1820</v>
      </c>
      <c r="I497" s="4" t="s">
        <v>1821</v>
      </c>
      <c r="J497" s="4" t="s">
        <v>216</v>
      </c>
      <c r="K497" s="4" t="s">
        <v>3232</v>
      </c>
      <c r="L497" s="4" t="s">
        <v>1822</v>
      </c>
      <c r="M497" s="4" t="s">
        <v>474</v>
      </c>
      <c r="N497" s="4" t="s">
        <v>36</v>
      </c>
      <c r="O497" s="4">
        <v>1</v>
      </c>
      <c r="P497" s="112"/>
      <c r="Q497" s="4" t="s">
        <v>1823</v>
      </c>
      <c r="R497" s="34">
        <v>45</v>
      </c>
      <c r="S497" s="34">
        <v>183.75</v>
      </c>
      <c r="T497" s="58">
        <f t="shared" si="52"/>
        <v>228.75</v>
      </c>
      <c r="U497" s="126">
        <v>46072</v>
      </c>
      <c r="V497" s="4"/>
      <c r="W497" s="4"/>
      <c r="X497" s="4"/>
    </row>
    <row r="498" spans="1:24" ht="15" thickBot="1">
      <c r="A498" s="4" t="s">
        <v>25</v>
      </c>
      <c r="B498" s="4" t="s">
        <v>26</v>
      </c>
      <c r="C498" s="4" t="s">
        <v>27</v>
      </c>
      <c r="D498" s="4" t="s">
        <v>28</v>
      </c>
      <c r="E498" s="4" t="s">
        <v>29</v>
      </c>
      <c r="F498" s="31">
        <v>45993</v>
      </c>
      <c r="G498" s="4"/>
      <c r="H498" s="4" t="s">
        <v>1824</v>
      </c>
      <c r="I498" s="4" t="s">
        <v>1825</v>
      </c>
      <c r="J498" s="4" t="s">
        <v>160</v>
      </c>
      <c r="K498" s="4" t="s">
        <v>33</v>
      </c>
      <c r="L498" s="4" t="s">
        <v>1348</v>
      </c>
      <c r="M498" s="4" t="s">
        <v>3259</v>
      </c>
      <c r="N498" s="4" t="s">
        <v>36</v>
      </c>
      <c r="O498" s="4">
        <v>1</v>
      </c>
      <c r="P498" s="112"/>
      <c r="Q498" s="4" t="s">
        <v>3256</v>
      </c>
      <c r="R498" s="34">
        <v>45</v>
      </c>
      <c r="S498" s="34">
        <v>632.5</v>
      </c>
      <c r="T498" s="58">
        <f t="shared" si="52"/>
        <v>677.5</v>
      </c>
      <c r="U498" s="126">
        <v>46085</v>
      </c>
      <c r="V498" s="4"/>
      <c r="W498" s="4"/>
      <c r="X498" s="4" t="s">
        <v>262</v>
      </c>
    </row>
    <row r="499" spans="1:24" ht="15" thickBot="1">
      <c r="A499" s="4" t="s">
        <v>25</v>
      </c>
      <c r="B499" s="4" t="s">
        <v>26</v>
      </c>
      <c r="C499" s="4" t="s">
        <v>27</v>
      </c>
      <c r="D499" s="4" t="s">
        <v>28</v>
      </c>
      <c r="E499" s="4" t="s">
        <v>29</v>
      </c>
      <c r="F499" s="31">
        <v>45993</v>
      </c>
      <c r="G499" s="4"/>
      <c r="H499" s="4" t="s">
        <v>1826</v>
      </c>
      <c r="I499" s="4" t="s">
        <v>1827</v>
      </c>
      <c r="J499" s="4" t="s">
        <v>201</v>
      </c>
      <c r="K499" s="4" t="s">
        <v>3233</v>
      </c>
      <c r="L499" s="4" t="s">
        <v>1828</v>
      </c>
      <c r="M499" s="4"/>
      <c r="N499" s="4" t="s">
        <v>36</v>
      </c>
      <c r="O499" s="4">
        <v>1</v>
      </c>
      <c r="P499" s="112"/>
      <c r="Q499" s="4" t="s">
        <v>3242</v>
      </c>
      <c r="R499" s="34">
        <v>45</v>
      </c>
      <c r="S499" s="34">
        <v>163.75</v>
      </c>
      <c r="T499" s="58">
        <f t="shared" si="52"/>
        <v>208.75</v>
      </c>
      <c r="U499" s="126">
        <v>46072</v>
      </c>
      <c r="V499" s="4"/>
      <c r="W499" s="4"/>
      <c r="X499" s="4"/>
    </row>
    <row r="500" spans="1:24" ht="15" thickBot="1">
      <c r="A500" s="4" t="s">
        <v>25</v>
      </c>
      <c r="B500" s="4" t="s">
        <v>26</v>
      </c>
      <c r="C500" s="4" t="s">
        <v>27</v>
      </c>
      <c r="D500" s="4" t="s">
        <v>28</v>
      </c>
      <c r="E500" s="4" t="s">
        <v>29</v>
      </c>
      <c r="F500" s="31">
        <v>45993</v>
      </c>
      <c r="G500" s="4"/>
      <c r="H500" s="4" t="s">
        <v>1829</v>
      </c>
      <c r="I500" s="4" t="s">
        <v>1830</v>
      </c>
      <c r="J500" s="4" t="s">
        <v>201</v>
      </c>
      <c r="K500" s="4" t="s">
        <v>48</v>
      </c>
      <c r="L500" s="4" t="s">
        <v>884</v>
      </c>
      <c r="M500" s="4"/>
      <c r="N500" s="4" t="s">
        <v>36</v>
      </c>
      <c r="O500" s="4">
        <v>1</v>
      </c>
      <c r="P500" s="112"/>
      <c r="Q500" s="4" t="s">
        <v>352</v>
      </c>
      <c r="R500" s="34">
        <v>45</v>
      </c>
      <c r="S500" s="34">
        <v>160</v>
      </c>
      <c r="T500" s="58">
        <f t="shared" si="52"/>
        <v>205</v>
      </c>
      <c r="U500" s="36">
        <v>46038</v>
      </c>
      <c r="V500" s="4"/>
      <c r="W500" s="4"/>
      <c r="X500" s="4"/>
    </row>
    <row r="501" spans="1:24" ht="15" thickBot="1">
      <c r="A501" s="4" t="s">
        <v>25</v>
      </c>
      <c r="B501" s="4" t="s">
        <v>26</v>
      </c>
      <c r="C501" s="4" t="s">
        <v>27</v>
      </c>
      <c r="D501" s="4" t="s">
        <v>28</v>
      </c>
      <c r="E501" s="4" t="s">
        <v>29</v>
      </c>
      <c r="F501" s="31">
        <v>45993</v>
      </c>
      <c r="G501" s="4"/>
      <c r="H501" s="4" t="s">
        <v>1831</v>
      </c>
      <c r="I501" s="4" t="s">
        <v>1832</v>
      </c>
      <c r="J501" s="4" t="s">
        <v>382</v>
      </c>
      <c r="K501" s="4" t="s">
        <v>33</v>
      </c>
      <c r="L501" s="4" t="s">
        <v>1833</v>
      </c>
      <c r="M501" s="4" t="s">
        <v>3362</v>
      </c>
      <c r="N501" s="4" t="s">
        <v>499</v>
      </c>
      <c r="O501" s="4">
        <v>1</v>
      </c>
      <c r="P501" s="112"/>
      <c r="Q501" s="4" t="s">
        <v>3362</v>
      </c>
      <c r="R501" s="34">
        <v>45</v>
      </c>
      <c r="S501" s="4"/>
      <c r="T501" s="58">
        <v>0</v>
      </c>
      <c r="U501" s="36"/>
      <c r="V501" s="4"/>
      <c r="W501" s="4"/>
      <c r="X501" s="4"/>
    </row>
    <row r="502" spans="1:24" ht="15" thickBot="1">
      <c r="A502" s="4" t="s">
        <v>25</v>
      </c>
      <c r="B502" s="4" t="s">
        <v>26</v>
      </c>
      <c r="C502" s="4" t="s">
        <v>27</v>
      </c>
      <c r="D502" s="4" t="s">
        <v>28</v>
      </c>
      <c r="E502" s="4" t="s">
        <v>29</v>
      </c>
      <c r="F502" s="31">
        <v>45993</v>
      </c>
      <c r="G502" s="4"/>
      <c r="H502" s="4" t="s">
        <v>1834</v>
      </c>
      <c r="I502" s="4" t="s">
        <v>1835</v>
      </c>
      <c r="J502" s="4" t="s">
        <v>201</v>
      </c>
      <c r="K502" s="4" t="s">
        <v>3233</v>
      </c>
      <c r="L502" s="4" t="s">
        <v>1348</v>
      </c>
      <c r="M502" s="4"/>
      <c r="N502" s="4" t="s">
        <v>36</v>
      </c>
      <c r="O502" s="4">
        <v>1</v>
      </c>
      <c r="P502" s="112"/>
      <c r="Q502" s="4" t="s">
        <v>3231</v>
      </c>
      <c r="R502" s="34">
        <v>45</v>
      </c>
      <c r="S502" s="34">
        <v>0</v>
      </c>
      <c r="T502" s="58">
        <f>SUM(R502:S502)</f>
        <v>45</v>
      </c>
      <c r="U502" s="126">
        <v>46072</v>
      </c>
      <c r="V502" s="4"/>
      <c r="W502" s="4"/>
      <c r="X502" s="4"/>
    </row>
    <row r="503" spans="1:24" ht="15" thickBot="1">
      <c r="A503" s="4" t="s">
        <v>25</v>
      </c>
      <c r="B503" s="4" t="s">
        <v>26</v>
      </c>
      <c r="C503" s="4" t="s">
        <v>27</v>
      </c>
      <c r="D503" s="4" t="s">
        <v>28</v>
      </c>
      <c r="E503" s="4" t="s">
        <v>29</v>
      </c>
      <c r="F503" s="31">
        <v>45993</v>
      </c>
      <c r="G503" s="4"/>
      <c r="H503" s="4" t="s">
        <v>1836</v>
      </c>
      <c r="I503" s="4" t="s">
        <v>1837</v>
      </c>
      <c r="J503" s="4" t="s">
        <v>201</v>
      </c>
      <c r="K503" s="4" t="s">
        <v>3233</v>
      </c>
      <c r="L503" s="4" t="s">
        <v>1838</v>
      </c>
      <c r="M503" s="4"/>
      <c r="N503" s="4" t="s">
        <v>36</v>
      </c>
      <c r="O503" s="4">
        <v>1</v>
      </c>
      <c r="P503" s="112"/>
      <c r="Q503" s="4" t="s">
        <v>3243</v>
      </c>
      <c r="R503" s="34">
        <v>45</v>
      </c>
      <c r="S503" s="34">
        <v>0</v>
      </c>
      <c r="T503" s="58">
        <f>SUM(R503:S503)</f>
        <v>45</v>
      </c>
      <c r="U503" s="126">
        <v>46072</v>
      </c>
      <c r="V503" s="4"/>
      <c r="W503" s="4"/>
      <c r="X503" s="4"/>
    </row>
    <row r="504" spans="1:24" ht="15" thickBot="1">
      <c r="A504" s="4" t="s">
        <v>154</v>
      </c>
      <c r="B504" s="4" t="s">
        <v>155</v>
      </c>
      <c r="C504" s="4">
        <v>616866669</v>
      </c>
      <c r="D504" s="4" t="s">
        <v>156</v>
      </c>
      <c r="E504" s="4" t="s">
        <v>599</v>
      </c>
      <c r="F504" s="31">
        <v>45994</v>
      </c>
      <c r="G504" s="4"/>
      <c r="H504" s="4" t="s">
        <v>1839</v>
      </c>
      <c r="I504" s="4" t="s">
        <v>1840</v>
      </c>
      <c r="J504" s="4" t="s">
        <v>160</v>
      </c>
      <c r="K504" s="4" t="s">
        <v>33</v>
      </c>
      <c r="L504" s="4" t="s">
        <v>1841</v>
      </c>
      <c r="M504" s="127" t="s">
        <v>3706</v>
      </c>
      <c r="N504" s="4" t="s">
        <v>36</v>
      </c>
      <c r="O504" s="4">
        <v>1</v>
      </c>
      <c r="P504" s="112"/>
      <c r="Q504" s="127" t="s">
        <v>3706</v>
      </c>
      <c r="R504" s="34">
        <v>45</v>
      </c>
      <c r="S504" s="34">
        <v>183.75</v>
      </c>
      <c r="T504" s="58">
        <f>SUM(R504:S504)</f>
        <v>228.75</v>
      </c>
      <c r="U504" s="36">
        <v>46122</v>
      </c>
      <c r="V504" s="4"/>
      <c r="W504" s="4"/>
      <c r="X504" s="4"/>
    </row>
    <row r="505" spans="1:24" ht="15" thickBot="1">
      <c r="A505" s="4" t="s">
        <v>154</v>
      </c>
      <c r="B505" s="4" t="s">
        <v>155</v>
      </c>
      <c r="C505" s="4">
        <v>616866669</v>
      </c>
      <c r="D505" s="4" t="s">
        <v>156</v>
      </c>
      <c r="E505" s="4" t="s">
        <v>599</v>
      </c>
      <c r="F505" s="31">
        <v>45994</v>
      </c>
      <c r="G505" s="4"/>
      <c r="H505" s="4" t="s">
        <v>1842</v>
      </c>
      <c r="I505" s="4" t="s">
        <v>1843</v>
      </c>
      <c r="J505" s="4" t="s">
        <v>160</v>
      </c>
      <c r="K505" s="4" t="s">
        <v>33</v>
      </c>
      <c r="L505" s="4" t="s">
        <v>1844</v>
      </c>
      <c r="M505" s="4" t="s">
        <v>1845</v>
      </c>
      <c r="N505" s="4" t="s">
        <v>36</v>
      </c>
      <c r="O505" s="4">
        <v>1</v>
      </c>
      <c r="P505" s="112"/>
      <c r="Q505" s="4" t="s">
        <v>252</v>
      </c>
      <c r="R505" s="34">
        <v>45</v>
      </c>
      <c r="S505" s="34">
        <v>215</v>
      </c>
      <c r="T505" s="58">
        <f t="shared" ref="T505" si="53">SUM(R505:S505)</f>
        <v>260</v>
      </c>
      <c r="U505" s="126">
        <v>46085</v>
      </c>
      <c r="V505" s="4"/>
      <c r="W505" s="4"/>
      <c r="X505" s="4" t="s">
        <v>139</v>
      </c>
    </row>
    <row r="506" spans="1:24" ht="15" thickBot="1">
      <c r="A506" s="4" t="s">
        <v>154</v>
      </c>
      <c r="B506" s="4" t="s">
        <v>155</v>
      </c>
      <c r="C506" s="4">
        <v>616866669</v>
      </c>
      <c r="D506" s="4" t="s">
        <v>156</v>
      </c>
      <c r="E506" s="4" t="s">
        <v>599</v>
      </c>
      <c r="F506" s="31">
        <v>45994</v>
      </c>
      <c r="G506" s="4"/>
      <c r="H506" s="4" t="s">
        <v>1846</v>
      </c>
      <c r="I506" s="4" t="s">
        <v>1847</v>
      </c>
      <c r="J506" s="4" t="s">
        <v>160</v>
      </c>
      <c r="K506" s="4" t="s">
        <v>33</v>
      </c>
      <c r="L506" s="4" t="s">
        <v>1848</v>
      </c>
      <c r="M506" s="4" t="s">
        <v>998</v>
      </c>
      <c r="N506" s="4" t="s">
        <v>36</v>
      </c>
      <c r="O506" s="4">
        <v>1</v>
      </c>
      <c r="P506" s="112"/>
      <c r="Q506" s="4" t="s">
        <v>998</v>
      </c>
      <c r="R506" s="34">
        <v>45</v>
      </c>
      <c r="S506" s="34">
        <v>183.75</v>
      </c>
      <c r="T506" s="58">
        <f>SUM(R506:S506)</f>
        <v>228.75</v>
      </c>
      <c r="U506" s="126">
        <v>46072</v>
      </c>
      <c r="V506" s="4"/>
      <c r="W506" s="4"/>
      <c r="X506" s="4"/>
    </row>
    <row r="507" spans="1:24" ht="15" thickBot="1">
      <c r="A507" s="4" t="s">
        <v>154</v>
      </c>
      <c r="B507" s="4" t="s">
        <v>155</v>
      </c>
      <c r="C507" s="4">
        <v>616866669</v>
      </c>
      <c r="D507" s="4" t="s">
        <v>156</v>
      </c>
      <c r="E507" s="4" t="s">
        <v>599</v>
      </c>
      <c r="F507" s="31">
        <v>45994</v>
      </c>
      <c r="G507" s="4"/>
      <c r="H507" s="4" t="s">
        <v>1849</v>
      </c>
      <c r="I507" s="4" t="s">
        <v>1850</v>
      </c>
      <c r="J507" s="4" t="s">
        <v>216</v>
      </c>
      <c r="K507" s="4" t="s">
        <v>33</v>
      </c>
      <c r="L507" s="4" t="s">
        <v>301</v>
      </c>
      <c r="M507" s="4"/>
      <c r="N507" s="4" t="s">
        <v>36</v>
      </c>
      <c r="O507" s="4">
        <v>1</v>
      </c>
      <c r="P507" s="112"/>
      <c r="Q507" s="4" t="s">
        <v>1239</v>
      </c>
      <c r="R507" s="34">
        <v>45</v>
      </c>
      <c r="S507" s="34">
        <v>215</v>
      </c>
      <c r="T507" s="58">
        <f>SUM(R507:S507)</f>
        <v>260</v>
      </c>
      <c r="U507" s="36">
        <v>46038</v>
      </c>
      <c r="V507" s="4" t="s">
        <v>1851</v>
      </c>
      <c r="W507" s="4"/>
      <c r="X507" s="4" t="s">
        <v>1083</v>
      </c>
    </row>
    <row r="508" spans="1:24" ht="15" thickBot="1">
      <c r="A508" s="4" t="s">
        <v>154</v>
      </c>
      <c r="B508" s="4" t="s">
        <v>155</v>
      </c>
      <c r="C508" s="4">
        <v>616866669</v>
      </c>
      <c r="D508" s="4" t="s">
        <v>156</v>
      </c>
      <c r="E508" s="4" t="s">
        <v>599</v>
      </c>
      <c r="F508" s="31">
        <v>45994</v>
      </c>
      <c r="G508" s="4"/>
      <c r="H508" s="4" t="s">
        <v>1852</v>
      </c>
      <c r="I508" s="4" t="s">
        <v>1853</v>
      </c>
      <c r="J508" s="4" t="s">
        <v>763</v>
      </c>
      <c r="K508" s="4" t="s">
        <v>33</v>
      </c>
      <c r="L508" s="4" t="s">
        <v>323</v>
      </c>
      <c r="M508" s="4"/>
      <c r="N508" s="4" t="s">
        <v>499</v>
      </c>
      <c r="O508" s="4">
        <v>1</v>
      </c>
      <c r="P508" s="112"/>
      <c r="Q508" s="4"/>
      <c r="R508" s="34">
        <v>45</v>
      </c>
      <c r="S508" s="4"/>
      <c r="T508" s="58">
        <v>0</v>
      </c>
      <c r="U508" s="36"/>
      <c r="V508" s="4"/>
      <c r="W508" s="4"/>
      <c r="X508" s="4"/>
    </row>
    <row r="509" spans="1:24" ht="15" thickBot="1">
      <c r="A509" s="4" t="s">
        <v>154</v>
      </c>
      <c r="B509" s="4" t="s">
        <v>155</v>
      </c>
      <c r="C509" s="4">
        <v>616866669</v>
      </c>
      <c r="D509" s="4" t="s">
        <v>156</v>
      </c>
      <c r="E509" s="4" t="s">
        <v>599</v>
      </c>
      <c r="F509" s="31">
        <v>45994</v>
      </c>
      <c r="G509" s="4"/>
      <c r="H509" s="4" t="s">
        <v>1854</v>
      </c>
      <c r="I509" s="4" t="s">
        <v>1855</v>
      </c>
      <c r="J509" s="4" t="s">
        <v>502</v>
      </c>
      <c r="K509" s="4" t="s">
        <v>33</v>
      </c>
      <c r="L509" s="4" t="s">
        <v>1856</v>
      </c>
      <c r="M509" s="4" t="s">
        <v>1857</v>
      </c>
      <c r="N509" s="4" t="s">
        <v>36</v>
      </c>
      <c r="O509" s="4">
        <v>1</v>
      </c>
      <c r="P509" s="112"/>
      <c r="Q509" s="4" t="s">
        <v>1580</v>
      </c>
      <c r="R509" s="34">
        <v>45</v>
      </c>
      <c r="S509" s="34">
        <v>20</v>
      </c>
      <c r="T509" s="58">
        <f t="shared" ref="T509" si="54">SUM(R509:S509)</f>
        <v>65</v>
      </c>
      <c r="U509" s="126">
        <v>46085</v>
      </c>
      <c r="V509" s="4"/>
      <c r="W509" s="4"/>
      <c r="X509" s="4"/>
    </row>
    <row r="510" spans="1:24" ht="15" thickBot="1">
      <c r="A510" s="4" t="s">
        <v>154</v>
      </c>
      <c r="B510" s="4" t="s">
        <v>155</v>
      </c>
      <c r="C510" s="4">
        <v>616866669</v>
      </c>
      <c r="D510" s="4" t="s">
        <v>156</v>
      </c>
      <c r="E510" s="4" t="s">
        <v>599</v>
      </c>
      <c r="F510" s="31">
        <v>45994</v>
      </c>
      <c r="G510" s="4"/>
      <c r="H510" s="4" t="s">
        <v>1858</v>
      </c>
      <c r="I510" s="4" t="s">
        <v>1859</v>
      </c>
      <c r="J510" s="4" t="s">
        <v>379</v>
      </c>
      <c r="K510" s="4" t="s">
        <v>33</v>
      </c>
      <c r="L510" s="4" t="s">
        <v>290</v>
      </c>
      <c r="M510" s="4"/>
      <c r="N510" s="4" t="s">
        <v>36</v>
      </c>
      <c r="O510" s="4">
        <v>1</v>
      </c>
      <c r="P510" s="112"/>
      <c r="Q510" s="4" t="s">
        <v>1860</v>
      </c>
      <c r="R510" s="34">
        <v>45</v>
      </c>
      <c r="S510" s="34">
        <v>0</v>
      </c>
      <c r="T510" s="58">
        <f>SUM(R510:S510)</f>
        <v>45</v>
      </c>
      <c r="U510" s="126">
        <v>46072</v>
      </c>
      <c r="V510" s="4"/>
      <c r="W510" s="4"/>
      <c r="X510" s="4"/>
    </row>
    <row r="511" spans="1:24" ht="15" thickBot="1">
      <c r="A511" s="4" t="s">
        <v>154</v>
      </c>
      <c r="B511" s="4" t="s">
        <v>155</v>
      </c>
      <c r="C511" s="4">
        <v>616866669</v>
      </c>
      <c r="D511" s="4" t="s">
        <v>156</v>
      </c>
      <c r="E511" s="4" t="s">
        <v>599</v>
      </c>
      <c r="F511" s="31">
        <v>45994</v>
      </c>
      <c r="G511" s="4"/>
      <c r="H511" s="4" t="s">
        <v>1861</v>
      </c>
      <c r="I511" s="4" t="s">
        <v>1862</v>
      </c>
      <c r="J511" s="4" t="s">
        <v>764</v>
      </c>
      <c r="K511" s="4" t="s">
        <v>33</v>
      </c>
      <c r="L511" s="4" t="s">
        <v>1863</v>
      </c>
      <c r="M511" s="4" t="s">
        <v>1864</v>
      </c>
      <c r="N511" s="4" t="s">
        <v>499</v>
      </c>
      <c r="O511" s="4">
        <v>1</v>
      </c>
      <c r="P511" s="112"/>
      <c r="Q511" s="4"/>
      <c r="R511" s="34">
        <v>45</v>
      </c>
      <c r="S511" s="4"/>
      <c r="T511" s="58">
        <v>0</v>
      </c>
      <c r="U511" s="36"/>
      <c r="V511" s="4"/>
      <c r="W511" s="4"/>
      <c r="X511" s="4"/>
    </row>
    <row r="512" spans="1:24" ht="15" thickBot="1">
      <c r="A512" s="4" t="s">
        <v>154</v>
      </c>
      <c r="B512" s="4" t="s">
        <v>155</v>
      </c>
      <c r="C512" s="4">
        <v>616866669</v>
      </c>
      <c r="D512" s="4" t="s">
        <v>156</v>
      </c>
      <c r="E512" s="4" t="s">
        <v>599</v>
      </c>
      <c r="F512" s="31">
        <v>45994</v>
      </c>
      <c r="G512" s="4"/>
      <c r="H512" s="4" t="s">
        <v>1865</v>
      </c>
      <c r="I512" s="4" t="s">
        <v>1866</v>
      </c>
      <c r="J512" s="4" t="s">
        <v>763</v>
      </c>
      <c r="K512" s="4" t="s">
        <v>33</v>
      </c>
      <c r="L512" s="4" t="s">
        <v>1001</v>
      </c>
      <c r="M512" s="4" t="s">
        <v>457</v>
      </c>
      <c r="N512" s="4" t="s">
        <v>36</v>
      </c>
      <c r="O512" s="4">
        <v>1</v>
      </c>
      <c r="P512" s="112"/>
      <c r="Q512" s="4" t="s">
        <v>457</v>
      </c>
      <c r="R512" s="34">
        <v>45</v>
      </c>
      <c r="S512" s="34">
        <v>163.75</v>
      </c>
      <c r="T512" s="58">
        <f>SUM(R512:S512)</f>
        <v>208.75</v>
      </c>
      <c r="U512" s="36">
        <v>46122</v>
      </c>
      <c r="V512" s="4"/>
      <c r="W512" s="4"/>
      <c r="X512" s="4"/>
    </row>
    <row r="513" spans="1:24" ht="15" thickBot="1">
      <c r="A513" s="4" t="s">
        <v>154</v>
      </c>
      <c r="B513" s="4" t="s">
        <v>155</v>
      </c>
      <c r="C513" s="4">
        <v>616866669</v>
      </c>
      <c r="D513" s="4" t="s">
        <v>156</v>
      </c>
      <c r="E513" s="4" t="s">
        <v>599</v>
      </c>
      <c r="F513" s="31">
        <v>45994</v>
      </c>
      <c r="G513" s="4"/>
      <c r="H513" s="4" t="s">
        <v>1867</v>
      </c>
      <c r="I513" s="4" t="s">
        <v>1868</v>
      </c>
      <c r="J513" s="4" t="s">
        <v>502</v>
      </c>
      <c r="K513" s="4" t="s">
        <v>33</v>
      </c>
      <c r="L513" s="4" t="s">
        <v>1001</v>
      </c>
      <c r="M513" s="4" t="s">
        <v>1869</v>
      </c>
      <c r="N513" s="4" t="s">
        <v>36</v>
      </c>
      <c r="O513" s="4">
        <v>1</v>
      </c>
      <c r="P513" s="112"/>
      <c r="Q513" s="4" t="s">
        <v>1870</v>
      </c>
      <c r="R513" s="34">
        <v>45</v>
      </c>
      <c r="S513" s="34">
        <v>340</v>
      </c>
      <c r="T513" s="58">
        <f>SUM(R513:S513)</f>
        <v>385</v>
      </c>
      <c r="U513" s="126">
        <v>46072</v>
      </c>
      <c r="V513" s="4"/>
      <c r="W513" s="4"/>
      <c r="X513" s="4"/>
    </row>
    <row r="514" spans="1:24" ht="15" thickBot="1">
      <c r="A514" s="4" t="s">
        <v>154</v>
      </c>
      <c r="B514" s="4" t="s">
        <v>155</v>
      </c>
      <c r="C514" s="4">
        <v>616866669</v>
      </c>
      <c r="D514" s="4" t="s">
        <v>156</v>
      </c>
      <c r="E514" s="4" t="s">
        <v>599</v>
      </c>
      <c r="F514" s="31">
        <v>45994</v>
      </c>
      <c r="G514" s="4"/>
      <c r="H514" s="4" t="s">
        <v>1871</v>
      </c>
      <c r="I514" s="4" t="s">
        <v>1872</v>
      </c>
      <c r="J514" s="4" t="s">
        <v>502</v>
      </c>
      <c r="K514" s="4" t="s">
        <v>33</v>
      </c>
      <c r="L514" s="4" t="s">
        <v>1873</v>
      </c>
      <c r="M514" s="4"/>
      <c r="N514" s="4" t="s">
        <v>36</v>
      </c>
      <c r="O514" s="4">
        <v>1</v>
      </c>
      <c r="P514" s="112"/>
      <c r="Q514" s="4" t="s">
        <v>998</v>
      </c>
      <c r="R514" s="34">
        <v>45</v>
      </c>
      <c r="S514" s="34">
        <v>183.75</v>
      </c>
      <c r="T514" s="58">
        <f>SUM(R514:S514)</f>
        <v>228.75</v>
      </c>
      <c r="U514" s="126">
        <v>46072</v>
      </c>
      <c r="V514" s="4"/>
      <c r="W514" s="4"/>
      <c r="X514" s="4"/>
    </row>
    <row r="515" spans="1:24" ht="15" thickBot="1">
      <c r="A515" s="4" t="s">
        <v>154</v>
      </c>
      <c r="B515" s="4" t="s">
        <v>155</v>
      </c>
      <c r="C515" s="4">
        <v>616866669</v>
      </c>
      <c r="D515" s="4" t="s">
        <v>156</v>
      </c>
      <c r="E515" s="4" t="s">
        <v>599</v>
      </c>
      <c r="F515" s="31">
        <v>45994</v>
      </c>
      <c r="G515" s="4"/>
      <c r="H515" s="4" t="s">
        <v>1874</v>
      </c>
      <c r="I515" s="4" t="s">
        <v>1875</v>
      </c>
      <c r="J515" s="4" t="s">
        <v>201</v>
      </c>
      <c r="K515" s="4" t="s">
        <v>33</v>
      </c>
      <c r="L515" s="4" t="s">
        <v>875</v>
      </c>
      <c r="M515" s="4" t="s">
        <v>168</v>
      </c>
      <c r="N515" s="4" t="s">
        <v>499</v>
      </c>
      <c r="O515" s="4">
        <v>1</v>
      </c>
      <c r="P515" s="112"/>
      <c r="Q515" s="4" t="s">
        <v>3747</v>
      </c>
      <c r="R515" s="34">
        <v>45</v>
      </c>
      <c r="S515" s="4"/>
      <c r="T515" s="58">
        <v>0</v>
      </c>
      <c r="U515" s="36"/>
      <c r="V515" s="4"/>
      <c r="W515" s="4"/>
      <c r="X515" s="4"/>
    </row>
    <row r="516" spans="1:24" ht="15" thickBot="1">
      <c r="A516" s="4" t="s">
        <v>154</v>
      </c>
      <c r="B516" s="4" t="s">
        <v>155</v>
      </c>
      <c r="C516" s="4">
        <v>616866669</v>
      </c>
      <c r="D516" s="4" t="s">
        <v>156</v>
      </c>
      <c r="E516" s="4" t="s">
        <v>599</v>
      </c>
      <c r="F516" s="31">
        <v>45994</v>
      </c>
      <c r="G516" s="4"/>
      <c r="H516" s="4" t="s">
        <v>1876</v>
      </c>
      <c r="I516" s="4" t="s">
        <v>1877</v>
      </c>
      <c r="J516" s="4" t="s">
        <v>160</v>
      </c>
      <c r="K516" s="4" t="s">
        <v>33</v>
      </c>
      <c r="L516" s="4" t="s">
        <v>1878</v>
      </c>
      <c r="M516" s="4"/>
      <c r="N516" s="4" t="s">
        <v>36</v>
      </c>
      <c r="O516" s="4">
        <v>1</v>
      </c>
      <c r="P516" s="112"/>
      <c r="Q516" s="4" t="s">
        <v>3257</v>
      </c>
      <c r="R516" s="34">
        <v>45</v>
      </c>
      <c r="S516" s="34">
        <v>275.5</v>
      </c>
      <c r="T516" s="58">
        <f>SUM(R516:S516)</f>
        <v>320.5</v>
      </c>
      <c r="U516" s="126">
        <v>46085</v>
      </c>
      <c r="V516" s="4"/>
      <c r="W516" s="4"/>
      <c r="X516" s="4"/>
    </row>
    <row r="517" spans="1:24" ht="15" thickBot="1">
      <c r="A517" s="4" t="s">
        <v>154</v>
      </c>
      <c r="B517" s="4" t="s">
        <v>155</v>
      </c>
      <c r="C517" s="4">
        <v>616866669</v>
      </c>
      <c r="D517" s="4" t="s">
        <v>156</v>
      </c>
      <c r="E517" s="4" t="s">
        <v>599</v>
      </c>
      <c r="F517" s="31">
        <v>45994</v>
      </c>
      <c r="G517" s="4"/>
      <c r="H517" s="4" t="s">
        <v>1879</v>
      </c>
      <c r="I517" s="4" t="s">
        <v>1880</v>
      </c>
      <c r="J517" s="4" t="s">
        <v>216</v>
      </c>
      <c r="K517" s="4" t="s">
        <v>33</v>
      </c>
      <c r="L517" s="4" t="s">
        <v>1881</v>
      </c>
      <c r="M517" s="4" t="s">
        <v>3253</v>
      </c>
      <c r="N517" s="4" t="s">
        <v>36</v>
      </c>
      <c r="O517" s="4">
        <v>1</v>
      </c>
      <c r="P517" s="112"/>
      <c r="Q517" s="4" t="s">
        <v>3253</v>
      </c>
      <c r="R517" s="34">
        <v>45</v>
      </c>
      <c r="S517" s="34">
        <v>595.5</v>
      </c>
      <c r="T517" s="58">
        <f>SUM(R517:S517)</f>
        <v>640.5</v>
      </c>
      <c r="U517" s="126">
        <v>46085</v>
      </c>
      <c r="V517" s="4"/>
      <c r="W517" s="4"/>
      <c r="X517" s="4"/>
    </row>
    <row r="518" spans="1:24" ht="15" thickBot="1">
      <c r="A518" s="4" t="s">
        <v>154</v>
      </c>
      <c r="B518" s="4" t="s">
        <v>155</v>
      </c>
      <c r="C518" s="4">
        <v>616866669</v>
      </c>
      <c r="D518" s="4" t="s">
        <v>156</v>
      </c>
      <c r="E518" s="4" t="s">
        <v>599</v>
      </c>
      <c r="F518" s="31">
        <v>45994</v>
      </c>
      <c r="G518" s="4"/>
      <c r="H518" s="4" t="s">
        <v>1882</v>
      </c>
      <c r="I518" s="4" t="s">
        <v>1883</v>
      </c>
      <c r="J518" s="4" t="s">
        <v>763</v>
      </c>
      <c r="K518" s="4" t="s">
        <v>33</v>
      </c>
      <c r="L518" s="4" t="s">
        <v>1001</v>
      </c>
      <c r="M518" s="4"/>
      <c r="N518" s="4" t="s">
        <v>499</v>
      </c>
      <c r="O518" s="4">
        <v>1</v>
      </c>
      <c r="P518" s="112"/>
      <c r="Q518" s="4"/>
      <c r="R518" s="34">
        <v>45</v>
      </c>
      <c r="S518" s="4"/>
      <c r="T518" s="58">
        <v>0</v>
      </c>
      <c r="U518" s="36"/>
      <c r="V518" s="4"/>
      <c r="W518" s="4"/>
      <c r="X518" s="4"/>
    </row>
    <row r="519" spans="1:24" ht="15" thickBot="1">
      <c r="A519" s="4" t="s">
        <v>154</v>
      </c>
      <c r="B519" s="4" t="s">
        <v>155</v>
      </c>
      <c r="C519" s="4">
        <v>616866669</v>
      </c>
      <c r="D519" s="4" t="s">
        <v>156</v>
      </c>
      <c r="E519" s="4" t="s">
        <v>599</v>
      </c>
      <c r="F519" s="31">
        <v>45994</v>
      </c>
      <c r="G519" s="4"/>
      <c r="H519" s="4" t="s">
        <v>1884</v>
      </c>
      <c r="I519" s="4" t="s">
        <v>1885</v>
      </c>
      <c r="J519" s="4" t="s">
        <v>160</v>
      </c>
      <c r="K519" s="4" t="s">
        <v>33</v>
      </c>
      <c r="L519" s="4" t="s">
        <v>301</v>
      </c>
      <c r="M519" s="4"/>
      <c r="N519" s="4" t="s">
        <v>36</v>
      </c>
      <c r="O519" s="4">
        <v>1</v>
      </c>
      <c r="P519" s="112"/>
      <c r="Q519" s="4" t="s">
        <v>117</v>
      </c>
      <c r="R519" s="34">
        <v>45</v>
      </c>
      <c r="S519" s="34">
        <v>215</v>
      </c>
      <c r="T519" s="58">
        <f>SUM(R519:S519)</f>
        <v>260</v>
      </c>
      <c r="U519" s="36">
        <v>46038</v>
      </c>
      <c r="V519" s="4" t="s">
        <v>1886</v>
      </c>
      <c r="W519" s="4"/>
      <c r="X519" s="4"/>
    </row>
    <row r="520" spans="1:24" ht="15" thickBot="1">
      <c r="A520" s="4" t="s">
        <v>154</v>
      </c>
      <c r="B520" s="4" t="s">
        <v>155</v>
      </c>
      <c r="C520" s="4">
        <v>616866669</v>
      </c>
      <c r="D520" s="4" t="s">
        <v>156</v>
      </c>
      <c r="E520" s="4" t="s">
        <v>599</v>
      </c>
      <c r="F520" s="31">
        <v>45994</v>
      </c>
      <c r="G520" s="4"/>
      <c r="H520" s="4" t="s">
        <v>1887</v>
      </c>
      <c r="I520" s="4" t="s">
        <v>1888</v>
      </c>
      <c r="J520" s="4" t="s">
        <v>763</v>
      </c>
      <c r="K520" s="4" t="s">
        <v>33</v>
      </c>
      <c r="L520" s="4" t="s">
        <v>351</v>
      </c>
      <c r="M520" s="4"/>
      <c r="N520" s="4" t="s">
        <v>36</v>
      </c>
      <c r="O520" s="4">
        <v>1</v>
      </c>
      <c r="P520" s="112"/>
      <c r="Q520" s="4" t="s">
        <v>352</v>
      </c>
      <c r="R520" s="34">
        <v>45</v>
      </c>
      <c r="S520" s="34">
        <v>160</v>
      </c>
      <c r="T520" s="58">
        <f>SUM(R520:S520)</f>
        <v>205</v>
      </c>
      <c r="U520" s="36">
        <v>46038</v>
      </c>
      <c r="V520" s="4"/>
      <c r="W520" s="4"/>
      <c r="X520" s="4"/>
    </row>
    <row r="521" spans="1:24" ht="15" thickBot="1">
      <c r="A521" s="4" t="s">
        <v>154</v>
      </c>
      <c r="B521" s="4" t="s">
        <v>155</v>
      </c>
      <c r="C521" s="4">
        <v>616866669</v>
      </c>
      <c r="D521" s="4" t="s">
        <v>156</v>
      </c>
      <c r="E521" s="4" t="s">
        <v>599</v>
      </c>
      <c r="F521" s="31">
        <v>45994</v>
      </c>
      <c r="G521" s="4"/>
      <c r="H521" s="4" t="s">
        <v>1889</v>
      </c>
      <c r="I521" s="4" t="s">
        <v>1890</v>
      </c>
      <c r="J521" s="4" t="s">
        <v>502</v>
      </c>
      <c r="K521" s="4" t="s">
        <v>33</v>
      </c>
      <c r="L521" s="4" t="s">
        <v>1891</v>
      </c>
      <c r="M521" s="4" t="s">
        <v>959</v>
      </c>
      <c r="N521" s="4" t="s">
        <v>36</v>
      </c>
      <c r="O521" s="4">
        <v>1</v>
      </c>
      <c r="P521" s="112"/>
      <c r="Q521" s="4" t="s">
        <v>959</v>
      </c>
      <c r="R521" s="34">
        <v>45</v>
      </c>
      <c r="S521" s="58">
        <v>235</v>
      </c>
      <c r="T521" s="58">
        <f>SUM(R521:S521)</f>
        <v>280</v>
      </c>
      <c r="U521" s="126">
        <v>46072</v>
      </c>
      <c r="V521" s="4"/>
      <c r="W521" s="4"/>
      <c r="X521" s="4" t="s">
        <v>927</v>
      </c>
    </row>
    <row r="522" spans="1:24" ht="15" thickBot="1">
      <c r="A522" s="4" t="s">
        <v>154</v>
      </c>
      <c r="B522" s="4" t="s">
        <v>155</v>
      </c>
      <c r="C522" s="4">
        <v>616866669</v>
      </c>
      <c r="D522" s="4" t="s">
        <v>156</v>
      </c>
      <c r="E522" s="4" t="s">
        <v>599</v>
      </c>
      <c r="F522" s="31">
        <v>45994</v>
      </c>
      <c r="G522" s="4"/>
      <c r="H522" s="4" t="s">
        <v>1892</v>
      </c>
      <c r="I522" s="4" t="s">
        <v>1893</v>
      </c>
      <c r="J522" s="4" t="s">
        <v>397</v>
      </c>
      <c r="K522" s="4" t="s">
        <v>48</v>
      </c>
      <c r="L522" s="4" t="s">
        <v>1894</v>
      </c>
      <c r="M522" s="4" t="s">
        <v>1895</v>
      </c>
      <c r="N522" s="4" t="s">
        <v>36</v>
      </c>
      <c r="O522" s="4">
        <v>1</v>
      </c>
      <c r="P522" s="112"/>
      <c r="Q522" s="4" t="s">
        <v>1896</v>
      </c>
      <c r="R522" s="34">
        <v>45</v>
      </c>
      <c r="S522" s="58">
        <v>163.75</v>
      </c>
      <c r="T522" s="58">
        <f>SUM(R522:S522)</f>
        <v>208.75</v>
      </c>
      <c r="U522" s="126">
        <v>46072</v>
      </c>
      <c r="V522" s="4"/>
      <c r="W522" s="4"/>
      <c r="X522" s="4"/>
    </row>
    <row r="523" spans="1:24" ht="15" thickBot="1">
      <c r="A523" s="4" t="s">
        <v>154</v>
      </c>
      <c r="B523" s="4" t="s">
        <v>155</v>
      </c>
      <c r="C523" s="4">
        <v>616866669</v>
      </c>
      <c r="D523" s="4" t="s">
        <v>156</v>
      </c>
      <c r="E523" s="4" t="s">
        <v>599</v>
      </c>
      <c r="F523" s="31">
        <v>45994</v>
      </c>
      <c r="G523" s="4"/>
      <c r="H523" s="4" t="s">
        <v>1897</v>
      </c>
      <c r="I523" s="4" t="s">
        <v>1898</v>
      </c>
      <c r="J523" s="4" t="s">
        <v>379</v>
      </c>
      <c r="K523" s="4" t="s">
        <v>48</v>
      </c>
      <c r="L523" s="4" t="s">
        <v>1899</v>
      </c>
      <c r="M523" s="4"/>
      <c r="N523" s="4" t="s">
        <v>36</v>
      </c>
      <c r="O523" s="4">
        <v>1</v>
      </c>
      <c r="P523" s="112"/>
      <c r="Q523" s="4" t="s">
        <v>1900</v>
      </c>
      <c r="R523" s="34">
        <v>45</v>
      </c>
      <c r="S523" s="34">
        <v>0</v>
      </c>
      <c r="T523" s="58">
        <f>SUM(R523:S523)</f>
        <v>45</v>
      </c>
      <c r="U523" s="126">
        <v>46072</v>
      </c>
      <c r="V523" s="4"/>
      <c r="W523" s="4"/>
      <c r="X523" s="4"/>
    </row>
    <row r="524" spans="1:24" ht="15" thickBot="1">
      <c r="A524" s="4" t="s">
        <v>154</v>
      </c>
      <c r="B524" s="4" t="s">
        <v>155</v>
      </c>
      <c r="C524" s="4">
        <v>616866669</v>
      </c>
      <c r="D524" s="4" t="s">
        <v>156</v>
      </c>
      <c r="E524" s="4" t="s">
        <v>599</v>
      </c>
      <c r="F524" s="31">
        <v>45994</v>
      </c>
      <c r="G524" s="4"/>
      <c r="H524" s="4" t="s">
        <v>1901</v>
      </c>
      <c r="I524" s="4" t="s">
        <v>1902</v>
      </c>
      <c r="J524" s="4" t="s">
        <v>756</v>
      </c>
      <c r="K524" s="4" t="s">
        <v>33</v>
      </c>
      <c r="L524" s="4" t="s">
        <v>1903</v>
      </c>
      <c r="M524" s="4"/>
      <c r="N524" s="4" t="s">
        <v>499</v>
      </c>
      <c r="O524" s="4">
        <v>1</v>
      </c>
      <c r="P524" s="112"/>
      <c r="Q524" s="4"/>
      <c r="R524" s="34">
        <v>45</v>
      </c>
      <c r="S524" s="4"/>
      <c r="T524" s="58">
        <v>0</v>
      </c>
      <c r="U524" s="36"/>
      <c r="V524" s="4"/>
      <c r="W524" s="4"/>
      <c r="X524" s="4"/>
    </row>
    <row r="525" spans="1:24" ht="15" thickBot="1">
      <c r="A525" s="4" t="s">
        <v>154</v>
      </c>
      <c r="B525" s="4" t="s">
        <v>155</v>
      </c>
      <c r="C525" s="4">
        <v>616866669</v>
      </c>
      <c r="D525" s="4" t="s">
        <v>156</v>
      </c>
      <c r="E525" s="4" t="s">
        <v>599</v>
      </c>
      <c r="F525" s="31">
        <v>45994</v>
      </c>
      <c r="G525" s="4" t="s">
        <v>1904</v>
      </c>
      <c r="H525" s="4" t="s">
        <v>1905</v>
      </c>
      <c r="I525" s="4" t="s">
        <v>1906</v>
      </c>
      <c r="J525" s="4" t="s">
        <v>382</v>
      </c>
      <c r="K525" s="4" t="s">
        <v>33</v>
      </c>
      <c r="L525" s="4" t="s">
        <v>1907</v>
      </c>
      <c r="M525" s="4"/>
      <c r="N525" s="4" t="s">
        <v>36</v>
      </c>
      <c r="O525" s="4">
        <v>1</v>
      </c>
      <c r="P525" s="112"/>
      <c r="Q525" s="4" t="s">
        <v>117</v>
      </c>
      <c r="R525" s="34">
        <v>45</v>
      </c>
      <c r="S525" s="34">
        <v>215</v>
      </c>
      <c r="T525" s="58">
        <f>SUM(R525:S525)</f>
        <v>260</v>
      </c>
      <c r="U525" s="36">
        <v>46038</v>
      </c>
      <c r="V525" s="4"/>
      <c r="W525" s="4"/>
      <c r="X525" s="4"/>
    </row>
    <row r="526" spans="1:24" ht="15" thickBot="1">
      <c r="A526" s="4" t="s">
        <v>25</v>
      </c>
      <c r="B526" s="4" t="s">
        <v>26</v>
      </c>
      <c r="C526" s="4">
        <v>682687160</v>
      </c>
      <c r="D526" s="4" t="s">
        <v>1164</v>
      </c>
      <c r="E526" s="4" t="s">
        <v>1268</v>
      </c>
      <c r="F526" s="31">
        <v>45999</v>
      </c>
      <c r="G526" s="4"/>
      <c r="H526" s="4" t="s">
        <v>1908</v>
      </c>
      <c r="I526" s="4" t="s">
        <v>1909</v>
      </c>
      <c r="J526" s="4" t="s">
        <v>379</v>
      </c>
      <c r="K526" s="4" t="s">
        <v>48</v>
      </c>
      <c r="L526" s="4" t="s">
        <v>351</v>
      </c>
      <c r="M526" s="4" t="s">
        <v>1910</v>
      </c>
      <c r="N526" s="4" t="s">
        <v>499</v>
      </c>
      <c r="O526" s="4">
        <v>1</v>
      </c>
      <c r="P526" s="112"/>
      <c r="Q526" s="4"/>
      <c r="R526" s="34">
        <v>45</v>
      </c>
      <c r="S526" s="4"/>
      <c r="T526" s="58">
        <v>0</v>
      </c>
      <c r="U526" s="36"/>
      <c r="V526" s="4"/>
      <c r="W526" s="4"/>
      <c r="X526" s="4"/>
    </row>
    <row r="527" spans="1:24" ht="15" thickBot="1">
      <c r="A527" s="4" t="s">
        <v>25</v>
      </c>
      <c r="B527" s="4" t="s">
        <v>26</v>
      </c>
      <c r="C527" s="4">
        <v>682687160</v>
      </c>
      <c r="D527" s="4" t="s">
        <v>1164</v>
      </c>
      <c r="E527" s="4" t="s">
        <v>1268</v>
      </c>
      <c r="F527" s="31">
        <v>45999</v>
      </c>
      <c r="G527" s="4"/>
      <c r="H527" s="4" t="s">
        <v>1911</v>
      </c>
      <c r="I527" s="4" t="s">
        <v>1912</v>
      </c>
      <c r="J527" s="4" t="s">
        <v>216</v>
      </c>
      <c r="K527" s="4" t="s">
        <v>33</v>
      </c>
      <c r="L527" s="4" t="s">
        <v>1913</v>
      </c>
      <c r="M527" s="4"/>
      <c r="N527" s="4" t="s">
        <v>499</v>
      </c>
      <c r="O527" s="4">
        <v>1</v>
      </c>
      <c r="P527" s="112"/>
      <c r="Q527" s="4"/>
      <c r="R527" s="34">
        <v>45</v>
      </c>
      <c r="S527" s="4"/>
      <c r="T527" s="58">
        <v>0</v>
      </c>
      <c r="U527" s="36"/>
      <c r="V527" s="4"/>
      <c r="W527" s="4"/>
      <c r="X527" s="4"/>
    </row>
    <row r="528" spans="1:24" ht="15" thickBot="1">
      <c r="A528" s="4" t="s">
        <v>25</v>
      </c>
      <c r="B528" s="4" t="s">
        <v>26</v>
      </c>
      <c r="C528" s="4">
        <v>682687160</v>
      </c>
      <c r="D528" s="4" t="s">
        <v>1164</v>
      </c>
      <c r="E528" s="4" t="s">
        <v>1268</v>
      </c>
      <c r="F528" s="31">
        <v>45999</v>
      </c>
      <c r="G528" s="4"/>
      <c r="H528" s="4" t="s">
        <v>1914</v>
      </c>
      <c r="I528" s="4" t="s">
        <v>1915</v>
      </c>
      <c r="J528" s="4" t="s">
        <v>201</v>
      </c>
      <c r="K528" s="4" t="s">
        <v>48</v>
      </c>
      <c r="L528" s="4" t="s">
        <v>1916</v>
      </c>
      <c r="M528" s="4" t="s">
        <v>1917</v>
      </c>
      <c r="N528" s="4" t="s">
        <v>36</v>
      </c>
      <c r="O528" s="4">
        <v>1</v>
      </c>
      <c r="P528" s="112" t="s">
        <v>1918</v>
      </c>
      <c r="Q528" s="4" t="s">
        <v>134</v>
      </c>
      <c r="R528" s="34">
        <v>45</v>
      </c>
      <c r="S528" s="34">
        <v>77</v>
      </c>
      <c r="T528" s="58">
        <f t="shared" ref="T528:T533" si="55">SUM(R528:S528)</f>
        <v>122</v>
      </c>
      <c r="U528" s="36">
        <v>46038</v>
      </c>
      <c r="V528" s="4"/>
      <c r="W528" s="4"/>
      <c r="X528" s="4"/>
    </row>
    <row r="529" spans="1:24" ht="15" thickBot="1">
      <c r="A529" s="4" t="s">
        <v>25</v>
      </c>
      <c r="B529" s="4" t="s">
        <v>26</v>
      </c>
      <c r="C529" s="4">
        <v>682687160</v>
      </c>
      <c r="D529" s="4" t="s">
        <v>1164</v>
      </c>
      <c r="E529" s="4" t="s">
        <v>1268</v>
      </c>
      <c r="F529" s="31">
        <v>45999</v>
      </c>
      <c r="G529" s="4"/>
      <c r="H529" s="4" t="s">
        <v>1919</v>
      </c>
      <c r="I529" s="4" t="s">
        <v>1920</v>
      </c>
      <c r="J529" s="4" t="s">
        <v>160</v>
      </c>
      <c r="K529" s="4" t="s">
        <v>33</v>
      </c>
      <c r="L529" s="4" t="s">
        <v>1921</v>
      </c>
      <c r="M529" s="4"/>
      <c r="N529" s="4" t="s">
        <v>36</v>
      </c>
      <c r="O529" s="4">
        <v>1</v>
      </c>
      <c r="P529" s="112"/>
      <c r="Q529" s="4" t="s">
        <v>457</v>
      </c>
      <c r="R529" s="34">
        <v>45</v>
      </c>
      <c r="S529" s="58">
        <v>163.75</v>
      </c>
      <c r="T529" s="58">
        <f t="shared" si="55"/>
        <v>208.75</v>
      </c>
      <c r="U529" s="36">
        <v>46038</v>
      </c>
      <c r="V529" s="4"/>
      <c r="W529" s="4"/>
      <c r="X529" s="4"/>
    </row>
    <row r="530" spans="1:24" ht="15" thickBot="1">
      <c r="A530" s="4" t="s">
        <v>25</v>
      </c>
      <c r="B530" s="4" t="s">
        <v>26</v>
      </c>
      <c r="C530" s="4">
        <v>682687160</v>
      </c>
      <c r="D530" s="4" t="s">
        <v>1164</v>
      </c>
      <c r="E530" s="4" t="s">
        <v>1268</v>
      </c>
      <c r="F530" s="31">
        <v>45999</v>
      </c>
      <c r="G530" s="4"/>
      <c r="H530" s="4" t="s">
        <v>1922</v>
      </c>
      <c r="I530" s="4" t="s">
        <v>1923</v>
      </c>
      <c r="J530" s="4" t="s">
        <v>379</v>
      </c>
      <c r="K530" s="4" t="s">
        <v>48</v>
      </c>
      <c r="L530" s="4" t="s">
        <v>323</v>
      </c>
      <c r="M530" s="4" t="s">
        <v>1924</v>
      </c>
      <c r="N530" s="4" t="s">
        <v>36</v>
      </c>
      <c r="O530" s="4">
        <v>1</v>
      </c>
      <c r="P530" s="112" t="s">
        <v>1925</v>
      </c>
      <c r="Q530" s="4" t="s">
        <v>66</v>
      </c>
      <c r="R530" s="34">
        <v>45</v>
      </c>
      <c r="S530" s="34">
        <v>0</v>
      </c>
      <c r="T530" s="58">
        <f t="shared" si="55"/>
        <v>45</v>
      </c>
      <c r="U530" s="36">
        <v>46038</v>
      </c>
      <c r="V530" s="4"/>
      <c r="W530" s="4"/>
      <c r="X530" s="4"/>
    </row>
    <row r="531" spans="1:24" ht="15" thickBot="1">
      <c r="A531" s="4" t="s">
        <v>25</v>
      </c>
      <c r="B531" s="4" t="s">
        <v>26</v>
      </c>
      <c r="C531" s="4">
        <v>682687160</v>
      </c>
      <c r="D531" s="4" t="s">
        <v>1164</v>
      </c>
      <c r="E531" s="4" t="s">
        <v>1268</v>
      </c>
      <c r="F531" s="31">
        <v>45999</v>
      </c>
      <c r="G531" s="4"/>
      <c r="H531" s="4" t="s">
        <v>1926</v>
      </c>
      <c r="I531" s="4" t="s">
        <v>688</v>
      </c>
      <c r="J531" s="4" t="s">
        <v>502</v>
      </c>
      <c r="K531" s="4" t="s">
        <v>33</v>
      </c>
      <c r="L531" s="4" t="s">
        <v>1927</v>
      </c>
      <c r="M531" s="4" t="s">
        <v>1928</v>
      </c>
      <c r="N531" s="4" t="s">
        <v>36</v>
      </c>
      <c r="O531" s="4">
        <v>1</v>
      </c>
      <c r="P531" s="112" t="s">
        <v>1929</v>
      </c>
      <c r="Q531" s="4" t="s">
        <v>457</v>
      </c>
      <c r="R531" s="34">
        <v>45</v>
      </c>
      <c r="S531" s="34">
        <v>163.75</v>
      </c>
      <c r="T531" s="58">
        <f t="shared" si="55"/>
        <v>208.75</v>
      </c>
      <c r="U531" s="36">
        <v>46010</v>
      </c>
      <c r="V531" s="4"/>
      <c r="W531" s="122" t="s">
        <v>789</v>
      </c>
      <c r="X531" s="4"/>
    </row>
    <row r="532" spans="1:24" ht="15" thickBot="1">
      <c r="A532" s="4" t="s">
        <v>25</v>
      </c>
      <c r="B532" s="4" t="s">
        <v>26</v>
      </c>
      <c r="C532" s="4">
        <v>682687160</v>
      </c>
      <c r="D532" s="4" t="s">
        <v>1164</v>
      </c>
      <c r="E532" s="4" t="s">
        <v>1268</v>
      </c>
      <c r="F532" s="31">
        <v>45999</v>
      </c>
      <c r="G532" s="4"/>
      <c r="H532" s="4" t="s">
        <v>1930</v>
      </c>
      <c r="I532" s="4" t="s">
        <v>1931</v>
      </c>
      <c r="J532" s="4" t="s">
        <v>160</v>
      </c>
      <c r="K532" s="4" t="s">
        <v>33</v>
      </c>
      <c r="L532" s="4" t="s">
        <v>323</v>
      </c>
      <c r="M532" s="4" t="s">
        <v>1932</v>
      </c>
      <c r="N532" s="4" t="s">
        <v>36</v>
      </c>
      <c r="O532" s="4">
        <v>1</v>
      </c>
      <c r="P532" s="112"/>
      <c r="Q532" s="4" t="s">
        <v>66</v>
      </c>
      <c r="R532" s="34">
        <v>45</v>
      </c>
      <c r="S532" s="34">
        <v>120</v>
      </c>
      <c r="T532" s="58">
        <f t="shared" si="55"/>
        <v>165</v>
      </c>
      <c r="U532" s="36">
        <v>46122</v>
      </c>
      <c r="V532" s="4"/>
      <c r="W532" s="4"/>
      <c r="X532" s="4"/>
    </row>
    <row r="533" spans="1:24" ht="15" thickBot="1">
      <c r="A533" s="4" t="s">
        <v>25</v>
      </c>
      <c r="B533" s="4" t="s">
        <v>26</v>
      </c>
      <c r="C533" s="4">
        <v>682687160</v>
      </c>
      <c r="D533" s="4" t="s">
        <v>1164</v>
      </c>
      <c r="E533" s="4" t="s">
        <v>1268</v>
      </c>
      <c r="F533" s="31">
        <v>45999</v>
      </c>
      <c r="G533" s="4"/>
      <c r="H533" s="4" t="s">
        <v>1933</v>
      </c>
      <c r="I533" s="4" t="s">
        <v>1934</v>
      </c>
      <c r="J533" s="4" t="s">
        <v>382</v>
      </c>
      <c r="K533" s="4" t="s">
        <v>33</v>
      </c>
      <c r="L533" s="4" t="s">
        <v>1935</v>
      </c>
      <c r="M533" s="4"/>
      <c r="N533" s="31" t="s">
        <v>36</v>
      </c>
      <c r="O533" s="4">
        <v>1</v>
      </c>
      <c r="P533" s="112"/>
      <c r="Q533" s="4" t="s">
        <v>117</v>
      </c>
      <c r="R533" s="34">
        <v>45</v>
      </c>
      <c r="S533" s="34">
        <v>215</v>
      </c>
      <c r="T533" s="58">
        <f t="shared" si="55"/>
        <v>260</v>
      </c>
      <c r="U533" s="36">
        <v>46038</v>
      </c>
      <c r="V533" s="4"/>
      <c r="W533" s="4"/>
      <c r="X533" s="4"/>
    </row>
    <row r="534" spans="1:24" ht="15" thickBot="1">
      <c r="A534" s="4" t="s">
        <v>25</v>
      </c>
      <c r="B534" s="4" t="s">
        <v>26</v>
      </c>
      <c r="C534" s="4">
        <v>682687160</v>
      </c>
      <c r="D534" s="4" t="s">
        <v>1164</v>
      </c>
      <c r="E534" s="4" t="s">
        <v>1268</v>
      </c>
      <c r="F534" s="31">
        <v>45999</v>
      </c>
      <c r="G534" s="4"/>
      <c r="H534" s="4" t="s">
        <v>1936</v>
      </c>
      <c r="I534" s="4" t="s">
        <v>1937</v>
      </c>
      <c r="J534" s="4" t="s">
        <v>201</v>
      </c>
      <c r="K534" s="4" t="s">
        <v>48</v>
      </c>
      <c r="L534" s="4" t="s">
        <v>1938</v>
      </c>
      <c r="M534" s="4" t="s">
        <v>168</v>
      </c>
      <c r="N534" s="31" t="s">
        <v>499</v>
      </c>
      <c r="O534" s="4">
        <v>1</v>
      </c>
      <c r="P534" s="112"/>
      <c r="Q534" s="4" t="s">
        <v>4004</v>
      </c>
      <c r="R534" s="34">
        <v>45</v>
      </c>
      <c r="S534" s="4"/>
      <c r="T534" s="58">
        <v>0</v>
      </c>
      <c r="U534" s="36"/>
      <c r="V534" s="4"/>
      <c r="W534" s="4"/>
      <c r="X534" s="4"/>
    </row>
    <row r="535" spans="1:24" ht="15" thickBot="1">
      <c r="A535" s="4" t="s">
        <v>25</v>
      </c>
      <c r="B535" s="4" t="s">
        <v>26</v>
      </c>
      <c r="C535" s="4">
        <v>682687160</v>
      </c>
      <c r="D535" s="4" t="s">
        <v>1164</v>
      </c>
      <c r="E535" s="4" t="s">
        <v>1268</v>
      </c>
      <c r="F535" s="31">
        <v>45999</v>
      </c>
      <c r="G535" s="4"/>
      <c r="H535" s="4" t="s">
        <v>1939</v>
      </c>
      <c r="I535" s="4" t="s">
        <v>1940</v>
      </c>
      <c r="J535" s="4" t="s">
        <v>160</v>
      </c>
      <c r="K535" s="4" t="s">
        <v>33</v>
      </c>
      <c r="L535" s="4" t="s">
        <v>1941</v>
      </c>
      <c r="M535" s="4" t="s">
        <v>1942</v>
      </c>
      <c r="N535" s="31" t="s">
        <v>36</v>
      </c>
      <c r="O535" s="4">
        <v>1</v>
      </c>
      <c r="P535" s="112" t="s">
        <v>1943</v>
      </c>
      <c r="Q535" s="4" t="s">
        <v>1944</v>
      </c>
      <c r="R535" s="34">
        <v>45</v>
      </c>
      <c r="S535" s="34">
        <v>111.75</v>
      </c>
      <c r="T535" s="58">
        <f>SUM(R535:S535)</f>
        <v>156.75</v>
      </c>
      <c r="U535" s="36">
        <v>46038</v>
      </c>
      <c r="V535" s="4"/>
      <c r="W535" s="4"/>
      <c r="X535" s="4"/>
    </row>
    <row r="536" spans="1:24" ht="15" thickBot="1">
      <c r="A536" s="4" t="s">
        <v>25</v>
      </c>
      <c r="B536" s="4" t="s">
        <v>26</v>
      </c>
      <c r="C536" s="4">
        <v>682687160</v>
      </c>
      <c r="D536" s="4" t="s">
        <v>1164</v>
      </c>
      <c r="E536" s="4" t="s">
        <v>1268</v>
      </c>
      <c r="F536" s="31">
        <v>45999</v>
      </c>
      <c r="G536" s="4"/>
      <c r="H536" s="4" t="s">
        <v>1945</v>
      </c>
      <c r="I536" s="4" t="s">
        <v>1946</v>
      </c>
      <c r="J536" s="4" t="s">
        <v>201</v>
      </c>
      <c r="K536" s="4" t="s">
        <v>48</v>
      </c>
      <c r="L536" s="4" t="s">
        <v>1947</v>
      </c>
      <c r="M536" s="4"/>
      <c r="N536" s="31" t="s">
        <v>499</v>
      </c>
      <c r="O536" s="4">
        <v>1</v>
      </c>
      <c r="P536" s="112"/>
      <c r="Q536" s="4"/>
      <c r="R536" s="34">
        <v>45</v>
      </c>
      <c r="S536" s="4"/>
      <c r="T536" s="58">
        <v>0</v>
      </c>
      <c r="U536" s="36"/>
      <c r="V536" s="4"/>
      <c r="W536" s="4"/>
      <c r="X536" s="4"/>
    </row>
    <row r="537" spans="1:24" ht="15" thickBot="1">
      <c r="A537" s="4" t="s">
        <v>25</v>
      </c>
      <c r="B537" s="4" t="s">
        <v>26</v>
      </c>
      <c r="C537" s="4">
        <v>682687160</v>
      </c>
      <c r="D537" s="4" t="s">
        <v>1164</v>
      </c>
      <c r="E537" s="4" t="s">
        <v>1268</v>
      </c>
      <c r="F537" s="31">
        <v>45999</v>
      </c>
      <c r="G537" s="4"/>
      <c r="H537" s="4" t="s">
        <v>1948</v>
      </c>
      <c r="I537" s="4" t="s">
        <v>1949</v>
      </c>
      <c r="J537" s="4" t="s">
        <v>216</v>
      </c>
      <c r="K537" s="4" t="s">
        <v>33</v>
      </c>
      <c r="L537" s="4" t="s">
        <v>1950</v>
      </c>
      <c r="M537" s="4"/>
      <c r="N537" s="31" t="s">
        <v>499</v>
      </c>
      <c r="O537" s="4">
        <v>1</v>
      </c>
      <c r="P537" s="112"/>
      <c r="Q537" s="4"/>
      <c r="R537" s="34">
        <v>45</v>
      </c>
      <c r="S537" s="4"/>
      <c r="T537" s="58">
        <v>0</v>
      </c>
      <c r="U537" s="36"/>
      <c r="V537" s="4"/>
      <c r="W537" s="4"/>
      <c r="X537" s="4"/>
    </row>
    <row r="538" spans="1:24" ht="20.25" customHeight="1" thickBot="1">
      <c r="A538" s="4" t="s">
        <v>25</v>
      </c>
      <c r="B538" s="4" t="s">
        <v>26</v>
      </c>
      <c r="C538" s="4" t="s">
        <v>27</v>
      </c>
      <c r="D538" s="4" t="s">
        <v>28</v>
      </c>
      <c r="E538" s="4" t="s">
        <v>29</v>
      </c>
      <c r="F538" s="31">
        <v>46006</v>
      </c>
      <c r="G538" s="4"/>
      <c r="H538" s="4" t="s">
        <v>1951</v>
      </c>
      <c r="I538" s="4" t="s">
        <v>1952</v>
      </c>
      <c r="J538" s="4" t="s">
        <v>379</v>
      </c>
      <c r="K538" s="4" t="s">
        <v>33</v>
      </c>
      <c r="L538" s="4" t="s">
        <v>1953</v>
      </c>
      <c r="M538" s="4" t="s">
        <v>1954</v>
      </c>
      <c r="N538" s="4" t="s">
        <v>499</v>
      </c>
      <c r="O538" s="4">
        <v>1</v>
      </c>
      <c r="P538" s="112"/>
      <c r="Q538" s="4"/>
      <c r="R538" s="34">
        <v>45</v>
      </c>
      <c r="S538" s="4"/>
      <c r="T538" s="58">
        <v>0</v>
      </c>
      <c r="U538" s="36"/>
      <c r="V538" s="4"/>
      <c r="W538" s="4"/>
      <c r="X538" s="4"/>
    </row>
    <row r="539" spans="1:24" ht="15" thickBot="1">
      <c r="A539" s="4" t="s">
        <v>25</v>
      </c>
      <c r="B539" s="4" t="s">
        <v>26</v>
      </c>
      <c r="C539" s="4" t="s">
        <v>27</v>
      </c>
      <c r="D539" s="4" t="s">
        <v>28</v>
      </c>
      <c r="E539" s="4" t="s">
        <v>29</v>
      </c>
      <c r="F539" s="31">
        <v>46006</v>
      </c>
      <c r="G539" s="4"/>
      <c r="H539" s="4" t="s">
        <v>1955</v>
      </c>
      <c r="I539" s="4" t="s">
        <v>1956</v>
      </c>
      <c r="J539" s="4" t="s">
        <v>1957</v>
      </c>
      <c r="K539" s="4" t="s">
        <v>33</v>
      </c>
      <c r="L539" s="4" t="s">
        <v>1958</v>
      </c>
      <c r="M539" s="4"/>
      <c r="N539" s="4" t="s">
        <v>499</v>
      </c>
      <c r="O539" s="4">
        <v>1</v>
      </c>
      <c r="P539" s="112"/>
      <c r="Q539" s="4"/>
      <c r="R539" s="34">
        <v>45</v>
      </c>
      <c r="S539" s="4"/>
      <c r="T539" s="58">
        <v>0</v>
      </c>
      <c r="U539" s="36"/>
      <c r="V539" s="4"/>
      <c r="W539" s="4"/>
      <c r="X539" s="4"/>
    </row>
    <row r="540" spans="1:24" ht="15" thickBot="1">
      <c r="A540" s="4" t="s">
        <v>25</v>
      </c>
      <c r="B540" s="4" t="s">
        <v>26</v>
      </c>
      <c r="C540" s="4" t="s">
        <v>27</v>
      </c>
      <c r="D540" s="4" t="s">
        <v>28</v>
      </c>
      <c r="E540" s="4" t="s">
        <v>29</v>
      </c>
      <c r="F540" s="31">
        <v>46006</v>
      </c>
      <c r="G540" s="4"/>
      <c r="H540" s="4" t="s">
        <v>1959</v>
      </c>
      <c r="I540" s="4" t="s">
        <v>1960</v>
      </c>
      <c r="J540" s="4" t="s">
        <v>1961</v>
      </c>
      <c r="K540" s="4" t="s">
        <v>33</v>
      </c>
      <c r="L540" s="4" t="s">
        <v>1958</v>
      </c>
      <c r="M540" s="4"/>
      <c r="N540" s="4" t="s">
        <v>36</v>
      </c>
      <c r="O540" s="4">
        <v>1</v>
      </c>
      <c r="P540" s="112"/>
      <c r="Q540" s="4" t="s">
        <v>71</v>
      </c>
      <c r="R540" s="34">
        <v>45</v>
      </c>
      <c r="S540" s="34">
        <v>115</v>
      </c>
      <c r="T540" s="58">
        <f>SUM(R540:S540)</f>
        <v>160</v>
      </c>
      <c r="U540" s="126">
        <v>46085</v>
      </c>
      <c r="V540" s="4"/>
      <c r="W540" s="4"/>
      <c r="X540" s="4"/>
    </row>
    <row r="541" spans="1:24" ht="15" thickBot="1">
      <c r="A541" s="4" t="s">
        <v>25</v>
      </c>
      <c r="B541" s="4" t="s">
        <v>26</v>
      </c>
      <c r="C541" s="4" t="s">
        <v>27</v>
      </c>
      <c r="D541" s="4" t="s">
        <v>28</v>
      </c>
      <c r="E541" s="4" t="s">
        <v>29</v>
      </c>
      <c r="F541" s="31">
        <v>46006</v>
      </c>
      <c r="G541" s="4"/>
      <c r="H541" s="4" t="s">
        <v>1962</v>
      </c>
      <c r="I541" s="4" t="s">
        <v>1963</v>
      </c>
      <c r="J541" s="4" t="s">
        <v>216</v>
      </c>
      <c r="K541" s="4" t="s">
        <v>33</v>
      </c>
      <c r="L541" s="4" t="s">
        <v>1964</v>
      </c>
      <c r="M541" s="4"/>
      <c r="N541" s="4" t="s">
        <v>499</v>
      </c>
      <c r="O541" s="4">
        <v>1</v>
      </c>
      <c r="P541" s="112"/>
      <c r="Q541" s="4"/>
      <c r="R541" s="34">
        <v>45</v>
      </c>
      <c r="S541" s="4"/>
      <c r="T541" s="58">
        <v>0</v>
      </c>
      <c r="U541" s="36"/>
      <c r="V541" s="4"/>
      <c r="W541" s="4"/>
      <c r="X541" s="4"/>
    </row>
    <row r="542" spans="1:24" ht="15" thickBot="1">
      <c r="A542" s="4" t="s">
        <v>25</v>
      </c>
      <c r="B542" s="4" t="s">
        <v>26</v>
      </c>
      <c r="C542" s="4" t="s">
        <v>27</v>
      </c>
      <c r="D542" s="4" t="s">
        <v>28</v>
      </c>
      <c r="E542" s="4" t="s">
        <v>29</v>
      </c>
      <c r="F542" s="31">
        <v>46006</v>
      </c>
      <c r="G542" s="4"/>
      <c r="H542" s="4" t="s">
        <v>1965</v>
      </c>
      <c r="I542" s="4" t="s">
        <v>1966</v>
      </c>
      <c r="J542" s="4" t="s">
        <v>1648</v>
      </c>
      <c r="K542" s="4" t="s">
        <v>33</v>
      </c>
      <c r="L542" s="4" t="s">
        <v>1967</v>
      </c>
      <c r="M542" s="4" t="s">
        <v>1968</v>
      </c>
      <c r="N542" s="31" t="s">
        <v>36</v>
      </c>
      <c r="O542" s="4">
        <v>1</v>
      </c>
      <c r="P542" s="112"/>
      <c r="Q542" s="4" t="s">
        <v>1969</v>
      </c>
      <c r="R542" s="34">
        <v>45</v>
      </c>
      <c r="S542" s="34">
        <v>173.75</v>
      </c>
      <c r="T542" s="58">
        <f>SUM(R542:S542)</f>
        <v>218.75</v>
      </c>
      <c r="U542" s="36">
        <v>46038</v>
      </c>
      <c r="V542" s="4"/>
      <c r="W542" s="4"/>
      <c r="X542" s="4"/>
    </row>
    <row r="543" spans="1:24" ht="15" thickBot="1">
      <c r="A543" s="4" t="s">
        <v>25</v>
      </c>
      <c r="B543" s="4" t="s">
        <v>26</v>
      </c>
      <c r="C543" s="4" t="s">
        <v>27</v>
      </c>
      <c r="D543" s="4" t="s">
        <v>28</v>
      </c>
      <c r="E543" s="4" t="s">
        <v>29</v>
      </c>
      <c r="F543" s="31">
        <v>46006</v>
      </c>
      <c r="G543" s="4"/>
      <c r="H543" s="4" t="s">
        <v>1970</v>
      </c>
      <c r="I543" s="4" t="s">
        <v>1971</v>
      </c>
      <c r="J543" s="4" t="s">
        <v>1648</v>
      </c>
      <c r="K543" s="4" t="s">
        <v>33</v>
      </c>
      <c r="L543" s="4" t="s">
        <v>1972</v>
      </c>
      <c r="M543" s="4" t="s">
        <v>1973</v>
      </c>
      <c r="N543" s="31" t="s">
        <v>36</v>
      </c>
      <c r="O543" s="4">
        <v>1</v>
      </c>
      <c r="P543" s="112"/>
      <c r="Q543" s="4" t="s">
        <v>457</v>
      </c>
      <c r="R543" s="34">
        <v>45</v>
      </c>
      <c r="S543" s="34">
        <v>163.75</v>
      </c>
      <c r="T543" s="58">
        <f>SUM(R543:S543)</f>
        <v>208.75</v>
      </c>
      <c r="U543" s="36">
        <v>46038</v>
      </c>
      <c r="V543" s="4"/>
      <c r="W543" s="4"/>
      <c r="X543" s="4"/>
    </row>
    <row r="544" spans="1:24" ht="15" thickBot="1">
      <c r="A544" s="4" t="s">
        <v>25</v>
      </c>
      <c r="B544" s="4" t="s">
        <v>26</v>
      </c>
      <c r="C544" s="4" t="s">
        <v>27</v>
      </c>
      <c r="D544" s="4" t="s">
        <v>28</v>
      </c>
      <c r="E544" s="4" t="s">
        <v>29</v>
      </c>
      <c r="F544" s="31">
        <v>46006</v>
      </c>
      <c r="G544" s="4"/>
      <c r="H544" s="4" t="s">
        <v>1974</v>
      </c>
      <c r="I544" s="4" t="s">
        <v>1975</v>
      </c>
      <c r="J544" s="4" t="s">
        <v>1976</v>
      </c>
      <c r="K544" s="4" t="s">
        <v>48</v>
      </c>
      <c r="L544" s="4" t="s">
        <v>1958</v>
      </c>
      <c r="M544" s="4" t="s">
        <v>1977</v>
      </c>
      <c r="N544" s="4" t="s">
        <v>499</v>
      </c>
      <c r="O544" s="4">
        <v>1</v>
      </c>
      <c r="P544" s="112"/>
      <c r="Q544" s="4"/>
      <c r="R544" s="34">
        <v>45</v>
      </c>
      <c r="S544" s="4"/>
      <c r="T544" s="58">
        <v>0</v>
      </c>
      <c r="U544" s="36"/>
      <c r="V544" s="4"/>
      <c r="W544" s="4"/>
      <c r="X544" s="4"/>
    </row>
    <row r="545" spans="1:24" ht="15" thickBot="1">
      <c r="A545" s="4" t="s">
        <v>25</v>
      </c>
      <c r="B545" s="4" t="s">
        <v>26</v>
      </c>
      <c r="C545" s="4" t="s">
        <v>27</v>
      </c>
      <c r="D545" s="4" t="s">
        <v>28</v>
      </c>
      <c r="E545" s="4" t="s">
        <v>29</v>
      </c>
      <c r="F545" s="31">
        <v>46006</v>
      </c>
      <c r="G545" s="4"/>
      <c r="H545" s="4" t="s">
        <v>1978</v>
      </c>
      <c r="I545" s="4" t="s">
        <v>1979</v>
      </c>
      <c r="J545" s="4" t="s">
        <v>1980</v>
      </c>
      <c r="K545" s="4" t="s">
        <v>48</v>
      </c>
      <c r="L545" s="4" t="s">
        <v>1981</v>
      </c>
      <c r="M545" s="4" t="s">
        <v>1982</v>
      </c>
      <c r="N545" s="4" t="s">
        <v>499</v>
      </c>
      <c r="O545" s="4">
        <v>1</v>
      </c>
      <c r="P545" s="112"/>
      <c r="Q545" s="4"/>
      <c r="R545" s="34">
        <v>45</v>
      </c>
      <c r="S545" s="4"/>
      <c r="T545" s="58">
        <v>0</v>
      </c>
      <c r="U545" s="36"/>
      <c r="V545" s="4"/>
      <c r="W545" s="4"/>
      <c r="X545" s="4"/>
    </row>
    <row r="546" spans="1:24" ht="15" thickBot="1">
      <c r="A546" s="4" t="s">
        <v>25</v>
      </c>
      <c r="B546" s="4" t="s">
        <v>26</v>
      </c>
      <c r="C546" s="4" t="s">
        <v>27</v>
      </c>
      <c r="D546" s="4" t="s">
        <v>28</v>
      </c>
      <c r="E546" s="4" t="s">
        <v>29</v>
      </c>
      <c r="F546" s="31">
        <v>46006</v>
      </c>
      <c r="G546" s="4"/>
      <c r="H546" s="4" t="s">
        <v>1983</v>
      </c>
      <c r="I546" s="4" t="s">
        <v>1984</v>
      </c>
      <c r="J546" s="4" t="s">
        <v>1980</v>
      </c>
      <c r="K546" s="4" t="s">
        <v>48</v>
      </c>
      <c r="L546" s="4" t="s">
        <v>1985</v>
      </c>
      <c r="M546" s="4" t="s">
        <v>3747</v>
      </c>
      <c r="N546" s="4" t="s">
        <v>499</v>
      </c>
      <c r="O546" s="4">
        <v>1</v>
      </c>
      <c r="P546" s="112"/>
      <c r="Q546" s="4" t="s">
        <v>3747</v>
      </c>
      <c r="R546" s="34">
        <v>45</v>
      </c>
      <c r="S546" s="4"/>
      <c r="T546" s="58">
        <v>0</v>
      </c>
      <c r="U546" s="36"/>
      <c r="V546" s="4"/>
      <c r="W546" s="4"/>
      <c r="X546" s="4"/>
    </row>
    <row r="547" spans="1:24" ht="15" thickBot="1">
      <c r="A547" s="4" t="s">
        <v>25</v>
      </c>
      <c r="B547" s="4" t="s">
        <v>26</v>
      </c>
      <c r="C547" s="4" t="s">
        <v>27</v>
      </c>
      <c r="D547" s="4" t="s">
        <v>28</v>
      </c>
      <c r="E547" s="4" t="s">
        <v>29</v>
      </c>
      <c r="F547" s="31">
        <v>46006</v>
      </c>
      <c r="G547" s="4"/>
      <c r="H547" s="4" t="s">
        <v>1986</v>
      </c>
      <c r="I547" s="4" t="s">
        <v>1987</v>
      </c>
      <c r="J547" s="4" t="s">
        <v>160</v>
      </c>
      <c r="K547" s="4" t="s">
        <v>33</v>
      </c>
      <c r="L547" s="4" t="s">
        <v>1988</v>
      </c>
      <c r="M547" s="4" t="s">
        <v>1989</v>
      </c>
      <c r="N547" s="31" t="s">
        <v>36</v>
      </c>
      <c r="O547" s="4">
        <v>1</v>
      </c>
      <c r="P547" s="112"/>
      <c r="Q547" s="4" t="s">
        <v>66</v>
      </c>
      <c r="R547" s="34">
        <v>45</v>
      </c>
      <c r="S547" s="34">
        <v>120</v>
      </c>
      <c r="T547" s="58">
        <f>SUM(R547:S547)</f>
        <v>165</v>
      </c>
      <c r="U547" s="36">
        <v>46038</v>
      </c>
      <c r="V547" s="4"/>
      <c r="W547" s="4"/>
      <c r="X547" s="4"/>
    </row>
    <row r="548" spans="1:24" ht="15" thickBot="1">
      <c r="A548" s="4" t="s">
        <v>25</v>
      </c>
      <c r="B548" s="4" t="s">
        <v>26</v>
      </c>
      <c r="C548" s="4" t="s">
        <v>27</v>
      </c>
      <c r="D548" s="4" t="s">
        <v>28</v>
      </c>
      <c r="E548" s="4" t="s">
        <v>29</v>
      </c>
      <c r="F548" s="31">
        <v>46006</v>
      </c>
      <c r="G548" s="4"/>
      <c r="H548" s="4" t="s">
        <v>1990</v>
      </c>
      <c r="I548" s="4" t="s">
        <v>1991</v>
      </c>
      <c r="J548" s="4" t="s">
        <v>1980</v>
      </c>
      <c r="K548" s="4" t="s">
        <v>48</v>
      </c>
      <c r="L548" s="4" t="s">
        <v>1992</v>
      </c>
      <c r="M548" s="4" t="s">
        <v>1993</v>
      </c>
      <c r="N548" s="4" t="s">
        <v>499</v>
      </c>
      <c r="O548" s="4">
        <v>1</v>
      </c>
      <c r="P548" s="112" t="s">
        <v>1994</v>
      </c>
      <c r="Q548" s="4"/>
      <c r="R548" s="34">
        <v>45</v>
      </c>
      <c r="S548" s="4"/>
      <c r="T548" s="58">
        <v>0</v>
      </c>
      <c r="U548" s="36"/>
      <c r="V548" s="4"/>
      <c r="W548" s="4"/>
      <c r="X548" s="4"/>
    </row>
    <row r="549" spans="1:24" ht="15" thickBot="1">
      <c r="A549" s="4" t="s">
        <v>25</v>
      </c>
      <c r="B549" s="4" t="s">
        <v>26</v>
      </c>
      <c r="C549" s="4" t="s">
        <v>27</v>
      </c>
      <c r="D549" s="4" t="s">
        <v>28</v>
      </c>
      <c r="E549" s="4" t="s">
        <v>29</v>
      </c>
      <c r="F549" s="31">
        <v>46006</v>
      </c>
      <c r="G549" s="4"/>
      <c r="H549" s="4" t="s">
        <v>1995</v>
      </c>
      <c r="I549" s="4" t="s">
        <v>1996</v>
      </c>
      <c r="J549" s="4" t="s">
        <v>1648</v>
      </c>
      <c r="K549" s="4" t="s">
        <v>33</v>
      </c>
      <c r="L549" s="4" t="s">
        <v>1997</v>
      </c>
      <c r="M549" s="4"/>
      <c r="N549" s="4" t="s">
        <v>499</v>
      </c>
      <c r="O549" s="4">
        <v>1</v>
      </c>
      <c r="P549" s="112"/>
      <c r="Q549" s="4"/>
      <c r="R549" s="34">
        <v>45</v>
      </c>
      <c r="S549" s="4"/>
      <c r="T549" s="58">
        <v>0</v>
      </c>
      <c r="U549" s="36"/>
      <c r="V549" s="4"/>
      <c r="W549" s="4"/>
      <c r="X549" s="4"/>
    </row>
    <row r="550" spans="1:24" ht="15" thickBot="1">
      <c r="A550" s="4" t="s">
        <v>25</v>
      </c>
      <c r="B550" s="4" t="s">
        <v>26</v>
      </c>
      <c r="C550" s="4" t="s">
        <v>27</v>
      </c>
      <c r="D550" s="4" t="s">
        <v>28</v>
      </c>
      <c r="E550" s="4" t="s">
        <v>29</v>
      </c>
      <c r="F550" s="31">
        <v>46006</v>
      </c>
      <c r="G550" s="4"/>
      <c r="H550" s="4" t="s">
        <v>1998</v>
      </c>
      <c r="I550" s="4" t="s">
        <v>1999</v>
      </c>
      <c r="J550" s="4" t="s">
        <v>1980</v>
      </c>
      <c r="K550" s="4" t="s">
        <v>48</v>
      </c>
      <c r="L550" s="4" t="s">
        <v>1992</v>
      </c>
      <c r="M550" s="4"/>
      <c r="N550" s="4" t="s">
        <v>499</v>
      </c>
      <c r="O550" s="4">
        <v>1</v>
      </c>
      <c r="P550" s="112"/>
      <c r="Q550" s="4"/>
      <c r="R550" s="34">
        <v>45</v>
      </c>
      <c r="S550" s="4"/>
      <c r="T550" s="58">
        <v>0</v>
      </c>
      <c r="U550" s="36"/>
      <c r="V550" s="4"/>
      <c r="W550" s="4"/>
      <c r="X550" s="4"/>
    </row>
    <row r="551" spans="1:24" ht="15" thickBot="1">
      <c r="A551" s="4" t="s">
        <v>25</v>
      </c>
      <c r="B551" s="4" t="s">
        <v>26</v>
      </c>
      <c r="C551" s="4" t="s">
        <v>27</v>
      </c>
      <c r="D551" s="4" t="s">
        <v>28</v>
      </c>
      <c r="E551" s="4" t="s">
        <v>29</v>
      </c>
      <c r="F551" s="31">
        <v>46006</v>
      </c>
      <c r="G551" s="4"/>
      <c r="H551" s="4" t="s">
        <v>738</v>
      </c>
      <c r="I551" s="4" t="s">
        <v>739</v>
      </c>
      <c r="J551" s="4" t="s">
        <v>1648</v>
      </c>
      <c r="K551" s="4" t="s">
        <v>33</v>
      </c>
      <c r="L551" s="4" t="s">
        <v>2000</v>
      </c>
      <c r="M551" s="4" t="s">
        <v>1989</v>
      </c>
      <c r="N551" s="31" t="s">
        <v>36</v>
      </c>
      <c r="O551" s="4">
        <v>1</v>
      </c>
      <c r="P551" s="112"/>
      <c r="Q551" s="4" t="s">
        <v>457</v>
      </c>
      <c r="R551" s="34">
        <v>45</v>
      </c>
      <c r="S551" s="34">
        <v>163.75</v>
      </c>
      <c r="T551" s="58">
        <f>SUM(R551:S551)</f>
        <v>208.75</v>
      </c>
      <c r="U551" s="36">
        <v>46038</v>
      </c>
      <c r="V551" s="4"/>
      <c r="W551" s="122" t="s">
        <v>789</v>
      </c>
      <c r="X551" s="4"/>
    </row>
    <row r="552" spans="1:24" ht="15" thickBot="1">
      <c r="A552" s="4" t="s">
        <v>154</v>
      </c>
      <c r="B552" s="4" t="s">
        <v>155</v>
      </c>
      <c r="C552" s="4">
        <v>616866669</v>
      </c>
      <c r="D552" s="4" t="s">
        <v>156</v>
      </c>
      <c r="E552" s="4" t="s">
        <v>599</v>
      </c>
      <c r="F552" s="31">
        <v>46013</v>
      </c>
      <c r="G552" s="4"/>
      <c r="H552" s="4" t="s">
        <v>2001</v>
      </c>
      <c r="I552" s="4" t="s">
        <v>2002</v>
      </c>
      <c r="J552" s="4" t="s">
        <v>2003</v>
      </c>
      <c r="K552" s="4" t="s">
        <v>33</v>
      </c>
      <c r="L552" s="4" t="s">
        <v>2004</v>
      </c>
      <c r="M552" s="4"/>
      <c r="N552" s="4" t="s">
        <v>499</v>
      </c>
      <c r="O552" s="4">
        <v>1</v>
      </c>
      <c r="P552" s="112"/>
      <c r="Q552" s="4"/>
      <c r="R552" s="34">
        <v>45</v>
      </c>
      <c r="S552" s="4"/>
      <c r="T552" s="58">
        <v>0</v>
      </c>
      <c r="U552" s="4"/>
      <c r="V552" s="4"/>
      <c r="W552" s="4"/>
      <c r="X552" s="4" t="s">
        <v>2005</v>
      </c>
    </row>
    <row r="553" spans="1:24" ht="15" thickBot="1">
      <c r="A553" s="4" t="s">
        <v>154</v>
      </c>
      <c r="B553" s="4" t="s">
        <v>155</v>
      </c>
      <c r="C553" s="4">
        <v>616866669</v>
      </c>
      <c r="D553" s="4" t="s">
        <v>156</v>
      </c>
      <c r="E553" s="4" t="s">
        <v>599</v>
      </c>
      <c r="F553" s="31">
        <v>46013</v>
      </c>
      <c r="G553" s="4"/>
      <c r="H553" s="4" t="s">
        <v>2006</v>
      </c>
      <c r="I553" s="4" t="s">
        <v>2007</v>
      </c>
      <c r="J553" s="4" t="s">
        <v>2059</v>
      </c>
      <c r="K553" s="4" t="s">
        <v>33</v>
      </c>
      <c r="L553" s="4" t="s">
        <v>631</v>
      </c>
      <c r="M553" s="4" t="s">
        <v>66</v>
      </c>
      <c r="N553" s="4" t="s">
        <v>36</v>
      </c>
      <c r="O553" s="4">
        <v>1</v>
      </c>
      <c r="P553" s="112"/>
      <c r="Q553" s="4" t="s">
        <v>66</v>
      </c>
      <c r="R553" s="34">
        <v>45</v>
      </c>
      <c r="S553" s="34">
        <v>120</v>
      </c>
      <c r="T553" s="58">
        <f t="shared" ref="T553" si="56">SUM(R553:S553)</f>
        <v>165</v>
      </c>
      <c r="U553" s="36">
        <v>46122</v>
      </c>
      <c r="V553" s="4"/>
      <c r="W553" s="4"/>
      <c r="X553" s="4"/>
    </row>
    <row r="554" spans="1:24" ht="15" thickBot="1">
      <c r="A554" s="4" t="s">
        <v>154</v>
      </c>
      <c r="B554" s="4" t="s">
        <v>155</v>
      </c>
      <c r="C554" s="4">
        <v>616866669</v>
      </c>
      <c r="D554" s="4" t="s">
        <v>156</v>
      </c>
      <c r="E554" s="4" t="s">
        <v>599</v>
      </c>
      <c r="F554" s="31">
        <v>46013</v>
      </c>
      <c r="G554" s="4"/>
      <c r="H554" s="4" t="s">
        <v>303</v>
      </c>
      <c r="I554" s="4" t="s">
        <v>304</v>
      </c>
      <c r="J554" s="4" t="s">
        <v>2008</v>
      </c>
      <c r="K554" s="4" t="s">
        <v>33</v>
      </c>
      <c r="L554" s="4" t="s">
        <v>2009</v>
      </c>
      <c r="M554" s="4" t="s">
        <v>251</v>
      </c>
      <c r="N554" s="4" t="s">
        <v>36</v>
      </c>
      <c r="O554" s="4">
        <v>1</v>
      </c>
      <c r="P554" s="112"/>
      <c r="Q554" s="4" t="s">
        <v>261</v>
      </c>
      <c r="R554" s="34">
        <v>45</v>
      </c>
      <c r="S554" s="34">
        <v>215</v>
      </c>
      <c r="T554" s="58">
        <f>SUM(R554:S554)</f>
        <v>260</v>
      </c>
      <c r="U554" s="36">
        <v>46122</v>
      </c>
      <c r="V554" s="4"/>
      <c r="W554" s="4"/>
      <c r="X554" s="4" t="s">
        <v>3714</v>
      </c>
    </row>
    <row r="555" spans="1:24" ht="15" thickBot="1">
      <c r="A555" s="4" t="s">
        <v>154</v>
      </c>
      <c r="B555" s="4" t="s">
        <v>155</v>
      </c>
      <c r="C555" s="4">
        <v>616866669</v>
      </c>
      <c r="D555" s="4" t="s">
        <v>156</v>
      </c>
      <c r="E555" s="4" t="s">
        <v>599</v>
      </c>
      <c r="F555" s="31">
        <v>46013</v>
      </c>
      <c r="G555" s="4"/>
      <c r="H555" s="4" t="s">
        <v>2010</v>
      </c>
      <c r="I555" s="4" t="s">
        <v>2011</v>
      </c>
      <c r="J555" s="4" t="s">
        <v>2008</v>
      </c>
      <c r="K555" s="4" t="s">
        <v>33</v>
      </c>
      <c r="L555" s="4" t="s">
        <v>2012</v>
      </c>
      <c r="M555" s="4" t="s">
        <v>457</v>
      </c>
      <c r="N555" s="4" t="s">
        <v>36</v>
      </c>
      <c r="O555" s="4">
        <v>1</v>
      </c>
      <c r="P555" s="112"/>
      <c r="Q555" s="4" t="s">
        <v>457</v>
      </c>
      <c r="R555" s="34">
        <v>45</v>
      </c>
      <c r="S555" s="34">
        <v>163.75</v>
      </c>
      <c r="T555" s="58">
        <f>SUM(R555:S555)</f>
        <v>208.75</v>
      </c>
      <c r="U555" s="36">
        <v>46122</v>
      </c>
      <c r="V555" s="4"/>
      <c r="W555" s="4"/>
      <c r="X555" s="4"/>
    </row>
    <row r="556" spans="1:24" ht="15" thickBot="1">
      <c r="A556" s="4" t="s">
        <v>154</v>
      </c>
      <c r="B556" s="4" t="s">
        <v>155</v>
      </c>
      <c r="C556" s="4">
        <v>616866669</v>
      </c>
      <c r="D556" s="4" t="s">
        <v>156</v>
      </c>
      <c r="E556" s="4" t="s">
        <v>599</v>
      </c>
      <c r="F556" s="31">
        <v>46013</v>
      </c>
      <c r="G556" s="4"/>
      <c r="H556" s="4" t="s">
        <v>2013</v>
      </c>
      <c r="I556" s="4" t="s">
        <v>2014</v>
      </c>
      <c r="J556" s="4" t="s">
        <v>2015</v>
      </c>
      <c r="K556" s="4" t="s">
        <v>48</v>
      </c>
      <c r="L556" s="4" t="s">
        <v>351</v>
      </c>
      <c r="M556" s="4" t="s">
        <v>3690</v>
      </c>
      <c r="N556" s="4" t="s">
        <v>36</v>
      </c>
      <c r="O556" s="4">
        <v>1</v>
      </c>
      <c r="P556" s="112"/>
      <c r="Q556" s="4" t="s">
        <v>3691</v>
      </c>
      <c r="R556" s="34">
        <v>45</v>
      </c>
      <c r="S556" s="34">
        <v>160</v>
      </c>
      <c r="T556" s="58">
        <f>SUM(R556:S556)</f>
        <v>205</v>
      </c>
      <c r="U556" s="36">
        <v>46122</v>
      </c>
      <c r="V556" s="4"/>
      <c r="W556" s="4"/>
      <c r="X556" s="4"/>
    </row>
    <row r="557" spans="1:24" ht="15" thickBot="1">
      <c r="A557" s="4" t="s">
        <v>154</v>
      </c>
      <c r="B557" s="4" t="s">
        <v>155</v>
      </c>
      <c r="C557" s="4">
        <v>616866669</v>
      </c>
      <c r="D557" s="4" t="s">
        <v>156</v>
      </c>
      <c r="E557" s="4" t="s">
        <v>599</v>
      </c>
      <c r="F557" s="31">
        <v>46013</v>
      </c>
      <c r="G557" s="4"/>
      <c r="H557" s="4" t="s">
        <v>2016</v>
      </c>
      <c r="I557" s="4" t="s">
        <v>2017</v>
      </c>
      <c r="J557" s="4" t="s">
        <v>2018</v>
      </c>
      <c r="K557" s="4" t="s">
        <v>48</v>
      </c>
      <c r="L557" s="4" t="s">
        <v>2019</v>
      </c>
      <c r="M557" s="4"/>
      <c r="N557" s="4" t="s">
        <v>499</v>
      </c>
      <c r="O557" s="4">
        <v>1</v>
      </c>
      <c r="P557" s="112"/>
      <c r="Q557" s="4"/>
      <c r="R557" s="34">
        <v>45</v>
      </c>
      <c r="S557" s="4"/>
      <c r="T557" s="58">
        <v>0</v>
      </c>
      <c r="U557" s="4"/>
      <c r="V557" s="4"/>
      <c r="W557" s="4"/>
      <c r="X557" s="4" t="s">
        <v>2005</v>
      </c>
    </row>
    <row r="558" spans="1:24" ht="15" thickBot="1">
      <c r="A558" s="4" t="s">
        <v>154</v>
      </c>
      <c r="B558" s="4" t="s">
        <v>155</v>
      </c>
      <c r="C558" s="4">
        <v>616866669</v>
      </c>
      <c r="D558" s="4" t="s">
        <v>156</v>
      </c>
      <c r="E558" s="4" t="s">
        <v>599</v>
      </c>
      <c r="F558" s="31">
        <v>46013</v>
      </c>
      <c r="G558" s="4"/>
      <c r="H558" s="4" t="s">
        <v>2020</v>
      </c>
      <c r="I558" s="4" t="s">
        <v>2021</v>
      </c>
      <c r="J558" s="4" t="s">
        <v>2022</v>
      </c>
      <c r="K558" s="4" t="s">
        <v>48</v>
      </c>
      <c r="L558" s="4" t="s">
        <v>1086</v>
      </c>
      <c r="M558" s="4"/>
      <c r="N558" s="4" t="s">
        <v>499</v>
      </c>
      <c r="O558" s="4">
        <v>1</v>
      </c>
      <c r="P558" s="112"/>
      <c r="Q558" s="4"/>
      <c r="R558" s="34">
        <v>45</v>
      </c>
      <c r="S558" s="4"/>
      <c r="T558" s="58">
        <v>0</v>
      </c>
      <c r="U558" s="4"/>
      <c r="V558" s="4"/>
      <c r="W558" s="4"/>
      <c r="X558" s="4" t="s">
        <v>2005</v>
      </c>
    </row>
    <row r="559" spans="1:24" ht="15" thickBot="1">
      <c r="A559" s="4" t="s">
        <v>154</v>
      </c>
      <c r="B559" s="4" t="s">
        <v>155</v>
      </c>
      <c r="C559" s="4">
        <v>616866669</v>
      </c>
      <c r="D559" s="4" t="s">
        <v>156</v>
      </c>
      <c r="E559" s="4" t="s">
        <v>599</v>
      </c>
      <c r="F559" s="31">
        <v>46013</v>
      </c>
      <c r="G559" s="4"/>
      <c r="H559" s="4" t="s">
        <v>2023</v>
      </c>
      <c r="I559" s="4" t="s">
        <v>2024</v>
      </c>
      <c r="J559" s="4" t="s">
        <v>2008</v>
      </c>
      <c r="K559" s="4" t="s">
        <v>33</v>
      </c>
      <c r="L559" s="4" t="s">
        <v>319</v>
      </c>
      <c r="M559" s="4" t="s">
        <v>251</v>
      </c>
      <c r="N559" s="4" t="s">
        <v>36</v>
      </c>
      <c r="O559" s="4">
        <v>1</v>
      </c>
      <c r="P559" s="112"/>
      <c r="Q559" s="4" t="s">
        <v>251</v>
      </c>
      <c r="R559" s="34">
        <v>45</v>
      </c>
      <c r="S559" s="34">
        <v>215</v>
      </c>
      <c r="T559" s="58">
        <f>SUM(R559:S559)</f>
        <v>260</v>
      </c>
      <c r="U559" s="36">
        <v>46122</v>
      </c>
      <c r="V559" s="4"/>
      <c r="W559" s="4"/>
      <c r="X559" s="4" t="s">
        <v>3714</v>
      </c>
    </row>
    <row r="560" spans="1:24" ht="15" thickBot="1">
      <c r="A560" s="4" t="s">
        <v>154</v>
      </c>
      <c r="B560" s="4" t="s">
        <v>155</v>
      </c>
      <c r="C560" s="4">
        <v>616866669</v>
      </c>
      <c r="D560" s="4" t="s">
        <v>156</v>
      </c>
      <c r="E560" s="4" t="s">
        <v>599</v>
      </c>
      <c r="F560" s="31">
        <v>46013</v>
      </c>
      <c r="G560" s="4"/>
      <c r="H560" s="4" t="s">
        <v>2025</v>
      </c>
      <c r="I560" s="4" t="s">
        <v>2026</v>
      </c>
      <c r="J560" s="4" t="s">
        <v>2008</v>
      </c>
      <c r="K560" s="4" t="s">
        <v>33</v>
      </c>
      <c r="L560" s="4" t="s">
        <v>631</v>
      </c>
      <c r="M560" s="4" t="s">
        <v>3736</v>
      </c>
      <c r="N560" s="4" t="s">
        <v>36</v>
      </c>
      <c r="O560" s="4">
        <v>1</v>
      </c>
      <c r="P560" s="112"/>
      <c r="Q560" s="4" t="s">
        <v>3736</v>
      </c>
      <c r="R560" s="34">
        <v>45</v>
      </c>
      <c r="S560" s="34">
        <v>271.75</v>
      </c>
      <c r="T560" s="58">
        <f>SUM(R560:S560)</f>
        <v>316.75</v>
      </c>
      <c r="U560" s="36">
        <v>46122</v>
      </c>
      <c r="V560" s="4"/>
      <c r="W560" s="4"/>
      <c r="X560" s="4"/>
    </row>
    <row r="561" spans="1:24" ht="15" thickBot="1">
      <c r="A561" s="4" t="s">
        <v>154</v>
      </c>
      <c r="B561" s="4" t="s">
        <v>155</v>
      </c>
      <c r="C561" s="4">
        <v>616866669</v>
      </c>
      <c r="D561" s="4" t="s">
        <v>156</v>
      </c>
      <c r="E561" s="4" t="s">
        <v>599</v>
      </c>
      <c r="F561" s="31">
        <v>46013</v>
      </c>
      <c r="G561" s="4"/>
      <c r="H561" s="4" t="s">
        <v>2027</v>
      </c>
      <c r="I561" s="4" t="s">
        <v>125</v>
      </c>
      <c r="J561" s="4" t="s">
        <v>2008</v>
      </c>
      <c r="K561" s="4" t="s">
        <v>33</v>
      </c>
      <c r="L561" s="4" t="s">
        <v>1561</v>
      </c>
      <c r="M561" s="4" t="s">
        <v>3743</v>
      </c>
      <c r="N561" s="4" t="s">
        <v>36</v>
      </c>
      <c r="O561" s="4">
        <v>1</v>
      </c>
      <c r="P561" s="112"/>
      <c r="Q561" s="4" t="s">
        <v>3737</v>
      </c>
      <c r="R561" s="34">
        <v>45</v>
      </c>
      <c r="S561" s="34">
        <v>378.75</v>
      </c>
      <c r="T561" s="58">
        <f>SUM(R561:S561)</f>
        <v>423.75</v>
      </c>
      <c r="U561" s="36">
        <v>46122</v>
      </c>
      <c r="V561" s="4"/>
      <c r="W561" s="122" t="s">
        <v>789</v>
      </c>
      <c r="X561" s="4" t="s">
        <v>3714</v>
      </c>
    </row>
    <row r="562" spans="1:24" ht="15" thickBot="1">
      <c r="A562" s="4" t="s">
        <v>154</v>
      </c>
      <c r="B562" s="4" t="s">
        <v>155</v>
      </c>
      <c r="C562" s="4">
        <v>616866669</v>
      </c>
      <c r="D562" s="4" t="s">
        <v>156</v>
      </c>
      <c r="E562" s="4" t="s">
        <v>599</v>
      </c>
      <c r="F562" s="31">
        <v>46013</v>
      </c>
      <c r="G562" s="4"/>
      <c r="H562" s="4" t="s">
        <v>2028</v>
      </c>
      <c r="I562" s="4" t="s">
        <v>2029</v>
      </c>
      <c r="J562" s="4" t="s">
        <v>2022</v>
      </c>
      <c r="K562" s="4" t="s">
        <v>48</v>
      </c>
      <c r="L562" s="4" t="s">
        <v>351</v>
      </c>
      <c r="M562" s="4"/>
      <c r="N562" s="4" t="s">
        <v>499</v>
      </c>
      <c r="O562" s="4">
        <v>1</v>
      </c>
      <c r="P562" s="112"/>
      <c r="Q562" s="4"/>
      <c r="R562" s="34">
        <v>45</v>
      </c>
      <c r="S562" s="4"/>
      <c r="T562" s="58">
        <v>0</v>
      </c>
      <c r="U562" s="4"/>
      <c r="V562" s="4"/>
      <c r="W562" s="4"/>
      <c r="X562" s="4" t="s">
        <v>2005</v>
      </c>
    </row>
    <row r="563" spans="1:24" ht="15" thickBot="1">
      <c r="A563" s="4" t="s">
        <v>154</v>
      </c>
      <c r="B563" s="4" t="s">
        <v>155</v>
      </c>
      <c r="C563" s="4">
        <v>616866669</v>
      </c>
      <c r="D563" s="4" t="s">
        <v>156</v>
      </c>
      <c r="E563" s="4" t="s">
        <v>599</v>
      </c>
      <c r="F563" s="31">
        <v>46013</v>
      </c>
      <c r="G563" s="4"/>
      <c r="H563" s="4" t="s">
        <v>2030</v>
      </c>
      <c r="I563" s="4" t="s">
        <v>2031</v>
      </c>
      <c r="J563" s="4" t="s">
        <v>2008</v>
      </c>
      <c r="K563" s="4" t="s">
        <v>33</v>
      </c>
      <c r="L563" s="4" t="s">
        <v>241</v>
      </c>
      <c r="M563" s="4"/>
      <c r="N563" s="4" t="s">
        <v>499</v>
      </c>
      <c r="O563" s="4">
        <v>1</v>
      </c>
      <c r="P563" s="112"/>
      <c r="Q563" s="4"/>
      <c r="R563" s="34">
        <v>45</v>
      </c>
      <c r="S563" s="4"/>
      <c r="T563" s="58">
        <v>0</v>
      </c>
      <c r="U563" s="4"/>
      <c r="V563" s="4"/>
      <c r="W563" s="4"/>
      <c r="X563" s="4" t="s">
        <v>2005</v>
      </c>
    </row>
    <row r="564" spans="1:24" ht="15" thickBot="1">
      <c r="A564" s="4" t="s">
        <v>154</v>
      </c>
      <c r="B564" s="4" t="s">
        <v>155</v>
      </c>
      <c r="C564" s="4">
        <v>616866669</v>
      </c>
      <c r="D564" s="4" t="s">
        <v>156</v>
      </c>
      <c r="E564" s="4" t="s">
        <v>599</v>
      </c>
      <c r="F564" s="31">
        <v>46013</v>
      </c>
      <c r="G564" s="4"/>
      <c r="H564" s="4" t="s">
        <v>2032</v>
      </c>
      <c r="I564" s="4" t="s">
        <v>2033</v>
      </c>
      <c r="J564" s="4" t="s">
        <v>2008</v>
      </c>
      <c r="K564" s="4" t="s">
        <v>33</v>
      </c>
      <c r="L564" s="4" t="s">
        <v>1171</v>
      </c>
      <c r="M564" s="127" t="s">
        <v>457</v>
      </c>
      <c r="N564" s="4" t="s">
        <v>36</v>
      </c>
      <c r="O564" s="4">
        <v>1</v>
      </c>
      <c r="P564" s="112"/>
      <c r="Q564" s="127" t="s">
        <v>457</v>
      </c>
      <c r="R564" s="34">
        <v>45</v>
      </c>
      <c r="S564" s="34">
        <v>163.75</v>
      </c>
      <c r="T564" s="58">
        <f>SUM(R564:S564)</f>
        <v>208.75</v>
      </c>
      <c r="U564" s="36">
        <v>46122</v>
      </c>
      <c r="V564" s="4"/>
      <c r="W564" s="4"/>
      <c r="X564" s="4"/>
    </row>
    <row r="565" spans="1:24" ht="15" thickBot="1">
      <c r="A565" s="4" t="s">
        <v>154</v>
      </c>
      <c r="B565" s="4" t="s">
        <v>155</v>
      </c>
      <c r="C565" s="4">
        <v>616866669</v>
      </c>
      <c r="D565" s="4" t="s">
        <v>156</v>
      </c>
      <c r="E565" s="4" t="s">
        <v>599</v>
      </c>
      <c r="F565" s="31">
        <v>46013</v>
      </c>
      <c r="G565" s="4"/>
      <c r="H565" s="4" t="s">
        <v>2034</v>
      </c>
      <c r="I565" s="4" t="s">
        <v>2035</v>
      </c>
      <c r="J565" s="4" t="s">
        <v>2008</v>
      </c>
      <c r="K565" s="4" t="s">
        <v>33</v>
      </c>
      <c r="L565" s="4" t="s">
        <v>319</v>
      </c>
      <c r="M565" s="4"/>
      <c r="N565" s="4" t="s">
        <v>499</v>
      </c>
      <c r="O565" s="4">
        <v>1</v>
      </c>
      <c r="P565" s="112"/>
      <c r="Q565" s="4"/>
      <c r="R565" s="34">
        <v>45</v>
      </c>
      <c r="S565" s="4"/>
      <c r="T565" s="58">
        <v>0</v>
      </c>
      <c r="U565" s="4"/>
      <c r="V565" s="4"/>
      <c r="W565" s="4"/>
      <c r="X565" s="4" t="s">
        <v>2005</v>
      </c>
    </row>
    <row r="566" spans="1:24" ht="15" thickBot="1">
      <c r="A566" s="4" t="s">
        <v>154</v>
      </c>
      <c r="B566" s="4" t="s">
        <v>155</v>
      </c>
      <c r="C566" s="4">
        <v>616866669</v>
      </c>
      <c r="D566" s="4" t="s">
        <v>156</v>
      </c>
      <c r="E566" s="4" t="s">
        <v>599</v>
      </c>
      <c r="F566" s="31">
        <v>46013</v>
      </c>
      <c r="G566" s="4"/>
      <c r="H566" s="4" t="s">
        <v>2036</v>
      </c>
      <c r="I566" s="4" t="s">
        <v>2037</v>
      </c>
      <c r="J566" s="4" t="s">
        <v>2038</v>
      </c>
      <c r="K566" s="4" t="s">
        <v>33</v>
      </c>
      <c r="L566" s="4" t="s">
        <v>631</v>
      </c>
      <c r="M566" s="4" t="s">
        <v>66</v>
      </c>
      <c r="N566" s="4" t="s">
        <v>499</v>
      </c>
      <c r="O566" s="4">
        <v>1</v>
      </c>
      <c r="P566" s="112"/>
      <c r="Q566" s="4" t="s">
        <v>66</v>
      </c>
      <c r="R566" s="34">
        <v>45</v>
      </c>
      <c r="S566" s="34">
        <v>120</v>
      </c>
      <c r="T566" s="58">
        <v>0</v>
      </c>
      <c r="U566" s="4"/>
      <c r="V566" s="4"/>
      <c r="W566" s="4"/>
      <c r="X566" s="4" t="s">
        <v>2005</v>
      </c>
    </row>
    <row r="567" spans="1:24" ht="15" thickBot="1">
      <c r="A567" s="4" t="s">
        <v>154</v>
      </c>
      <c r="B567" s="4" t="s">
        <v>155</v>
      </c>
      <c r="C567" s="4">
        <v>616866669</v>
      </c>
      <c r="D567" s="4" t="s">
        <v>156</v>
      </c>
      <c r="E567" s="4" t="s">
        <v>599</v>
      </c>
      <c r="F567" s="31">
        <v>46013</v>
      </c>
      <c r="G567" s="4"/>
      <c r="H567" s="4" t="s">
        <v>2039</v>
      </c>
      <c r="I567" s="4" t="s">
        <v>2040</v>
      </c>
      <c r="J567" s="4" t="s">
        <v>2008</v>
      </c>
      <c r="K567" s="4" t="s">
        <v>33</v>
      </c>
      <c r="L567" s="4" t="s">
        <v>2041</v>
      </c>
      <c r="M567" s="4"/>
      <c r="N567" s="4" t="s">
        <v>499</v>
      </c>
      <c r="O567" s="4">
        <v>1</v>
      </c>
      <c r="P567" s="112"/>
      <c r="Q567" s="4"/>
      <c r="R567" s="34">
        <v>45</v>
      </c>
      <c r="S567" s="4"/>
      <c r="T567" s="58">
        <v>0</v>
      </c>
      <c r="U567" s="4"/>
      <c r="V567" s="4"/>
      <c r="W567" s="4"/>
      <c r="X567" s="4" t="s">
        <v>2005</v>
      </c>
    </row>
    <row r="568" spans="1:24" ht="15" thickBot="1">
      <c r="A568" s="4" t="s">
        <v>154</v>
      </c>
      <c r="B568" s="4" t="s">
        <v>155</v>
      </c>
      <c r="C568" s="4">
        <v>616866669</v>
      </c>
      <c r="D568" s="4" t="s">
        <v>156</v>
      </c>
      <c r="E568" s="4" t="s">
        <v>599</v>
      </c>
      <c r="F568" s="31">
        <v>46013</v>
      </c>
      <c r="G568" s="4"/>
      <c r="H568" s="4" t="s">
        <v>2042</v>
      </c>
      <c r="I568" s="4" t="s">
        <v>2043</v>
      </c>
      <c r="J568" s="4" t="s">
        <v>2008</v>
      </c>
      <c r="K568" s="4" t="s">
        <v>33</v>
      </c>
      <c r="L568" s="4" t="s">
        <v>213</v>
      </c>
      <c r="M568" s="4" t="s">
        <v>474</v>
      </c>
      <c r="N568" s="4" t="s">
        <v>36</v>
      </c>
      <c r="O568" s="4">
        <v>1</v>
      </c>
      <c r="P568" s="112"/>
      <c r="Q568" s="4" t="s">
        <v>3719</v>
      </c>
      <c r="R568" s="34">
        <v>45</v>
      </c>
      <c r="S568" s="34">
        <v>183.75</v>
      </c>
      <c r="T568" s="58">
        <f>SUM(R568:S568)</f>
        <v>228.75</v>
      </c>
      <c r="U568" s="36">
        <v>46122</v>
      </c>
      <c r="V568" s="4"/>
      <c r="W568" s="4"/>
      <c r="X568" s="4"/>
    </row>
    <row r="569" spans="1:24" ht="15" thickBot="1">
      <c r="A569" s="4" t="s">
        <v>154</v>
      </c>
      <c r="B569" s="4" t="s">
        <v>155</v>
      </c>
      <c r="C569" s="4">
        <v>616866669</v>
      </c>
      <c r="D569" s="4" t="s">
        <v>156</v>
      </c>
      <c r="E569" s="4" t="s">
        <v>599</v>
      </c>
      <c r="F569" s="31">
        <v>46013</v>
      </c>
      <c r="G569" s="4"/>
      <c r="H569" s="4" t="s">
        <v>2044</v>
      </c>
      <c r="I569" s="4" t="s">
        <v>2045</v>
      </c>
      <c r="J569" s="4" t="s">
        <v>2008</v>
      </c>
      <c r="K569" s="4" t="s">
        <v>33</v>
      </c>
      <c r="L569" s="4" t="s">
        <v>301</v>
      </c>
      <c r="M569" s="4" t="s">
        <v>251</v>
      </c>
      <c r="N569" s="4" t="s">
        <v>36</v>
      </c>
      <c r="O569" s="4">
        <v>1</v>
      </c>
      <c r="P569" s="112"/>
      <c r="Q569" s="4" t="s">
        <v>251</v>
      </c>
      <c r="R569" s="34">
        <v>45</v>
      </c>
      <c r="S569" s="34">
        <v>215</v>
      </c>
      <c r="T569" s="58">
        <f>SUM(R569:S569)</f>
        <v>260</v>
      </c>
      <c r="U569" s="36">
        <v>46122</v>
      </c>
      <c r="V569" s="4"/>
      <c r="W569" s="4"/>
      <c r="X569" s="4" t="s">
        <v>3714</v>
      </c>
    </row>
    <row r="570" spans="1:24" ht="15" thickBot="1">
      <c r="A570" s="4" t="s">
        <v>154</v>
      </c>
      <c r="B570" s="4" t="s">
        <v>155</v>
      </c>
      <c r="C570" s="4">
        <v>616866669</v>
      </c>
      <c r="D570" s="4" t="s">
        <v>156</v>
      </c>
      <c r="E570" s="4" t="s">
        <v>599</v>
      </c>
      <c r="F570" s="31">
        <v>46013</v>
      </c>
      <c r="G570" s="4"/>
      <c r="H570" s="4" t="s">
        <v>2046</v>
      </c>
      <c r="I570" s="4" t="s">
        <v>2047</v>
      </c>
      <c r="J570" s="4" t="s">
        <v>2018</v>
      </c>
      <c r="K570" s="4" t="s">
        <v>48</v>
      </c>
      <c r="L570" s="4" t="s">
        <v>2048</v>
      </c>
      <c r="M570" s="4" t="s">
        <v>457</v>
      </c>
      <c r="N570" s="4" t="s">
        <v>499</v>
      </c>
      <c r="O570" s="4">
        <v>1</v>
      </c>
      <c r="P570" s="112"/>
      <c r="Q570" s="4" t="s">
        <v>457</v>
      </c>
      <c r="R570" s="34">
        <v>45</v>
      </c>
      <c r="S570" s="4"/>
      <c r="T570" s="58">
        <v>0</v>
      </c>
      <c r="U570" s="4"/>
      <c r="V570" s="4"/>
      <c r="W570" s="4"/>
      <c r="X570" s="4" t="s">
        <v>2005</v>
      </c>
    </row>
    <row r="571" spans="1:24" ht="15" thickBot="1">
      <c r="A571" s="4" t="s">
        <v>154</v>
      </c>
      <c r="B571" s="4" t="s">
        <v>155</v>
      </c>
      <c r="C571" s="4">
        <v>616866669</v>
      </c>
      <c r="D571" s="4" t="s">
        <v>156</v>
      </c>
      <c r="E571" s="4" t="s">
        <v>599</v>
      </c>
      <c r="F571" s="31">
        <v>46013</v>
      </c>
      <c r="G571" s="4"/>
      <c r="H571" s="4" t="s">
        <v>2049</v>
      </c>
      <c r="I571" s="4" t="s">
        <v>2050</v>
      </c>
      <c r="J571" s="4" t="s">
        <v>2018</v>
      </c>
      <c r="K571" s="4" t="s">
        <v>48</v>
      </c>
      <c r="L571" s="4" t="s">
        <v>2051</v>
      </c>
      <c r="M571" s="4"/>
      <c r="N571" s="4" t="s">
        <v>499</v>
      </c>
      <c r="O571" s="4">
        <v>1</v>
      </c>
      <c r="P571" s="112"/>
      <c r="Q571" s="4"/>
      <c r="R571" s="34">
        <v>45</v>
      </c>
      <c r="S571" s="4"/>
      <c r="T571" s="58">
        <v>0</v>
      </c>
      <c r="U571" s="4"/>
      <c r="V571" s="4"/>
      <c r="W571" s="4"/>
      <c r="X571" s="4" t="s">
        <v>2005</v>
      </c>
    </row>
    <row r="572" spans="1:24" ht="15" thickBot="1">
      <c r="A572" s="4" t="s">
        <v>154</v>
      </c>
      <c r="B572" s="4" t="s">
        <v>155</v>
      </c>
      <c r="C572" s="4">
        <v>616866669</v>
      </c>
      <c r="D572" s="4" t="s">
        <v>156</v>
      </c>
      <c r="E572" s="4" t="s">
        <v>599</v>
      </c>
      <c r="F572" s="31">
        <v>46013</v>
      </c>
      <c r="G572" s="4"/>
      <c r="H572" s="4" t="s">
        <v>2052</v>
      </c>
      <c r="I572" s="4" t="s">
        <v>2053</v>
      </c>
      <c r="J572" s="4" t="s">
        <v>2008</v>
      </c>
      <c r="K572" s="4" t="s">
        <v>33</v>
      </c>
      <c r="L572" s="4" t="s">
        <v>319</v>
      </c>
      <c r="M572" s="4"/>
      <c r="N572" s="4" t="s">
        <v>499</v>
      </c>
      <c r="O572" s="4">
        <v>1</v>
      </c>
      <c r="P572" s="112"/>
      <c r="Q572" s="4"/>
      <c r="R572" s="34">
        <v>45</v>
      </c>
      <c r="S572" s="4"/>
      <c r="T572" s="58">
        <v>0</v>
      </c>
      <c r="U572" s="4"/>
      <c r="V572" s="4"/>
      <c r="W572" s="4"/>
      <c r="X572" s="4" t="s">
        <v>2005</v>
      </c>
    </row>
    <row r="573" spans="1:24" ht="15" thickBot="1">
      <c r="A573" s="4" t="s">
        <v>154</v>
      </c>
      <c r="B573" s="4" t="s">
        <v>155</v>
      </c>
      <c r="C573" s="4">
        <v>616866669</v>
      </c>
      <c r="D573" s="4" t="s">
        <v>156</v>
      </c>
      <c r="E573" s="4" t="s">
        <v>599</v>
      </c>
      <c r="F573" s="31">
        <v>46013</v>
      </c>
      <c r="G573" s="4"/>
      <c r="H573" s="4" t="s">
        <v>2054</v>
      </c>
      <c r="I573" s="4" t="s">
        <v>2055</v>
      </c>
      <c r="J573" s="4" t="s">
        <v>2008</v>
      </c>
      <c r="K573" s="4" t="s">
        <v>33</v>
      </c>
      <c r="L573" s="4" t="s">
        <v>2056</v>
      </c>
      <c r="M573" s="4" t="s">
        <v>3835</v>
      </c>
      <c r="N573" s="4" t="s">
        <v>499</v>
      </c>
      <c r="O573" s="4">
        <v>1</v>
      </c>
      <c r="P573" s="112"/>
      <c r="Q573" s="4"/>
      <c r="R573" s="34">
        <v>45</v>
      </c>
      <c r="S573" s="4"/>
      <c r="T573" s="58">
        <v>0</v>
      </c>
      <c r="U573" s="4"/>
      <c r="V573" s="4"/>
      <c r="W573" s="4"/>
      <c r="X573" s="4" t="s">
        <v>2005</v>
      </c>
    </row>
    <row r="574" spans="1:24" ht="15" thickBot="1">
      <c r="A574" s="4" t="s">
        <v>154</v>
      </c>
      <c r="B574" s="4" t="s">
        <v>155</v>
      </c>
      <c r="C574" s="4">
        <v>616866669</v>
      </c>
      <c r="D574" s="4" t="s">
        <v>156</v>
      </c>
      <c r="E574" s="4" t="s">
        <v>599</v>
      </c>
      <c r="F574" s="31">
        <v>46013</v>
      </c>
      <c r="G574" s="4"/>
      <c r="H574" s="4" t="s">
        <v>2057</v>
      </c>
      <c r="I574" s="4" t="s">
        <v>2058</v>
      </c>
      <c r="J574" s="4" t="s">
        <v>2003</v>
      </c>
      <c r="K574" s="4" t="s">
        <v>33</v>
      </c>
      <c r="L574" s="4" t="s">
        <v>319</v>
      </c>
      <c r="M574" s="4"/>
      <c r="N574" s="4" t="s">
        <v>499</v>
      </c>
      <c r="O574" s="4">
        <v>1</v>
      </c>
      <c r="P574" s="112"/>
      <c r="Q574" s="4"/>
      <c r="R574" s="34">
        <v>45</v>
      </c>
      <c r="S574" s="4"/>
      <c r="T574" s="58">
        <v>0</v>
      </c>
      <c r="U574" s="4"/>
      <c r="V574" s="4"/>
      <c r="W574" s="4"/>
      <c r="X574" s="4" t="s">
        <v>2005</v>
      </c>
    </row>
    <row r="575" spans="1:24" ht="15" thickBot="1">
      <c r="A575" s="4" t="s">
        <v>154</v>
      </c>
      <c r="B575" s="4" t="s">
        <v>155</v>
      </c>
      <c r="C575" s="4">
        <v>616866669</v>
      </c>
      <c r="D575" s="4" t="s">
        <v>156</v>
      </c>
      <c r="E575" s="4" t="s">
        <v>599</v>
      </c>
      <c r="F575" s="31">
        <v>46013</v>
      </c>
      <c r="G575" s="4"/>
      <c r="H575" s="4" t="s">
        <v>943</v>
      </c>
      <c r="I575" s="4" t="s">
        <v>944</v>
      </c>
      <c r="J575" s="4" t="s">
        <v>2059</v>
      </c>
      <c r="K575" s="4" t="s">
        <v>33</v>
      </c>
      <c r="L575" s="4" t="s">
        <v>547</v>
      </c>
      <c r="M575" s="4" t="s">
        <v>251</v>
      </c>
      <c r="N575" s="4" t="s">
        <v>36</v>
      </c>
      <c r="O575" s="4">
        <v>1</v>
      </c>
      <c r="P575" s="112"/>
      <c r="Q575" s="4" t="s">
        <v>251</v>
      </c>
      <c r="R575" s="34">
        <v>45</v>
      </c>
      <c r="S575" s="34">
        <v>215</v>
      </c>
      <c r="T575" s="58">
        <f>SUM(R575:S575)</f>
        <v>260</v>
      </c>
      <c r="U575" s="36">
        <v>46122</v>
      </c>
      <c r="V575" s="4"/>
      <c r="W575" s="122" t="s">
        <v>789</v>
      </c>
      <c r="X575" s="4" t="s">
        <v>3714</v>
      </c>
    </row>
    <row r="576" spans="1:24" ht="15" thickBot="1">
      <c r="A576" s="4" t="s">
        <v>154</v>
      </c>
      <c r="B576" s="4" t="s">
        <v>155</v>
      </c>
      <c r="C576" s="4">
        <v>616866669</v>
      </c>
      <c r="D576" s="4" t="s">
        <v>156</v>
      </c>
      <c r="E576" s="4" t="s">
        <v>599</v>
      </c>
      <c r="F576" s="31">
        <v>46013</v>
      </c>
      <c r="G576" s="4"/>
      <c r="H576" s="4" t="s">
        <v>2060</v>
      </c>
      <c r="I576" s="4" t="s">
        <v>2061</v>
      </c>
      <c r="J576" s="4" t="s">
        <v>3425</v>
      </c>
      <c r="K576" s="4" t="s">
        <v>48</v>
      </c>
      <c r="L576" s="4" t="s">
        <v>2062</v>
      </c>
      <c r="M576" s="4"/>
      <c r="N576" s="4" t="s">
        <v>499</v>
      </c>
      <c r="O576" s="4">
        <v>1</v>
      </c>
      <c r="P576" s="112"/>
      <c r="Q576" s="4"/>
      <c r="R576" s="34">
        <v>45</v>
      </c>
      <c r="S576" s="4"/>
      <c r="T576" s="58">
        <v>0</v>
      </c>
      <c r="U576" s="4"/>
      <c r="V576" s="4"/>
      <c r="W576" s="4"/>
      <c r="X576" s="4" t="s">
        <v>2005</v>
      </c>
    </row>
    <row r="577" spans="1:24" ht="21.75" customHeight="1" thickBot="1">
      <c r="A577" s="4" t="s">
        <v>25</v>
      </c>
      <c r="B577" s="4" t="s">
        <v>26</v>
      </c>
      <c r="C577" s="4" t="s">
        <v>27</v>
      </c>
      <c r="D577" s="4" t="s">
        <v>28</v>
      </c>
      <c r="E577" s="4" t="s">
        <v>29</v>
      </c>
      <c r="F577" s="31">
        <v>46361</v>
      </c>
      <c r="G577" s="4"/>
      <c r="H577" s="4" t="s">
        <v>2063</v>
      </c>
      <c r="I577" s="4" t="s">
        <v>1336</v>
      </c>
      <c r="J577" s="4" t="s">
        <v>160</v>
      </c>
      <c r="K577" s="4" t="s">
        <v>3234</v>
      </c>
      <c r="L577" s="4" t="s">
        <v>2064</v>
      </c>
      <c r="M577" s="4"/>
      <c r="N577" s="4" t="s">
        <v>36</v>
      </c>
      <c r="O577" s="4">
        <v>1</v>
      </c>
      <c r="P577" s="112"/>
      <c r="Q577" s="4" t="s">
        <v>1823</v>
      </c>
      <c r="R577" s="34">
        <v>45</v>
      </c>
      <c r="S577" s="58">
        <v>183.75</v>
      </c>
      <c r="T577" s="58">
        <f>SUM(R577:S577)</f>
        <v>228.75</v>
      </c>
      <c r="U577" s="126">
        <v>46072</v>
      </c>
      <c r="V577" s="4"/>
      <c r="W577" s="122" t="s">
        <v>789</v>
      </c>
      <c r="X577" s="4" t="s">
        <v>2065</v>
      </c>
    </row>
    <row r="578" spans="1:24" ht="21.75" customHeight="1" thickBot="1">
      <c r="A578" s="4" t="s">
        <v>25</v>
      </c>
      <c r="B578" s="4" t="s">
        <v>26</v>
      </c>
      <c r="C578" s="4" t="s">
        <v>27</v>
      </c>
      <c r="D578" s="4" t="s">
        <v>28</v>
      </c>
      <c r="E578" s="4" t="s">
        <v>29</v>
      </c>
      <c r="F578" s="31">
        <v>46361</v>
      </c>
      <c r="G578" s="4"/>
      <c r="H578" s="4" t="s">
        <v>1076</v>
      </c>
      <c r="I578" s="4" t="s">
        <v>1077</v>
      </c>
      <c r="J578" s="4" t="s">
        <v>2008</v>
      </c>
      <c r="K578" s="4" t="s">
        <v>33</v>
      </c>
      <c r="L578" s="4" t="s">
        <v>2064</v>
      </c>
      <c r="M578" s="4"/>
      <c r="N578" s="4" t="s">
        <v>36</v>
      </c>
      <c r="O578" s="4">
        <v>1</v>
      </c>
      <c r="P578" s="112"/>
      <c r="Q578" s="4" t="s">
        <v>3671</v>
      </c>
      <c r="R578" s="34">
        <v>0</v>
      </c>
      <c r="S578" s="58">
        <v>0</v>
      </c>
      <c r="T578" s="58">
        <f>SUM(R578:S578)</f>
        <v>0</v>
      </c>
      <c r="U578" s="36">
        <v>46122</v>
      </c>
      <c r="V578" s="4"/>
      <c r="W578" s="122" t="s">
        <v>789</v>
      </c>
      <c r="X578" s="4" t="s">
        <v>2066</v>
      </c>
    </row>
    <row r="579" spans="1:24" ht="16.5" customHeight="1" thickBot="1">
      <c r="A579" s="4" t="s">
        <v>25</v>
      </c>
      <c r="B579" s="4" t="s">
        <v>26</v>
      </c>
      <c r="C579" s="4" t="s">
        <v>27</v>
      </c>
      <c r="D579" s="4" t="s">
        <v>28</v>
      </c>
      <c r="E579" s="4" t="s">
        <v>29</v>
      </c>
      <c r="F579" s="31">
        <v>46361</v>
      </c>
      <c r="G579" s="4"/>
      <c r="H579" s="4" t="s">
        <v>2067</v>
      </c>
      <c r="I579" s="4" t="s">
        <v>1697</v>
      </c>
      <c r="J579" s="4" t="s">
        <v>2003</v>
      </c>
      <c r="K579" s="4" t="s">
        <v>33</v>
      </c>
      <c r="L579" s="4" t="s">
        <v>2068</v>
      </c>
      <c r="M579" s="4"/>
      <c r="N579" s="4" t="s">
        <v>499</v>
      </c>
      <c r="O579" s="4">
        <v>1</v>
      </c>
      <c r="P579" s="112"/>
      <c r="Q579" s="4"/>
      <c r="R579" s="34">
        <v>45</v>
      </c>
      <c r="S579" s="4"/>
      <c r="T579" s="58">
        <v>0</v>
      </c>
      <c r="U579" s="36"/>
      <c r="V579" s="4"/>
      <c r="W579" s="122" t="s">
        <v>789</v>
      </c>
      <c r="X579" s="4" t="s">
        <v>2069</v>
      </c>
    </row>
    <row r="580" spans="1:24" ht="15.75" customHeight="1" thickBot="1">
      <c r="A580" s="4" t="s">
        <v>25</v>
      </c>
      <c r="B580" s="4" t="s">
        <v>26</v>
      </c>
      <c r="C580" s="4" t="s">
        <v>27</v>
      </c>
      <c r="D580" s="4" t="s">
        <v>28</v>
      </c>
      <c r="E580" s="4" t="s">
        <v>29</v>
      </c>
      <c r="F580" s="31">
        <v>46361</v>
      </c>
      <c r="G580" s="4"/>
      <c r="H580" s="4" t="s">
        <v>2070</v>
      </c>
      <c r="I580" s="4" t="s">
        <v>1435</v>
      </c>
      <c r="J580" s="4" t="s">
        <v>2003</v>
      </c>
      <c r="K580" s="4" t="s">
        <v>33</v>
      </c>
      <c r="L580" s="4" t="s">
        <v>2068</v>
      </c>
      <c r="M580" s="4"/>
      <c r="N580" s="4" t="s">
        <v>499</v>
      </c>
      <c r="O580" s="4">
        <v>1</v>
      </c>
      <c r="P580" s="112"/>
      <c r="Q580" s="4"/>
      <c r="R580" s="34">
        <v>45</v>
      </c>
      <c r="S580" s="4"/>
      <c r="T580" s="58">
        <v>0</v>
      </c>
      <c r="U580" s="36"/>
      <c r="V580" s="4"/>
      <c r="W580" s="122" t="s">
        <v>789</v>
      </c>
      <c r="X580" s="4" t="s">
        <v>2069</v>
      </c>
    </row>
    <row r="581" spans="1:24" ht="21" customHeight="1" thickBot="1">
      <c r="A581" s="4" t="s">
        <v>25</v>
      </c>
      <c r="B581" s="4" t="s">
        <v>26</v>
      </c>
      <c r="C581" s="4" t="s">
        <v>27</v>
      </c>
      <c r="D581" s="4" t="s">
        <v>28</v>
      </c>
      <c r="E581" s="4" t="s">
        <v>29</v>
      </c>
      <c r="F581" s="31">
        <v>46361</v>
      </c>
      <c r="G581" s="4"/>
      <c r="H581" s="4" t="s">
        <v>2071</v>
      </c>
      <c r="I581" s="4" t="s">
        <v>2072</v>
      </c>
      <c r="J581" s="4" t="s">
        <v>2008</v>
      </c>
      <c r="K581" s="4" t="s">
        <v>33</v>
      </c>
      <c r="L581" s="4" t="s">
        <v>2073</v>
      </c>
      <c r="M581" s="4" t="s">
        <v>3701</v>
      </c>
      <c r="N581" s="4" t="s">
        <v>36</v>
      </c>
      <c r="O581" s="4">
        <v>1</v>
      </c>
      <c r="P581" s="112"/>
      <c r="Q581" s="4" t="s">
        <v>3700</v>
      </c>
      <c r="R581" s="34">
        <v>45</v>
      </c>
      <c r="S581" s="58">
        <v>180</v>
      </c>
      <c r="T581" s="58">
        <f>SUM(R581:S581)</f>
        <v>225</v>
      </c>
      <c r="U581" s="36">
        <v>46122</v>
      </c>
      <c r="V581" s="4"/>
      <c r="W581" s="4"/>
      <c r="X581" s="4"/>
    </row>
    <row r="582" spans="1:24" ht="15.75" customHeight="1" thickBot="1">
      <c r="A582" s="4" t="s">
        <v>25</v>
      </c>
      <c r="B582" s="4" t="s">
        <v>26</v>
      </c>
      <c r="C582" s="4" t="s">
        <v>27</v>
      </c>
      <c r="D582" s="4" t="s">
        <v>28</v>
      </c>
      <c r="E582" s="4" t="s">
        <v>29</v>
      </c>
      <c r="F582" s="31">
        <v>46361</v>
      </c>
      <c r="G582" s="4"/>
      <c r="H582" s="4" t="s">
        <v>1068</v>
      </c>
      <c r="I582" s="4" t="s">
        <v>1069</v>
      </c>
      <c r="J582" s="4" t="s">
        <v>2008</v>
      </c>
      <c r="K582" s="4" t="s">
        <v>33</v>
      </c>
      <c r="L582" s="4" t="s">
        <v>2074</v>
      </c>
      <c r="M582" s="4" t="s">
        <v>3709</v>
      </c>
      <c r="N582" s="4" t="s">
        <v>36</v>
      </c>
      <c r="O582" s="4">
        <v>1</v>
      </c>
      <c r="P582" s="112"/>
      <c r="Q582" s="4" t="s">
        <v>3710</v>
      </c>
      <c r="R582" s="34">
        <v>45</v>
      </c>
      <c r="S582" s="58">
        <v>0</v>
      </c>
      <c r="T582" s="58">
        <f>SUM(R582:S582)</f>
        <v>45</v>
      </c>
      <c r="U582" s="36">
        <v>46122</v>
      </c>
      <c r="V582" s="4"/>
      <c r="W582" s="122" t="s">
        <v>789</v>
      </c>
      <c r="X582" s="4"/>
    </row>
    <row r="583" spans="1:24" ht="19.5" customHeight="1" thickBot="1">
      <c r="A583" s="4" t="s">
        <v>25</v>
      </c>
      <c r="B583" s="4" t="s">
        <v>26</v>
      </c>
      <c r="C583" s="4" t="s">
        <v>27</v>
      </c>
      <c r="D583" s="4" t="s">
        <v>28</v>
      </c>
      <c r="E583" s="4" t="s">
        <v>29</v>
      </c>
      <c r="F583" s="31">
        <v>46361</v>
      </c>
      <c r="G583" s="4"/>
      <c r="H583" s="4" t="s">
        <v>2075</v>
      </c>
      <c r="I583" s="4" t="s">
        <v>2076</v>
      </c>
      <c r="J583" s="4" t="s">
        <v>2008</v>
      </c>
      <c r="K583" s="4" t="s">
        <v>33</v>
      </c>
      <c r="L583" s="4" t="s">
        <v>2077</v>
      </c>
      <c r="M583" s="4" t="s">
        <v>457</v>
      </c>
      <c r="N583" s="4" t="s">
        <v>36</v>
      </c>
      <c r="O583" s="4">
        <v>1</v>
      </c>
      <c r="P583" s="112"/>
      <c r="Q583" s="4" t="s">
        <v>168</v>
      </c>
      <c r="R583" s="34">
        <v>45</v>
      </c>
      <c r="S583" s="58">
        <v>163.75</v>
      </c>
      <c r="T583" s="58">
        <f>SUM(R583:S583)</f>
        <v>208.75</v>
      </c>
      <c r="U583" s="36">
        <v>46122</v>
      </c>
      <c r="V583" s="4"/>
      <c r="W583" s="4"/>
      <c r="X583" s="4"/>
    </row>
    <row r="584" spans="1:24" ht="18" customHeight="1" thickBot="1">
      <c r="A584" s="4" t="s">
        <v>25</v>
      </c>
      <c r="B584" s="4" t="s">
        <v>26</v>
      </c>
      <c r="C584" s="4" t="s">
        <v>27</v>
      </c>
      <c r="D584" s="4" t="s">
        <v>28</v>
      </c>
      <c r="E584" s="4" t="s">
        <v>29</v>
      </c>
      <c r="F584" s="31">
        <v>46361</v>
      </c>
      <c r="G584" s="4"/>
      <c r="H584" s="4" t="s">
        <v>2078</v>
      </c>
      <c r="I584" s="4" t="s">
        <v>2079</v>
      </c>
      <c r="J584" s="4" t="s">
        <v>2008</v>
      </c>
      <c r="K584" s="4" t="s">
        <v>33</v>
      </c>
      <c r="L584" s="4" t="s">
        <v>2080</v>
      </c>
      <c r="M584" s="4" t="s">
        <v>44</v>
      </c>
      <c r="N584" s="4" t="s">
        <v>36</v>
      </c>
      <c r="O584" s="4">
        <v>1</v>
      </c>
      <c r="P584" s="112"/>
      <c r="Q584" s="4" t="s">
        <v>134</v>
      </c>
      <c r="R584" s="34">
        <v>45</v>
      </c>
      <c r="S584" s="58">
        <v>77</v>
      </c>
      <c r="T584" s="58">
        <f>SUM(R584:S584)</f>
        <v>122</v>
      </c>
      <c r="U584" s="36">
        <v>46122</v>
      </c>
      <c r="V584" s="4"/>
      <c r="W584" s="4"/>
      <c r="X584" s="4"/>
    </row>
    <row r="585" spans="1:24" ht="18" customHeight="1" thickBot="1">
      <c r="A585" s="4" t="s">
        <v>25</v>
      </c>
      <c r="B585" s="4" t="s">
        <v>26</v>
      </c>
      <c r="C585" s="4" t="s">
        <v>27</v>
      </c>
      <c r="D585" s="4" t="s">
        <v>28</v>
      </c>
      <c r="E585" s="4" t="s">
        <v>29</v>
      </c>
      <c r="F585" s="31">
        <v>46361</v>
      </c>
      <c r="G585" s="4"/>
      <c r="H585" s="4" t="s">
        <v>2081</v>
      </c>
      <c r="I585" s="4" t="s">
        <v>2082</v>
      </c>
      <c r="J585" s="4" t="s">
        <v>2022</v>
      </c>
      <c r="K585" s="4" t="s">
        <v>48</v>
      </c>
      <c r="L585" s="4" t="s">
        <v>2083</v>
      </c>
      <c r="M585" s="4"/>
      <c r="N585" s="4" t="s">
        <v>499</v>
      </c>
      <c r="O585" s="4">
        <v>1</v>
      </c>
      <c r="P585" s="112"/>
      <c r="Q585" s="4"/>
      <c r="R585" s="34">
        <v>45</v>
      </c>
      <c r="S585" s="4"/>
      <c r="T585" s="58">
        <v>0</v>
      </c>
      <c r="U585" s="36"/>
      <c r="V585" s="4"/>
      <c r="W585" s="4"/>
      <c r="X585" s="4" t="s">
        <v>2005</v>
      </c>
    </row>
    <row r="586" spans="1:24" ht="19.5" customHeight="1" thickBot="1">
      <c r="A586" s="4" t="s">
        <v>25</v>
      </c>
      <c r="B586" s="4" t="s">
        <v>26</v>
      </c>
      <c r="C586" s="4" t="s">
        <v>27</v>
      </c>
      <c r="D586" s="4" t="s">
        <v>28</v>
      </c>
      <c r="E586" s="4" t="s">
        <v>29</v>
      </c>
      <c r="F586" s="31">
        <v>46361</v>
      </c>
      <c r="G586" s="4"/>
      <c r="H586" s="4" t="s">
        <v>2084</v>
      </c>
      <c r="I586" s="4" t="s">
        <v>2085</v>
      </c>
      <c r="J586" s="4" t="s">
        <v>2086</v>
      </c>
      <c r="K586" s="4" t="s">
        <v>33</v>
      </c>
      <c r="L586" s="4" t="s">
        <v>2087</v>
      </c>
      <c r="M586" s="4" t="s">
        <v>66</v>
      </c>
      <c r="N586" s="4" t="s">
        <v>36</v>
      </c>
      <c r="O586" s="4">
        <v>1</v>
      </c>
      <c r="P586" s="112"/>
      <c r="Q586" s="4" t="s">
        <v>66</v>
      </c>
      <c r="R586" s="34">
        <v>45</v>
      </c>
      <c r="S586" s="58">
        <v>120</v>
      </c>
      <c r="T586" s="58">
        <f>SUM(R586:S586)</f>
        <v>165</v>
      </c>
      <c r="U586" s="36">
        <v>46122</v>
      </c>
      <c r="V586" s="4"/>
      <c r="W586" s="4"/>
      <c r="X586" s="4"/>
    </row>
    <row r="587" spans="1:24" ht="18.75" customHeight="1" thickBot="1">
      <c r="A587" s="4" t="s">
        <v>25</v>
      </c>
      <c r="B587" s="4" t="s">
        <v>26</v>
      </c>
      <c r="C587" s="4" t="s">
        <v>27</v>
      </c>
      <c r="D587" s="4" t="s">
        <v>28</v>
      </c>
      <c r="E587" s="4" t="s">
        <v>29</v>
      </c>
      <c r="F587" s="31">
        <v>46361</v>
      </c>
      <c r="G587" s="4"/>
      <c r="H587" s="4" t="s">
        <v>2088</v>
      </c>
      <c r="I587" s="4" t="s">
        <v>2089</v>
      </c>
      <c r="J587" s="4" t="s">
        <v>2018</v>
      </c>
      <c r="K587" s="4" t="s">
        <v>48</v>
      </c>
      <c r="L587" s="4" t="s">
        <v>910</v>
      </c>
      <c r="M587" s="4"/>
      <c r="N587" s="4" t="s">
        <v>499</v>
      </c>
      <c r="O587" s="4">
        <v>1</v>
      </c>
      <c r="P587" s="112"/>
      <c r="Q587" s="4"/>
      <c r="R587" s="34">
        <v>45</v>
      </c>
      <c r="S587" s="4"/>
      <c r="T587" s="58">
        <v>0</v>
      </c>
      <c r="U587" s="36"/>
      <c r="V587" s="4"/>
      <c r="W587" s="4"/>
      <c r="X587" s="4" t="s">
        <v>2005</v>
      </c>
    </row>
    <row r="588" spans="1:24" ht="21" customHeight="1" thickBot="1">
      <c r="A588" s="4" t="s">
        <v>25</v>
      </c>
      <c r="B588" s="4" t="s">
        <v>26</v>
      </c>
      <c r="C588" s="4" t="s">
        <v>27</v>
      </c>
      <c r="D588" s="4" t="s">
        <v>28</v>
      </c>
      <c r="E588" s="4" t="s">
        <v>29</v>
      </c>
      <c r="F588" s="31">
        <v>46361</v>
      </c>
      <c r="G588" s="4"/>
      <c r="H588" s="4" t="s">
        <v>2090</v>
      </c>
      <c r="I588" s="4" t="s">
        <v>2091</v>
      </c>
      <c r="J588" s="4" t="s">
        <v>2008</v>
      </c>
      <c r="K588" s="4" t="s">
        <v>33</v>
      </c>
      <c r="L588" s="4" t="s">
        <v>2092</v>
      </c>
      <c r="M588" s="4" t="s">
        <v>1823</v>
      </c>
      <c r="N588" s="4" t="s">
        <v>36</v>
      </c>
      <c r="O588" s="4">
        <v>1</v>
      </c>
      <c r="P588" s="112"/>
      <c r="Q588" s="4" t="s">
        <v>3706</v>
      </c>
      <c r="R588" s="34">
        <v>45</v>
      </c>
      <c r="S588" s="58">
        <v>183.75</v>
      </c>
      <c r="T588" s="58">
        <f>SUM(R588:S588)</f>
        <v>228.75</v>
      </c>
      <c r="U588" s="36">
        <v>46122</v>
      </c>
      <c r="V588" s="4"/>
      <c r="W588" s="4"/>
      <c r="X588" s="4"/>
    </row>
    <row r="589" spans="1:24" ht="17.25" customHeight="1" thickBot="1">
      <c r="A589" s="4" t="s">
        <v>25</v>
      </c>
      <c r="B589" s="4" t="s">
        <v>26</v>
      </c>
      <c r="C589" s="4" t="s">
        <v>27</v>
      </c>
      <c r="D589" s="4" t="s">
        <v>28</v>
      </c>
      <c r="E589" s="4" t="s">
        <v>29</v>
      </c>
      <c r="F589" s="31">
        <v>46361</v>
      </c>
      <c r="G589" s="4"/>
      <c r="H589" s="4" t="s">
        <v>2093</v>
      </c>
      <c r="I589" s="4" t="s">
        <v>2094</v>
      </c>
      <c r="J589" s="4" t="s">
        <v>2018</v>
      </c>
      <c r="K589" s="4" t="s">
        <v>48</v>
      </c>
      <c r="L589" s="4" t="s">
        <v>173</v>
      </c>
      <c r="M589" s="4"/>
      <c r="N589" s="4" t="s">
        <v>499</v>
      </c>
      <c r="O589" s="4">
        <v>1</v>
      </c>
      <c r="P589" s="112"/>
      <c r="Q589" s="4"/>
      <c r="R589" s="34">
        <v>45</v>
      </c>
      <c r="S589" s="4"/>
      <c r="T589" s="58">
        <v>0</v>
      </c>
      <c r="U589" s="36"/>
      <c r="V589" s="4"/>
      <c r="W589" s="4"/>
      <c r="X589" s="4" t="s">
        <v>2005</v>
      </c>
    </row>
    <row r="590" spans="1:24" ht="17.25" customHeight="1" thickBot="1">
      <c r="A590" s="4" t="s">
        <v>25</v>
      </c>
      <c r="B590" s="4" t="s">
        <v>26</v>
      </c>
      <c r="C590" s="4" t="s">
        <v>27</v>
      </c>
      <c r="D590" s="4" t="s">
        <v>28</v>
      </c>
      <c r="E590" s="4" t="s">
        <v>29</v>
      </c>
      <c r="F590" s="31">
        <v>46361</v>
      </c>
      <c r="G590" s="4"/>
      <c r="H590" s="4" t="s">
        <v>2095</v>
      </c>
      <c r="I590" s="4" t="s">
        <v>2096</v>
      </c>
      <c r="J590" s="4" t="s">
        <v>2008</v>
      </c>
      <c r="K590" s="4" t="s">
        <v>33</v>
      </c>
      <c r="L590" s="4" t="s">
        <v>2097</v>
      </c>
      <c r="M590" s="4" t="s">
        <v>457</v>
      </c>
      <c r="N590" s="4" t="s">
        <v>36</v>
      </c>
      <c r="O590" s="4">
        <v>1</v>
      </c>
      <c r="P590" s="112"/>
      <c r="Q590" s="4" t="s">
        <v>457</v>
      </c>
      <c r="R590" s="34">
        <v>45</v>
      </c>
      <c r="S590" s="58">
        <v>163.75</v>
      </c>
      <c r="T590" s="58">
        <f>SUM(R590:S590)</f>
        <v>208.75</v>
      </c>
      <c r="U590" s="36">
        <v>46122</v>
      </c>
      <c r="V590" s="4"/>
      <c r="W590" s="4"/>
      <c r="X590" s="4"/>
    </row>
    <row r="591" spans="1:24" ht="19.5" customHeight="1" thickBot="1">
      <c r="A591" s="4" t="s">
        <v>25</v>
      </c>
      <c r="B591" s="4" t="s">
        <v>26</v>
      </c>
      <c r="C591" s="4" t="s">
        <v>27</v>
      </c>
      <c r="D591" s="4" t="s">
        <v>28</v>
      </c>
      <c r="E591" s="4" t="s">
        <v>29</v>
      </c>
      <c r="F591" s="31">
        <v>46361</v>
      </c>
      <c r="G591" s="4"/>
      <c r="H591" s="4" t="s">
        <v>2098</v>
      </c>
      <c r="I591" s="4" t="s">
        <v>2099</v>
      </c>
      <c r="J591" s="4" t="s">
        <v>2008</v>
      </c>
      <c r="K591" s="4" t="s">
        <v>33</v>
      </c>
      <c r="L591" s="4" t="s">
        <v>2100</v>
      </c>
      <c r="M591" s="4" t="s">
        <v>3707</v>
      </c>
      <c r="N591" s="4" t="s">
        <v>36</v>
      </c>
      <c r="O591" s="4">
        <v>1</v>
      </c>
      <c r="P591" s="112"/>
      <c r="Q591" s="4" t="s">
        <v>3707</v>
      </c>
      <c r="R591" s="34">
        <v>45</v>
      </c>
      <c r="S591" s="58">
        <v>181.75</v>
      </c>
      <c r="T591" s="58">
        <f>SUM(R591:S591)</f>
        <v>226.75</v>
      </c>
      <c r="U591" s="36">
        <v>46122</v>
      </c>
      <c r="V591" s="4"/>
      <c r="W591" s="4"/>
      <c r="X591" s="4"/>
    </row>
    <row r="592" spans="1:24" ht="21" customHeight="1" thickBot="1">
      <c r="A592" s="4" t="s">
        <v>25</v>
      </c>
      <c r="B592" s="4" t="s">
        <v>26</v>
      </c>
      <c r="C592" s="4" t="s">
        <v>27</v>
      </c>
      <c r="D592" s="4" t="s">
        <v>28</v>
      </c>
      <c r="E592" s="4" t="s">
        <v>29</v>
      </c>
      <c r="F592" s="31">
        <v>46361</v>
      </c>
      <c r="G592" s="4"/>
      <c r="H592" s="4" t="s">
        <v>2101</v>
      </c>
      <c r="I592" s="4" t="s">
        <v>2102</v>
      </c>
      <c r="J592" s="4" t="s">
        <v>2008</v>
      </c>
      <c r="K592" s="4" t="s">
        <v>33</v>
      </c>
      <c r="L592" s="4" t="s">
        <v>2103</v>
      </c>
      <c r="M592" s="4" t="s">
        <v>457</v>
      </c>
      <c r="N592" s="4" t="s">
        <v>36</v>
      </c>
      <c r="O592" s="4">
        <v>1</v>
      </c>
      <c r="P592" s="112"/>
      <c r="Q592" s="4" t="s">
        <v>457</v>
      </c>
      <c r="R592" s="34">
        <v>45</v>
      </c>
      <c r="S592" s="58">
        <v>163.75</v>
      </c>
      <c r="T592" s="58">
        <f>SUM(R592:S592)</f>
        <v>208.75</v>
      </c>
      <c r="U592" s="36">
        <v>46122</v>
      </c>
      <c r="V592" s="4"/>
      <c r="W592" s="4"/>
      <c r="X592" s="4"/>
    </row>
    <row r="593" spans="1:24" ht="14.25" customHeight="1" thickBot="1">
      <c r="A593" s="4" t="s">
        <v>25</v>
      </c>
      <c r="B593" s="4" t="s">
        <v>26</v>
      </c>
      <c r="C593" s="4" t="s">
        <v>27</v>
      </c>
      <c r="D593" s="4" t="s">
        <v>28</v>
      </c>
      <c r="E593" s="4" t="s">
        <v>29</v>
      </c>
      <c r="F593" s="31">
        <v>46361</v>
      </c>
      <c r="G593" s="4"/>
      <c r="H593" s="4" t="s">
        <v>2104</v>
      </c>
      <c r="I593" s="4" t="s">
        <v>2105</v>
      </c>
      <c r="J593" s="4" t="s">
        <v>2022</v>
      </c>
      <c r="K593" s="4" t="s">
        <v>48</v>
      </c>
      <c r="L593" s="4" t="s">
        <v>351</v>
      </c>
      <c r="M593" s="4"/>
      <c r="N593" s="4" t="s">
        <v>499</v>
      </c>
      <c r="O593" s="4">
        <v>1</v>
      </c>
      <c r="P593" s="112"/>
      <c r="Q593" s="4"/>
      <c r="R593" s="34">
        <v>45</v>
      </c>
      <c r="S593" s="4"/>
      <c r="T593" s="58">
        <v>0</v>
      </c>
      <c r="U593" s="36"/>
      <c r="V593" s="4"/>
      <c r="W593" s="4"/>
      <c r="X593" s="4" t="s">
        <v>2005</v>
      </c>
    </row>
    <row r="594" spans="1:24" ht="19.5" customHeight="1" thickBot="1">
      <c r="A594" s="4" t="s">
        <v>25</v>
      </c>
      <c r="B594" s="4" t="s">
        <v>26</v>
      </c>
      <c r="C594" s="4" t="s">
        <v>27</v>
      </c>
      <c r="D594" s="4" t="s">
        <v>28</v>
      </c>
      <c r="E594" s="4" t="s">
        <v>29</v>
      </c>
      <c r="F594" s="31">
        <v>46361</v>
      </c>
      <c r="G594" s="4"/>
      <c r="H594" s="4" t="s">
        <v>702</v>
      </c>
      <c r="I594" s="4" t="s">
        <v>469</v>
      </c>
      <c r="J594" s="4" t="s">
        <v>2008</v>
      </c>
      <c r="K594" s="4" t="s">
        <v>33</v>
      </c>
      <c r="L594" s="4" t="s">
        <v>533</v>
      </c>
      <c r="M594" s="4"/>
      <c r="N594" s="4" t="s">
        <v>499</v>
      </c>
      <c r="O594" s="4">
        <v>1</v>
      </c>
      <c r="P594" s="112"/>
      <c r="Q594" s="4"/>
      <c r="R594" s="34">
        <v>45</v>
      </c>
      <c r="S594" s="4"/>
      <c r="T594" s="58">
        <v>0</v>
      </c>
      <c r="U594" s="36"/>
      <c r="V594" s="4"/>
      <c r="W594" s="122" t="s">
        <v>789</v>
      </c>
      <c r="X594" s="4" t="s">
        <v>2005</v>
      </c>
    </row>
    <row r="595" spans="1:24" ht="15" thickBot="1">
      <c r="A595" s="4" t="s">
        <v>25</v>
      </c>
      <c r="B595" s="4" t="s">
        <v>26</v>
      </c>
      <c r="C595" s="4" t="s">
        <v>27</v>
      </c>
      <c r="D595" s="4" t="s">
        <v>28</v>
      </c>
      <c r="E595" s="4" t="s">
        <v>29</v>
      </c>
      <c r="F595" s="31">
        <v>46361</v>
      </c>
      <c r="G595" s="4"/>
      <c r="H595" s="4" t="s">
        <v>30</v>
      </c>
      <c r="I595" s="4" t="s">
        <v>31</v>
      </c>
      <c r="J595" s="4" t="s">
        <v>2008</v>
      </c>
      <c r="K595" s="4" t="s">
        <v>33</v>
      </c>
      <c r="L595" s="4" t="s">
        <v>393</v>
      </c>
      <c r="M595" s="4"/>
      <c r="N595" s="4" t="s">
        <v>499</v>
      </c>
      <c r="O595" s="4">
        <v>1</v>
      </c>
      <c r="P595" s="112"/>
      <c r="Q595" s="4"/>
      <c r="R595" s="34">
        <v>45</v>
      </c>
      <c r="S595" s="4"/>
      <c r="T595" s="58">
        <v>0</v>
      </c>
      <c r="U595" s="36"/>
      <c r="V595" s="4"/>
      <c r="W595" s="122" t="s">
        <v>789</v>
      </c>
      <c r="X595" s="4" t="s">
        <v>2005</v>
      </c>
    </row>
    <row r="596" spans="1:24" ht="19.5" customHeight="1" thickBot="1">
      <c r="A596" s="4" t="s">
        <v>25</v>
      </c>
      <c r="B596" s="4" t="s">
        <v>26</v>
      </c>
      <c r="C596" s="4" t="s">
        <v>27</v>
      </c>
      <c r="D596" s="4" t="s">
        <v>28</v>
      </c>
      <c r="E596" s="4" t="s">
        <v>29</v>
      </c>
      <c r="F596" s="31">
        <v>46361</v>
      </c>
      <c r="G596" s="4"/>
      <c r="H596" s="4" t="s">
        <v>1515</v>
      </c>
      <c r="I596" s="4" t="s">
        <v>1516</v>
      </c>
      <c r="J596" s="4" t="s">
        <v>2059</v>
      </c>
      <c r="K596" s="4" t="s">
        <v>33</v>
      </c>
      <c r="L596" s="4" t="s">
        <v>910</v>
      </c>
      <c r="M596" s="4" t="s">
        <v>251</v>
      </c>
      <c r="N596" s="4" t="s">
        <v>36</v>
      </c>
      <c r="O596" s="4">
        <v>1</v>
      </c>
      <c r="P596" s="112"/>
      <c r="Q596" s="4" t="s">
        <v>261</v>
      </c>
      <c r="R596" s="34">
        <v>45</v>
      </c>
      <c r="S596" s="58">
        <v>215</v>
      </c>
      <c r="T596" s="58">
        <f>SUM(R596:S596)</f>
        <v>260</v>
      </c>
      <c r="U596" s="36">
        <v>46122</v>
      </c>
      <c r="V596" s="4"/>
      <c r="W596" s="122" t="s">
        <v>789</v>
      </c>
      <c r="X596" s="4" t="s">
        <v>3714</v>
      </c>
    </row>
    <row r="597" spans="1:24" ht="19.5" customHeight="1" thickBot="1">
      <c r="A597" s="4" t="s">
        <v>25</v>
      </c>
      <c r="B597" s="4" t="s">
        <v>26</v>
      </c>
      <c r="C597" s="4" t="s">
        <v>27</v>
      </c>
      <c r="D597" s="4" t="s">
        <v>28</v>
      </c>
      <c r="E597" s="4" t="s">
        <v>29</v>
      </c>
      <c r="F597" s="31">
        <v>46361</v>
      </c>
      <c r="G597" s="4"/>
      <c r="H597" s="4" t="s">
        <v>2106</v>
      </c>
      <c r="I597" s="4" t="s">
        <v>2107</v>
      </c>
      <c r="J597" s="4" t="s">
        <v>2038</v>
      </c>
      <c r="K597" s="4" t="s">
        <v>33</v>
      </c>
      <c r="L597" s="4" t="s">
        <v>2108</v>
      </c>
      <c r="M597" s="4" t="s">
        <v>3738</v>
      </c>
      <c r="N597" s="4" t="s">
        <v>36</v>
      </c>
      <c r="O597" s="4">
        <v>1</v>
      </c>
      <c r="P597" s="112"/>
      <c r="Q597" s="4" t="s">
        <v>3738</v>
      </c>
      <c r="R597" s="34">
        <v>45</v>
      </c>
      <c r="S597" s="58">
        <v>398.75</v>
      </c>
      <c r="T597" s="58">
        <f>SUM(R597:S597)</f>
        <v>443.75</v>
      </c>
      <c r="U597" s="36">
        <v>46122</v>
      </c>
      <c r="V597" s="4"/>
      <c r="W597" s="4"/>
      <c r="X597" s="4" t="s">
        <v>3714</v>
      </c>
    </row>
    <row r="598" spans="1:24" ht="18.75" customHeight="1" thickBot="1">
      <c r="A598" s="4" t="s">
        <v>25</v>
      </c>
      <c r="B598" s="4" t="s">
        <v>26</v>
      </c>
      <c r="C598" s="4" t="s">
        <v>27</v>
      </c>
      <c r="D598" s="4" t="s">
        <v>28</v>
      </c>
      <c r="E598" s="4" t="s">
        <v>29</v>
      </c>
      <c r="F598" s="31">
        <v>46361</v>
      </c>
      <c r="G598" s="4"/>
      <c r="H598" s="4" t="s">
        <v>2109</v>
      </c>
      <c r="I598" s="4" t="s">
        <v>2110</v>
      </c>
      <c r="J598" s="4" t="s">
        <v>2059</v>
      </c>
      <c r="K598" s="4" t="s">
        <v>33</v>
      </c>
      <c r="L598" s="4" t="s">
        <v>910</v>
      </c>
      <c r="M598" s="4" t="s">
        <v>423</v>
      </c>
      <c r="N598" s="4" t="s">
        <v>36</v>
      </c>
      <c r="O598" s="4">
        <v>1</v>
      </c>
      <c r="P598" s="112"/>
      <c r="Q598" s="4" t="s">
        <v>423</v>
      </c>
      <c r="R598" s="34">
        <v>45</v>
      </c>
      <c r="S598" s="58">
        <v>111.75</v>
      </c>
      <c r="T598" s="58">
        <f>SUM(R598:S598)</f>
        <v>156.75</v>
      </c>
      <c r="U598" s="36">
        <v>46122</v>
      </c>
      <c r="V598" s="4"/>
      <c r="W598" s="4"/>
      <c r="X598" s="4"/>
    </row>
    <row r="599" spans="1:24" ht="15" thickBot="1">
      <c r="A599" s="4" t="s">
        <v>154</v>
      </c>
      <c r="B599" s="4" t="s">
        <v>940</v>
      </c>
      <c r="C599" s="4" t="s">
        <v>941</v>
      </c>
      <c r="D599" s="4" t="s">
        <v>156</v>
      </c>
      <c r="E599" s="4" t="s">
        <v>2345</v>
      </c>
      <c r="F599" s="31">
        <v>46361</v>
      </c>
      <c r="G599" s="4"/>
      <c r="H599" s="4" t="s">
        <v>2111</v>
      </c>
      <c r="I599" s="4" t="s">
        <v>2112</v>
      </c>
      <c r="J599" s="4" t="s">
        <v>201</v>
      </c>
      <c r="K599" s="4" t="s">
        <v>48</v>
      </c>
      <c r="L599" s="4" t="s">
        <v>351</v>
      </c>
      <c r="M599" s="4"/>
      <c r="N599" s="4" t="s">
        <v>499</v>
      </c>
      <c r="O599" s="4">
        <v>1</v>
      </c>
      <c r="P599" s="112"/>
      <c r="Q599" s="4"/>
      <c r="R599" s="34">
        <v>45</v>
      </c>
      <c r="S599" s="4"/>
      <c r="T599" s="58">
        <v>0</v>
      </c>
      <c r="U599" s="36"/>
      <c r="V599" s="4"/>
      <c r="W599" s="4"/>
      <c r="X599" s="4" t="s">
        <v>2005</v>
      </c>
    </row>
    <row r="600" spans="1:24" ht="15" thickBot="1">
      <c r="A600" s="4" t="s">
        <v>154</v>
      </c>
      <c r="B600" s="4" t="s">
        <v>940</v>
      </c>
      <c r="C600" s="4" t="s">
        <v>941</v>
      </c>
      <c r="D600" s="4" t="s">
        <v>156</v>
      </c>
      <c r="E600" s="4" t="s">
        <v>2345</v>
      </c>
      <c r="F600" s="31">
        <v>46361</v>
      </c>
      <c r="G600" s="4"/>
      <c r="H600" s="4" t="s">
        <v>2113</v>
      </c>
      <c r="I600" s="4" t="s">
        <v>2114</v>
      </c>
      <c r="J600" s="4" t="s">
        <v>502</v>
      </c>
      <c r="K600" s="4" t="s">
        <v>33</v>
      </c>
      <c r="L600" s="4" t="s">
        <v>2115</v>
      </c>
      <c r="M600" s="4" t="s">
        <v>3733</v>
      </c>
      <c r="N600" s="4" t="s">
        <v>36</v>
      </c>
      <c r="O600" s="4">
        <v>1</v>
      </c>
      <c r="P600" s="112"/>
      <c r="Q600" s="4" t="s">
        <v>3719</v>
      </c>
      <c r="R600" s="34">
        <v>45</v>
      </c>
      <c r="S600" s="58">
        <v>183.75</v>
      </c>
      <c r="T600" s="58">
        <f>SUM(R600:S600)</f>
        <v>228.75</v>
      </c>
      <c r="U600" s="36">
        <v>46122</v>
      </c>
      <c r="V600" s="4"/>
      <c r="W600" s="4"/>
      <c r="X600" s="4"/>
    </row>
    <row r="601" spans="1:24" ht="15" thickBot="1">
      <c r="A601" s="4" t="s">
        <v>154</v>
      </c>
      <c r="B601" s="4" t="s">
        <v>940</v>
      </c>
      <c r="C601" s="4" t="s">
        <v>941</v>
      </c>
      <c r="D601" s="4" t="s">
        <v>156</v>
      </c>
      <c r="E601" s="4" t="s">
        <v>2345</v>
      </c>
      <c r="F601" s="31">
        <v>46361</v>
      </c>
      <c r="G601" s="4"/>
      <c r="H601" s="4" t="s">
        <v>2116</v>
      </c>
      <c r="I601" s="4" t="s">
        <v>2117</v>
      </c>
      <c r="J601" s="4" t="s">
        <v>502</v>
      </c>
      <c r="K601" s="4" t="s">
        <v>33</v>
      </c>
      <c r="L601" s="4" t="s">
        <v>2118</v>
      </c>
      <c r="M601" s="4"/>
      <c r="N601" s="4" t="s">
        <v>499</v>
      </c>
      <c r="O601" s="4">
        <v>1</v>
      </c>
      <c r="P601" s="112"/>
      <c r="Q601" s="4"/>
      <c r="R601" s="34">
        <v>45</v>
      </c>
      <c r="S601" s="4"/>
      <c r="T601" s="58">
        <v>0</v>
      </c>
      <c r="U601" s="36"/>
      <c r="V601" s="4"/>
      <c r="W601" s="4"/>
      <c r="X601" s="4" t="s">
        <v>2005</v>
      </c>
    </row>
    <row r="602" spans="1:24" ht="15" thickBot="1">
      <c r="A602" s="4" t="s">
        <v>154</v>
      </c>
      <c r="B602" s="4" t="s">
        <v>940</v>
      </c>
      <c r="C602" s="4" t="s">
        <v>941</v>
      </c>
      <c r="D602" s="4" t="s">
        <v>156</v>
      </c>
      <c r="E602" s="4" t="s">
        <v>2345</v>
      </c>
      <c r="F602" s="31">
        <v>46361</v>
      </c>
      <c r="G602" s="4"/>
      <c r="H602" s="4" t="s">
        <v>2119</v>
      </c>
      <c r="I602" s="4" t="s">
        <v>2120</v>
      </c>
      <c r="J602" s="4" t="s">
        <v>216</v>
      </c>
      <c r="K602" s="4" t="s">
        <v>33</v>
      </c>
      <c r="L602" s="4" t="s">
        <v>2121</v>
      </c>
      <c r="M602" s="4"/>
      <c r="N602" s="4" t="s">
        <v>499</v>
      </c>
      <c r="O602" s="4">
        <v>1</v>
      </c>
      <c r="P602" s="112"/>
      <c r="Q602" s="4"/>
      <c r="R602" s="34">
        <v>45</v>
      </c>
      <c r="S602" s="4"/>
      <c r="T602" s="58">
        <v>0</v>
      </c>
      <c r="U602" s="36"/>
      <c r="V602" s="4"/>
      <c r="W602" s="4"/>
      <c r="X602" s="4" t="s">
        <v>2005</v>
      </c>
    </row>
    <row r="603" spans="1:24" ht="15" thickBot="1">
      <c r="A603" s="4" t="s">
        <v>154</v>
      </c>
      <c r="B603" s="4" t="s">
        <v>940</v>
      </c>
      <c r="C603" s="4" t="s">
        <v>941</v>
      </c>
      <c r="D603" s="4" t="s">
        <v>156</v>
      </c>
      <c r="E603" s="4" t="s">
        <v>2345</v>
      </c>
      <c r="F603" s="31">
        <v>46361</v>
      </c>
      <c r="G603" s="4"/>
      <c r="H603" s="4" t="s">
        <v>2122</v>
      </c>
      <c r="I603" s="4" t="s">
        <v>2123</v>
      </c>
      <c r="J603" s="4" t="s">
        <v>502</v>
      </c>
      <c r="K603" s="4" t="s">
        <v>33</v>
      </c>
      <c r="L603" s="4" t="s">
        <v>640</v>
      </c>
      <c r="M603" s="4" t="s">
        <v>3703</v>
      </c>
      <c r="N603" s="4" t="s">
        <v>36</v>
      </c>
      <c r="O603" s="4">
        <v>1</v>
      </c>
      <c r="P603" s="112"/>
      <c r="Q603" s="4" t="s">
        <v>3703</v>
      </c>
      <c r="R603" s="34">
        <v>45</v>
      </c>
      <c r="S603" s="58">
        <v>20</v>
      </c>
      <c r="T603" s="58">
        <f>SUM(R603:S603)</f>
        <v>65</v>
      </c>
      <c r="U603" s="36">
        <v>46122</v>
      </c>
      <c r="V603" s="4"/>
      <c r="W603" s="4"/>
      <c r="X603" s="4"/>
    </row>
    <row r="604" spans="1:24" ht="15" thickBot="1">
      <c r="A604" s="4" t="s">
        <v>154</v>
      </c>
      <c r="B604" s="4" t="s">
        <v>940</v>
      </c>
      <c r="C604" s="4" t="s">
        <v>941</v>
      </c>
      <c r="D604" s="4" t="s">
        <v>156</v>
      </c>
      <c r="E604" s="4" t="s">
        <v>2345</v>
      </c>
      <c r="F604" s="31">
        <v>46361</v>
      </c>
      <c r="G604" s="4"/>
      <c r="H604" s="4" t="s">
        <v>2124</v>
      </c>
      <c r="I604" s="4" t="s">
        <v>2125</v>
      </c>
      <c r="J604" s="4" t="s">
        <v>160</v>
      </c>
      <c r="K604" s="4" t="s">
        <v>33</v>
      </c>
      <c r="L604" s="4" t="s">
        <v>2126</v>
      </c>
      <c r="M604" s="4" t="s">
        <v>352</v>
      </c>
      <c r="N604" s="4" t="s">
        <v>36</v>
      </c>
      <c r="O604" s="4">
        <v>1</v>
      </c>
      <c r="P604" s="112"/>
      <c r="Q604" s="4" t="s">
        <v>352</v>
      </c>
      <c r="R604" s="34">
        <v>45</v>
      </c>
      <c r="S604" s="58">
        <v>160</v>
      </c>
      <c r="T604" s="58">
        <f>SUM(R604:S604)</f>
        <v>205</v>
      </c>
      <c r="U604" s="36">
        <v>46122</v>
      </c>
      <c r="V604" s="4"/>
      <c r="W604" s="4"/>
      <c r="X604" s="4"/>
    </row>
    <row r="605" spans="1:24" ht="15" thickBot="1">
      <c r="A605" s="4" t="s">
        <v>154</v>
      </c>
      <c r="B605" s="4" t="s">
        <v>940</v>
      </c>
      <c r="C605" s="4" t="s">
        <v>941</v>
      </c>
      <c r="D605" s="4" t="s">
        <v>156</v>
      </c>
      <c r="E605" s="4" t="s">
        <v>2345</v>
      </c>
      <c r="F605" s="31">
        <v>46361</v>
      </c>
      <c r="G605" s="4"/>
      <c r="H605" s="4" t="s">
        <v>2127</v>
      </c>
      <c r="I605" s="4" t="s">
        <v>2128</v>
      </c>
      <c r="J605" s="4" t="s">
        <v>160</v>
      </c>
      <c r="K605" s="4" t="s">
        <v>33</v>
      </c>
      <c r="L605" s="4" t="s">
        <v>640</v>
      </c>
      <c r="M605" s="4" t="s">
        <v>3838</v>
      </c>
      <c r="N605" s="4" t="s">
        <v>499</v>
      </c>
      <c r="O605" s="4">
        <v>1</v>
      </c>
      <c r="P605" s="112"/>
      <c r="Q605" s="4" t="s">
        <v>3838</v>
      </c>
      <c r="R605" s="34">
        <v>45</v>
      </c>
      <c r="S605" s="4"/>
      <c r="T605" s="58">
        <v>0</v>
      </c>
      <c r="U605" s="36"/>
      <c r="V605" s="4"/>
      <c r="W605" s="4"/>
      <c r="X605" s="4" t="s">
        <v>2005</v>
      </c>
    </row>
    <row r="606" spans="1:24" ht="15" thickBot="1">
      <c r="A606" s="4" t="s">
        <v>154</v>
      </c>
      <c r="B606" s="4" t="s">
        <v>940</v>
      </c>
      <c r="C606" s="4" t="s">
        <v>941</v>
      </c>
      <c r="D606" s="4" t="s">
        <v>156</v>
      </c>
      <c r="E606" s="4" t="s">
        <v>2345</v>
      </c>
      <c r="F606" s="31">
        <v>46361</v>
      </c>
      <c r="G606" s="4"/>
      <c r="H606" s="4" t="s">
        <v>2129</v>
      </c>
      <c r="I606" s="4" t="s">
        <v>2130</v>
      </c>
      <c r="J606" s="4" t="s">
        <v>216</v>
      </c>
      <c r="K606" s="4" t="s">
        <v>33</v>
      </c>
      <c r="L606" s="4" t="s">
        <v>2131</v>
      </c>
      <c r="M606" s="4" t="s">
        <v>66</v>
      </c>
      <c r="N606" s="4" t="s">
        <v>36</v>
      </c>
      <c r="O606" s="4">
        <v>1</v>
      </c>
      <c r="P606" s="112"/>
      <c r="Q606" s="4" t="s">
        <v>66</v>
      </c>
      <c r="R606" s="34">
        <v>45</v>
      </c>
      <c r="S606" s="58">
        <v>120</v>
      </c>
      <c r="T606" s="58">
        <f>SUM(R606:S606)</f>
        <v>165</v>
      </c>
      <c r="U606" s="36">
        <v>46122</v>
      </c>
      <c r="V606" s="4"/>
      <c r="W606" s="4"/>
      <c r="X606" s="4"/>
    </row>
    <row r="607" spans="1:24" ht="15" thickBot="1">
      <c r="A607" s="4" t="s">
        <v>154</v>
      </c>
      <c r="B607" s="4" t="s">
        <v>940</v>
      </c>
      <c r="C607" s="4" t="s">
        <v>941</v>
      </c>
      <c r="D607" s="4" t="s">
        <v>156</v>
      </c>
      <c r="E607" s="4" t="s">
        <v>2345</v>
      </c>
      <c r="F607" s="31">
        <v>46361</v>
      </c>
      <c r="G607" s="4"/>
      <c r="H607" s="4" t="s">
        <v>2132</v>
      </c>
      <c r="I607" s="4" t="s">
        <v>2133</v>
      </c>
      <c r="J607" s="4" t="s">
        <v>201</v>
      </c>
      <c r="K607" s="4" t="s">
        <v>48</v>
      </c>
      <c r="L607" s="4" t="s">
        <v>2134</v>
      </c>
      <c r="M607" s="4"/>
      <c r="N607" s="4" t="s">
        <v>499</v>
      </c>
      <c r="O607" s="4">
        <v>1</v>
      </c>
      <c r="P607" s="112"/>
      <c r="Q607" s="4"/>
      <c r="R607" s="34">
        <v>45</v>
      </c>
      <c r="S607" s="4"/>
      <c r="T607" s="58">
        <v>0</v>
      </c>
      <c r="U607" s="36"/>
      <c r="V607" s="4"/>
      <c r="W607" s="4"/>
      <c r="X607" s="4" t="s">
        <v>2135</v>
      </c>
    </row>
    <row r="608" spans="1:24" ht="15" thickBot="1">
      <c r="A608" s="4" t="s">
        <v>154</v>
      </c>
      <c r="B608" s="4" t="s">
        <v>940</v>
      </c>
      <c r="C608" s="4" t="s">
        <v>941</v>
      </c>
      <c r="D608" s="4" t="s">
        <v>156</v>
      </c>
      <c r="E608" s="4" t="s">
        <v>2345</v>
      </c>
      <c r="F608" s="31">
        <v>46361</v>
      </c>
      <c r="G608" s="4"/>
      <c r="H608" s="4" t="s">
        <v>2136</v>
      </c>
      <c r="I608" s="4" t="s">
        <v>2137</v>
      </c>
      <c r="J608" s="4" t="s">
        <v>160</v>
      </c>
      <c r="K608" s="4" t="s">
        <v>33</v>
      </c>
      <c r="L608" s="4" t="s">
        <v>2138</v>
      </c>
      <c r="M608" s="4"/>
      <c r="N608" s="4" t="s">
        <v>499</v>
      </c>
      <c r="O608" s="4">
        <v>1</v>
      </c>
      <c r="P608" s="112"/>
      <c r="Q608" s="4"/>
      <c r="R608" s="34">
        <v>45</v>
      </c>
      <c r="S608" s="4"/>
      <c r="T608" s="58">
        <v>0</v>
      </c>
      <c r="U608" s="36"/>
      <c r="V608" s="4"/>
      <c r="W608" s="4"/>
      <c r="X608" s="4" t="s">
        <v>2005</v>
      </c>
    </row>
    <row r="609" spans="1:24" ht="15" thickBot="1">
      <c r="A609" s="4" t="s">
        <v>154</v>
      </c>
      <c r="B609" s="4" t="s">
        <v>940</v>
      </c>
      <c r="C609" s="4" t="s">
        <v>941</v>
      </c>
      <c r="D609" s="4" t="s">
        <v>156</v>
      </c>
      <c r="E609" s="4" t="s">
        <v>2345</v>
      </c>
      <c r="F609" s="31">
        <v>46361</v>
      </c>
      <c r="G609" s="4"/>
      <c r="H609" s="4" t="s">
        <v>2139</v>
      </c>
      <c r="I609" s="4" t="s">
        <v>2140</v>
      </c>
      <c r="J609" s="4" t="s">
        <v>760</v>
      </c>
      <c r="K609" s="4" t="s">
        <v>48</v>
      </c>
      <c r="L609" s="4" t="s">
        <v>351</v>
      </c>
      <c r="M609" s="4"/>
      <c r="N609" s="4" t="s">
        <v>36</v>
      </c>
      <c r="O609" s="4">
        <v>1</v>
      </c>
      <c r="P609" s="112"/>
      <c r="Q609" s="4" t="s">
        <v>352</v>
      </c>
      <c r="R609" s="34">
        <v>45</v>
      </c>
      <c r="S609" s="37">
        <v>190</v>
      </c>
      <c r="T609" s="58">
        <f>SUM(R609:S609)</f>
        <v>235</v>
      </c>
      <c r="U609" s="36">
        <v>46122</v>
      </c>
      <c r="V609" s="4"/>
      <c r="W609" s="4"/>
      <c r="X609" s="4"/>
    </row>
    <row r="610" spans="1:24" ht="15" thickBot="1">
      <c r="A610" s="4" t="s">
        <v>154</v>
      </c>
      <c r="B610" s="4" t="s">
        <v>940</v>
      </c>
      <c r="C610" s="4" t="s">
        <v>941</v>
      </c>
      <c r="D610" s="4" t="s">
        <v>156</v>
      </c>
      <c r="E610" s="4" t="s">
        <v>2345</v>
      </c>
      <c r="F610" s="31">
        <v>46361</v>
      </c>
      <c r="G610" s="4"/>
      <c r="H610" s="4" t="s">
        <v>2141</v>
      </c>
      <c r="I610" s="4" t="s">
        <v>2142</v>
      </c>
      <c r="J610" s="4" t="s">
        <v>761</v>
      </c>
      <c r="K610" s="4" t="s">
        <v>33</v>
      </c>
      <c r="L610" s="4" t="s">
        <v>2143</v>
      </c>
      <c r="M610" s="4"/>
      <c r="N610" s="4" t="s">
        <v>36</v>
      </c>
      <c r="O610" s="4">
        <v>1</v>
      </c>
      <c r="P610" s="112"/>
      <c r="Q610" s="4" t="s">
        <v>352</v>
      </c>
      <c r="R610" s="34">
        <v>45</v>
      </c>
      <c r="S610" s="37">
        <v>190</v>
      </c>
      <c r="T610" s="58">
        <f t="shared" ref="T610:T611" si="57">SUM(R610:S610)</f>
        <v>235</v>
      </c>
      <c r="U610" s="36">
        <v>46122</v>
      </c>
      <c r="V610" s="4"/>
      <c r="W610" s="4"/>
      <c r="X610" s="4"/>
    </row>
    <row r="611" spans="1:24" ht="15" thickBot="1">
      <c r="A611" s="4" t="s">
        <v>154</v>
      </c>
      <c r="B611" s="4" t="s">
        <v>940</v>
      </c>
      <c r="C611" s="4" t="s">
        <v>941</v>
      </c>
      <c r="D611" s="4" t="s">
        <v>156</v>
      </c>
      <c r="E611" s="4" t="s">
        <v>2345</v>
      </c>
      <c r="F611" s="31">
        <v>46361</v>
      </c>
      <c r="G611" s="4"/>
      <c r="H611" s="4" t="s">
        <v>2144</v>
      </c>
      <c r="I611" s="4" t="s">
        <v>2145</v>
      </c>
      <c r="J611" s="4" t="s">
        <v>760</v>
      </c>
      <c r="K611" s="4" t="s">
        <v>48</v>
      </c>
      <c r="L611" s="4" t="s">
        <v>2146</v>
      </c>
      <c r="M611" s="4"/>
      <c r="N611" s="4" t="s">
        <v>36</v>
      </c>
      <c r="O611" s="4">
        <v>1</v>
      </c>
      <c r="P611" s="112"/>
      <c r="Q611" s="4" t="s">
        <v>3686</v>
      </c>
      <c r="R611" s="34">
        <v>45</v>
      </c>
      <c r="S611" s="58">
        <v>0</v>
      </c>
      <c r="T611" s="58">
        <f t="shared" si="57"/>
        <v>45</v>
      </c>
      <c r="U611" s="36">
        <v>46122</v>
      </c>
      <c r="V611" s="4"/>
      <c r="W611" s="4"/>
      <c r="X611" s="4"/>
    </row>
    <row r="612" spans="1:24" ht="15" thickBot="1">
      <c r="A612" s="4" t="s">
        <v>154</v>
      </c>
      <c r="B612" s="4" t="s">
        <v>940</v>
      </c>
      <c r="C612" s="4" t="s">
        <v>941</v>
      </c>
      <c r="D612" s="4" t="s">
        <v>156</v>
      </c>
      <c r="E612" s="4" t="s">
        <v>2345</v>
      </c>
      <c r="F612" s="31">
        <v>46361</v>
      </c>
      <c r="G612" s="4"/>
      <c r="H612" s="4" t="s">
        <v>2147</v>
      </c>
      <c r="I612" s="4" t="s">
        <v>2148</v>
      </c>
      <c r="J612" s="4" t="s">
        <v>761</v>
      </c>
      <c r="K612" s="4" t="s">
        <v>33</v>
      </c>
      <c r="L612" s="4" t="s">
        <v>2149</v>
      </c>
      <c r="M612" s="4"/>
      <c r="N612" s="4" t="s">
        <v>499</v>
      </c>
      <c r="O612" s="4">
        <v>1</v>
      </c>
      <c r="P612" s="112"/>
      <c r="Q612" s="4"/>
      <c r="R612" s="34">
        <v>45</v>
      </c>
      <c r="S612" s="4"/>
      <c r="T612" s="58">
        <v>0</v>
      </c>
      <c r="U612" s="36"/>
      <c r="V612" s="4"/>
      <c r="W612" s="4"/>
      <c r="X612" s="4" t="s">
        <v>2005</v>
      </c>
    </row>
    <row r="613" spans="1:24" ht="15" thickBot="1">
      <c r="A613" s="4" t="s">
        <v>154</v>
      </c>
      <c r="B613" s="4" t="s">
        <v>940</v>
      </c>
      <c r="C613" s="4" t="s">
        <v>941</v>
      </c>
      <c r="D613" s="4" t="s">
        <v>156</v>
      </c>
      <c r="E613" s="4" t="s">
        <v>2345</v>
      </c>
      <c r="F613" s="31">
        <v>46361</v>
      </c>
      <c r="G613" s="4"/>
      <c r="H613" s="4" t="s">
        <v>2150</v>
      </c>
      <c r="I613" s="4" t="s">
        <v>2151</v>
      </c>
      <c r="J613" s="4" t="s">
        <v>762</v>
      </c>
      <c r="K613" s="4" t="s">
        <v>33</v>
      </c>
      <c r="L613" s="4" t="s">
        <v>2152</v>
      </c>
      <c r="M613" s="4"/>
      <c r="N613" s="4" t="s">
        <v>499</v>
      </c>
      <c r="O613" s="4">
        <v>1</v>
      </c>
      <c r="P613" s="112"/>
      <c r="Q613" s="4"/>
      <c r="R613" s="34">
        <v>45</v>
      </c>
      <c r="S613" s="4"/>
      <c r="T613" s="58">
        <v>0</v>
      </c>
      <c r="U613" s="36"/>
      <c r="V613" s="4"/>
      <c r="W613" s="4"/>
      <c r="X613" s="4" t="s">
        <v>2005</v>
      </c>
    </row>
    <row r="614" spans="1:24" ht="15" thickBot="1">
      <c r="A614" s="4" t="s">
        <v>154</v>
      </c>
      <c r="B614" s="4" t="s">
        <v>940</v>
      </c>
      <c r="C614" s="4" t="s">
        <v>941</v>
      </c>
      <c r="D614" s="4" t="s">
        <v>156</v>
      </c>
      <c r="E614" s="4" t="s">
        <v>2345</v>
      </c>
      <c r="F614" s="31">
        <v>46361</v>
      </c>
      <c r="G614" s="4"/>
      <c r="H614" s="4" t="s">
        <v>2153</v>
      </c>
      <c r="I614" s="4" t="s">
        <v>2154</v>
      </c>
      <c r="J614" s="4" t="s">
        <v>502</v>
      </c>
      <c r="K614" s="4" t="s">
        <v>33</v>
      </c>
      <c r="L614" s="4" t="s">
        <v>2155</v>
      </c>
      <c r="M614" s="4" t="s">
        <v>457</v>
      </c>
      <c r="N614" s="4" t="s">
        <v>36</v>
      </c>
      <c r="O614" s="4">
        <v>1</v>
      </c>
      <c r="P614" s="112"/>
      <c r="Q614" s="4" t="s">
        <v>457</v>
      </c>
      <c r="R614" s="34">
        <v>45</v>
      </c>
      <c r="S614" s="37">
        <v>163.75</v>
      </c>
      <c r="T614" s="58">
        <f t="shared" ref="T614:T615" si="58">SUM(R614:S614)</f>
        <v>208.75</v>
      </c>
      <c r="U614" s="36">
        <v>46122</v>
      </c>
      <c r="V614" s="4"/>
      <c r="W614" s="4"/>
      <c r="X614" s="4"/>
    </row>
    <row r="615" spans="1:24" ht="15" thickBot="1">
      <c r="A615" s="4" t="s">
        <v>154</v>
      </c>
      <c r="B615" s="4" t="s">
        <v>940</v>
      </c>
      <c r="C615" s="4" t="s">
        <v>941</v>
      </c>
      <c r="D615" s="4" t="s">
        <v>156</v>
      </c>
      <c r="E615" s="4" t="s">
        <v>2345</v>
      </c>
      <c r="F615" s="31">
        <v>46361</v>
      </c>
      <c r="G615" s="4"/>
      <c r="H615" s="4" t="s">
        <v>2156</v>
      </c>
      <c r="I615" s="4" t="s">
        <v>2157</v>
      </c>
      <c r="J615" s="4" t="s">
        <v>382</v>
      </c>
      <c r="K615" s="4" t="s">
        <v>33</v>
      </c>
      <c r="L615" s="4" t="s">
        <v>2158</v>
      </c>
      <c r="M615" s="4"/>
      <c r="N615" s="4" t="s">
        <v>36</v>
      </c>
      <c r="O615" s="4">
        <v>1</v>
      </c>
      <c r="P615" s="112"/>
      <c r="Q615" s="4" t="s">
        <v>3746</v>
      </c>
      <c r="R615" s="34">
        <v>45</v>
      </c>
      <c r="S615" s="37">
        <v>237</v>
      </c>
      <c r="T615" s="58">
        <f t="shared" si="58"/>
        <v>282</v>
      </c>
      <c r="U615" s="36">
        <v>46122</v>
      </c>
      <c r="V615" s="4"/>
      <c r="W615" s="4"/>
      <c r="X615" s="4" t="s">
        <v>2005</v>
      </c>
    </row>
    <row r="616" spans="1:24" ht="15" thickBot="1">
      <c r="A616" s="4" t="s">
        <v>154</v>
      </c>
      <c r="B616" s="4" t="s">
        <v>940</v>
      </c>
      <c r="C616" s="4" t="s">
        <v>941</v>
      </c>
      <c r="D616" s="4" t="s">
        <v>156</v>
      </c>
      <c r="E616" s="4" t="s">
        <v>2345</v>
      </c>
      <c r="F616" s="31">
        <v>46361</v>
      </c>
      <c r="G616" s="4"/>
      <c r="H616" s="4" t="s">
        <v>2159</v>
      </c>
      <c r="I616" s="4" t="s">
        <v>2160</v>
      </c>
      <c r="J616" s="4" t="s">
        <v>160</v>
      </c>
      <c r="K616" s="4" t="s">
        <v>33</v>
      </c>
      <c r="L616" s="4" t="s">
        <v>2161</v>
      </c>
      <c r="M616" s="4"/>
      <c r="N616" s="4" t="s">
        <v>36</v>
      </c>
      <c r="O616" s="4">
        <v>1</v>
      </c>
      <c r="P616" s="112"/>
      <c r="Q616" s="4" t="s">
        <v>457</v>
      </c>
      <c r="R616" s="34">
        <v>45</v>
      </c>
      <c r="S616" s="37">
        <v>163.75</v>
      </c>
      <c r="T616" s="58">
        <f t="shared" ref="T616" si="59">SUM(R616:S616)</f>
        <v>208.75</v>
      </c>
      <c r="U616" s="36">
        <v>46122</v>
      </c>
      <c r="V616" s="4"/>
      <c r="W616" s="4"/>
      <c r="X616" s="4"/>
    </row>
    <row r="617" spans="1:24" ht="15" thickBot="1">
      <c r="A617" s="112" t="s">
        <v>154</v>
      </c>
      <c r="B617" s="112" t="s">
        <v>940</v>
      </c>
      <c r="C617" s="112" t="s">
        <v>941</v>
      </c>
      <c r="D617" s="112" t="s">
        <v>156</v>
      </c>
      <c r="E617" s="4" t="s">
        <v>2345</v>
      </c>
      <c r="F617" s="119">
        <v>46361</v>
      </c>
      <c r="G617" s="112"/>
      <c r="H617" s="112" t="s">
        <v>2162</v>
      </c>
      <c r="I617" s="112" t="s">
        <v>2163</v>
      </c>
      <c r="J617" s="112" t="s">
        <v>160</v>
      </c>
      <c r="K617" s="112" t="s">
        <v>33</v>
      </c>
      <c r="L617" s="112" t="s">
        <v>2164</v>
      </c>
      <c r="M617" s="112" t="s">
        <v>71</v>
      </c>
      <c r="N617" s="112" t="s">
        <v>499</v>
      </c>
      <c r="O617" s="112">
        <v>1</v>
      </c>
      <c r="P617" s="112"/>
      <c r="Q617" s="112" t="s">
        <v>71</v>
      </c>
      <c r="R617" s="123">
        <v>45</v>
      </c>
      <c r="S617" s="112"/>
      <c r="T617" s="124">
        <v>0</v>
      </c>
      <c r="U617" s="36"/>
      <c r="V617" s="112"/>
      <c r="W617" s="112"/>
      <c r="X617" s="112" t="s">
        <v>2005</v>
      </c>
    </row>
    <row r="618" spans="1:24" ht="15" thickBot="1">
      <c r="A618" s="4" t="s">
        <v>154</v>
      </c>
      <c r="B618" s="4" t="s">
        <v>940</v>
      </c>
      <c r="C618" s="4" t="s">
        <v>941</v>
      </c>
      <c r="D618" s="4" t="s">
        <v>156</v>
      </c>
      <c r="E618" s="4" t="s">
        <v>2345</v>
      </c>
      <c r="F618" s="31">
        <v>46361</v>
      </c>
      <c r="G618" s="4"/>
      <c r="H618" s="4" t="s">
        <v>2165</v>
      </c>
      <c r="I618" s="4" t="s">
        <v>2166</v>
      </c>
      <c r="J618" s="4" t="s">
        <v>379</v>
      </c>
      <c r="K618" s="4" t="s">
        <v>48</v>
      </c>
      <c r="L618" s="4" t="s">
        <v>2167</v>
      </c>
      <c r="M618" s="4"/>
      <c r="N618" s="4" t="s">
        <v>499</v>
      </c>
      <c r="O618" s="4">
        <v>1</v>
      </c>
      <c r="P618" s="112"/>
      <c r="Q618" s="4"/>
      <c r="R618" s="34">
        <v>45</v>
      </c>
      <c r="S618" s="4"/>
      <c r="T618" s="58">
        <v>0</v>
      </c>
      <c r="U618" s="36"/>
      <c r="V618" s="4"/>
      <c r="W618" s="4"/>
      <c r="X618" s="4" t="s">
        <v>2005</v>
      </c>
    </row>
    <row r="619" spans="1:24" ht="15" thickBot="1">
      <c r="A619" s="4" t="s">
        <v>154</v>
      </c>
      <c r="B619" s="4" t="s">
        <v>940</v>
      </c>
      <c r="C619" s="4" t="s">
        <v>941</v>
      </c>
      <c r="D619" s="4" t="s">
        <v>156</v>
      </c>
      <c r="E619" s="4" t="s">
        <v>2345</v>
      </c>
      <c r="F619" s="31">
        <v>46361</v>
      </c>
      <c r="G619" s="4"/>
      <c r="H619" s="4" t="s">
        <v>2168</v>
      </c>
      <c r="I619" s="4" t="s">
        <v>2169</v>
      </c>
      <c r="J619" s="4" t="s">
        <v>379</v>
      </c>
      <c r="K619" s="4" t="s">
        <v>48</v>
      </c>
      <c r="L619" s="4" t="s">
        <v>2170</v>
      </c>
      <c r="M619" s="4"/>
      <c r="N619" s="4" t="s">
        <v>499</v>
      </c>
      <c r="O619" s="4">
        <v>1</v>
      </c>
      <c r="P619" s="112"/>
      <c r="Q619" s="4"/>
      <c r="R619" s="34">
        <v>45</v>
      </c>
      <c r="S619" s="4"/>
      <c r="T619" s="58">
        <v>0</v>
      </c>
      <c r="U619" s="36"/>
      <c r="V619" s="4"/>
      <c r="W619" s="4"/>
      <c r="X619" s="4" t="s">
        <v>2005</v>
      </c>
    </row>
    <row r="620" spans="1:24" ht="15" thickBot="1">
      <c r="A620" s="4" t="s">
        <v>154</v>
      </c>
      <c r="B620" s="4" t="s">
        <v>940</v>
      </c>
      <c r="C620" s="4" t="s">
        <v>941</v>
      </c>
      <c r="D620" s="4" t="s">
        <v>156</v>
      </c>
      <c r="E620" s="4" t="s">
        <v>2345</v>
      </c>
      <c r="F620" s="31">
        <v>46361</v>
      </c>
      <c r="G620" s="4"/>
      <c r="H620" s="4" t="s">
        <v>2171</v>
      </c>
      <c r="I620" s="4" t="s">
        <v>2172</v>
      </c>
      <c r="J620" s="4" t="s">
        <v>502</v>
      </c>
      <c r="K620" s="4" t="s">
        <v>33</v>
      </c>
      <c r="L620" s="4" t="s">
        <v>553</v>
      </c>
      <c r="M620" s="4" t="s">
        <v>258</v>
      </c>
      <c r="N620" s="4" t="s">
        <v>36</v>
      </c>
      <c r="O620" s="4">
        <v>1</v>
      </c>
      <c r="P620" s="112"/>
      <c r="Q620" s="4" t="s">
        <v>258</v>
      </c>
      <c r="R620" s="34">
        <v>45</v>
      </c>
      <c r="S620" s="37">
        <v>320</v>
      </c>
      <c r="T620" s="58">
        <f t="shared" ref="T620:T623" si="60">SUM(R620:S620)</f>
        <v>365</v>
      </c>
      <c r="U620" s="36">
        <v>46122</v>
      </c>
      <c r="V620" s="4"/>
      <c r="W620" s="4"/>
      <c r="X620" s="4"/>
    </row>
    <row r="621" spans="1:24" ht="15" thickBot="1">
      <c r="A621" s="4" t="s">
        <v>154</v>
      </c>
      <c r="B621" s="4" t="s">
        <v>940</v>
      </c>
      <c r="C621" s="4" t="s">
        <v>941</v>
      </c>
      <c r="D621" s="4" t="s">
        <v>156</v>
      </c>
      <c r="E621" s="4" t="s">
        <v>2345</v>
      </c>
      <c r="F621" s="31">
        <v>46361</v>
      </c>
      <c r="G621" s="4"/>
      <c r="H621" s="4" t="s">
        <v>2173</v>
      </c>
      <c r="I621" s="4" t="s">
        <v>2174</v>
      </c>
      <c r="J621" s="4" t="s">
        <v>160</v>
      </c>
      <c r="K621" s="4" t="s">
        <v>33</v>
      </c>
      <c r="L621" s="4" t="s">
        <v>2175</v>
      </c>
      <c r="M621" s="4" t="s">
        <v>3678</v>
      </c>
      <c r="N621" s="4" t="s">
        <v>36</v>
      </c>
      <c r="O621" s="4">
        <v>1</v>
      </c>
      <c r="P621" s="112"/>
      <c r="Q621" s="4" t="s">
        <v>3678</v>
      </c>
      <c r="R621" s="34">
        <v>45</v>
      </c>
      <c r="S621" s="37">
        <v>215</v>
      </c>
      <c r="T621" s="58">
        <f t="shared" si="60"/>
        <v>260</v>
      </c>
      <c r="U621" s="36">
        <v>46122</v>
      </c>
      <c r="V621" s="4"/>
      <c r="W621" s="4"/>
      <c r="X621" s="4"/>
    </row>
    <row r="622" spans="1:24" ht="15" thickBot="1">
      <c r="A622" s="4" t="s">
        <v>154</v>
      </c>
      <c r="B622" s="4" t="s">
        <v>940</v>
      </c>
      <c r="C622" s="4" t="s">
        <v>941</v>
      </c>
      <c r="D622" s="4" t="s">
        <v>156</v>
      </c>
      <c r="E622" s="4" t="s">
        <v>2345</v>
      </c>
      <c r="F622" s="31">
        <v>46361</v>
      </c>
      <c r="G622" s="4"/>
      <c r="H622" s="4" t="s">
        <v>2176</v>
      </c>
      <c r="I622" s="4" t="s">
        <v>2177</v>
      </c>
      <c r="J622" s="4" t="s">
        <v>160</v>
      </c>
      <c r="K622" s="4" t="s">
        <v>33</v>
      </c>
      <c r="L622" s="4" t="s">
        <v>553</v>
      </c>
      <c r="M622" s="4" t="s">
        <v>3731</v>
      </c>
      <c r="N622" s="4" t="s">
        <v>36</v>
      </c>
      <c r="O622" s="4">
        <v>1</v>
      </c>
      <c r="P622" s="112"/>
      <c r="Q622" s="4" t="s">
        <v>3732</v>
      </c>
      <c r="R622" s="34">
        <v>45</v>
      </c>
      <c r="S622" s="37">
        <v>0</v>
      </c>
      <c r="T622" s="58">
        <f t="shared" si="60"/>
        <v>45</v>
      </c>
      <c r="U622" s="36">
        <v>46122</v>
      </c>
      <c r="V622" s="4"/>
      <c r="W622" s="4"/>
      <c r="X622" s="4"/>
    </row>
    <row r="623" spans="1:24" ht="15" thickBot="1">
      <c r="A623" s="4" t="s">
        <v>154</v>
      </c>
      <c r="B623" s="4" t="s">
        <v>940</v>
      </c>
      <c r="C623" s="4" t="s">
        <v>941</v>
      </c>
      <c r="D623" s="4" t="s">
        <v>156</v>
      </c>
      <c r="E623" s="4" t="s">
        <v>2345</v>
      </c>
      <c r="F623" s="31">
        <v>46361</v>
      </c>
      <c r="G623" s="4"/>
      <c r="H623" s="4" t="s">
        <v>2178</v>
      </c>
      <c r="I623" s="4" t="s">
        <v>2179</v>
      </c>
      <c r="J623" s="4" t="s">
        <v>502</v>
      </c>
      <c r="K623" s="4" t="s">
        <v>33</v>
      </c>
      <c r="L623" s="4" t="s">
        <v>2180</v>
      </c>
      <c r="M623" s="4" t="s">
        <v>3734</v>
      </c>
      <c r="N623" s="4" t="s">
        <v>36</v>
      </c>
      <c r="O623" s="4">
        <v>1</v>
      </c>
      <c r="P623" s="112"/>
      <c r="Q623" s="4" t="s">
        <v>3734</v>
      </c>
      <c r="R623" s="34">
        <v>45</v>
      </c>
      <c r="S623" s="37">
        <v>503.75</v>
      </c>
      <c r="T623" s="58">
        <f t="shared" si="60"/>
        <v>548.75</v>
      </c>
      <c r="U623" s="36">
        <v>46122</v>
      </c>
      <c r="V623" s="4"/>
      <c r="W623" s="4"/>
      <c r="X623" s="4" t="s">
        <v>2005</v>
      </c>
    </row>
    <row r="624" spans="1:24" ht="15" thickBot="1">
      <c r="A624" s="4" t="s">
        <v>154</v>
      </c>
      <c r="B624" s="4" t="s">
        <v>940</v>
      </c>
      <c r="C624" s="4" t="s">
        <v>941</v>
      </c>
      <c r="D624" s="4" t="s">
        <v>156</v>
      </c>
      <c r="E624" s="4" t="s">
        <v>2345</v>
      </c>
      <c r="F624" s="31">
        <v>46361</v>
      </c>
      <c r="G624" s="4"/>
      <c r="H624" s="4" t="s">
        <v>2181</v>
      </c>
      <c r="I624" s="4" t="s">
        <v>2182</v>
      </c>
      <c r="J624" s="4" t="s">
        <v>502</v>
      </c>
      <c r="K624" s="4" t="s">
        <v>33</v>
      </c>
      <c r="L624" s="4" t="s">
        <v>553</v>
      </c>
      <c r="M624" s="4" t="s">
        <v>457</v>
      </c>
      <c r="N624" s="4" t="s">
        <v>499</v>
      </c>
      <c r="O624" s="4">
        <v>1</v>
      </c>
      <c r="P624" s="112"/>
      <c r="Q624" s="4" t="s">
        <v>457</v>
      </c>
      <c r="R624" s="34">
        <v>45</v>
      </c>
      <c r="S624" s="4"/>
      <c r="T624" s="58">
        <v>0</v>
      </c>
      <c r="U624" s="36"/>
      <c r="V624" s="4"/>
      <c r="W624" s="4"/>
      <c r="X624" s="4" t="s">
        <v>2005</v>
      </c>
    </row>
    <row r="625" spans="1:24" ht="15" thickBot="1">
      <c r="A625" s="4" t="s">
        <v>154</v>
      </c>
      <c r="B625" s="4" t="s">
        <v>940</v>
      </c>
      <c r="C625" s="4" t="s">
        <v>941</v>
      </c>
      <c r="D625" s="4" t="s">
        <v>156</v>
      </c>
      <c r="E625" s="4" t="s">
        <v>2345</v>
      </c>
      <c r="F625" s="31">
        <v>46361</v>
      </c>
      <c r="G625" s="4"/>
      <c r="H625" s="4" t="s">
        <v>2183</v>
      </c>
      <c r="I625" s="4" t="s">
        <v>2184</v>
      </c>
      <c r="J625" s="4" t="s">
        <v>502</v>
      </c>
      <c r="K625" s="4" t="s">
        <v>33</v>
      </c>
      <c r="L625" s="4" t="s">
        <v>553</v>
      </c>
      <c r="M625" s="4" t="s">
        <v>168</v>
      </c>
      <c r="N625" s="4" t="s">
        <v>36</v>
      </c>
      <c r="O625" s="4">
        <v>1</v>
      </c>
      <c r="P625" s="112"/>
      <c r="Q625" s="4" t="s">
        <v>457</v>
      </c>
      <c r="R625" s="34">
        <v>45</v>
      </c>
      <c r="S625" s="37">
        <v>163.75</v>
      </c>
      <c r="T625" s="58">
        <f>SUM(R625:S625)</f>
        <v>208.75</v>
      </c>
      <c r="U625" s="36">
        <v>46122</v>
      </c>
      <c r="V625" s="4"/>
      <c r="W625" s="4"/>
      <c r="X625" s="4"/>
    </row>
    <row r="626" spans="1:24" ht="15" thickBot="1">
      <c r="A626" s="4" t="s">
        <v>25</v>
      </c>
      <c r="B626" s="4" t="s">
        <v>26</v>
      </c>
      <c r="C626" s="4">
        <v>682687160</v>
      </c>
      <c r="D626" s="4" t="s">
        <v>1164</v>
      </c>
      <c r="E626" s="4" t="s">
        <v>1268</v>
      </c>
      <c r="F626" s="31">
        <v>46041</v>
      </c>
      <c r="G626" s="4"/>
      <c r="H626" s="4" t="s">
        <v>2185</v>
      </c>
      <c r="I626" s="4" t="s">
        <v>2186</v>
      </c>
      <c r="J626" s="4" t="s">
        <v>765</v>
      </c>
      <c r="K626" s="4" t="s">
        <v>48</v>
      </c>
      <c r="L626" s="4" t="s">
        <v>2187</v>
      </c>
      <c r="M626" s="4"/>
      <c r="N626" s="4" t="s">
        <v>499</v>
      </c>
      <c r="O626" s="4">
        <v>1</v>
      </c>
      <c r="P626" s="112"/>
      <c r="Q626" s="112"/>
      <c r="R626" s="34">
        <v>45</v>
      </c>
      <c r="S626" s="112"/>
      <c r="T626" s="58">
        <v>0</v>
      </c>
      <c r="U626" s="36"/>
      <c r="V626" s="112"/>
      <c r="W626" s="112"/>
      <c r="X626" s="112"/>
    </row>
    <row r="627" spans="1:24" ht="15" thickBot="1">
      <c r="A627" s="4" t="s">
        <v>25</v>
      </c>
      <c r="B627" s="4" t="s">
        <v>26</v>
      </c>
      <c r="C627" s="4">
        <v>682687160</v>
      </c>
      <c r="D627" s="4" t="s">
        <v>1164</v>
      </c>
      <c r="E627" s="4" t="s">
        <v>1268</v>
      </c>
      <c r="F627" s="31">
        <v>46041</v>
      </c>
      <c r="G627" s="4"/>
      <c r="H627" s="4" t="s">
        <v>2188</v>
      </c>
      <c r="I627" s="4" t="s">
        <v>2189</v>
      </c>
      <c r="J627" s="4" t="s">
        <v>766</v>
      </c>
      <c r="K627" s="4" t="s">
        <v>33</v>
      </c>
      <c r="L627" s="4" t="s">
        <v>2190</v>
      </c>
      <c r="M627" s="4"/>
      <c r="N627" s="4" t="s">
        <v>499</v>
      </c>
      <c r="O627" s="4">
        <v>1</v>
      </c>
      <c r="P627" s="112"/>
      <c r="Q627" s="112"/>
      <c r="R627" s="34">
        <v>45</v>
      </c>
      <c r="S627" s="112"/>
      <c r="T627" s="58">
        <v>0</v>
      </c>
      <c r="U627" s="36"/>
      <c r="V627" s="112"/>
      <c r="W627" s="112"/>
      <c r="X627" s="112"/>
    </row>
    <row r="628" spans="1:24" ht="15" thickBot="1">
      <c r="A628" s="4" t="s">
        <v>25</v>
      </c>
      <c r="B628" s="4" t="s">
        <v>26</v>
      </c>
      <c r="C628" s="4">
        <v>682687160</v>
      </c>
      <c r="D628" s="4" t="s">
        <v>1164</v>
      </c>
      <c r="E628" s="4" t="s">
        <v>1268</v>
      </c>
      <c r="F628" s="31">
        <v>46041</v>
      </c>
      <c r="G628" s="4"/>
      <c r="H628" s="4" t="s">
        <v>2191</v>
      </c>
      <c r="I628" s="4" t="s">
        <v>2192</v>
      </c>
      <c r="J628" s="4" t="s">
        <v>767</v>
      </c>
      <c r="K628" s="4" t="s">
        <v>48</v>
      </c>
      <c r="L628" s="4" t="s">
        <v>1086</v>
      </c>
      <c r="M628" s="4"/>
      <c r="N628" s="4" t="s">
        <v>499</v>
      </c>
      <c r="O628" s="4">
        <v>1</v>
      </c>
      <c r="P628" s="112"/>
      <c r="Q628" s="112"/>
      <c r="R628" s="34">
        <v>45</v>
      </c>
      <c r="S628" s="112"/>
      <c r="T628" s="58">
        <v>0</v>
      </c>
      <c r="U628" s="36"/>
      <c r="V628" s="112"/>
      <c r="W628" s="112"/>
      <c r="X628" s="112"/>
    </row>
    <row r="629" spans="1:24" ht="15" thickBot="1">
      <c r="A629" s="4" t="s">
        <v>25</v>
      </c>
      <c r="B629" s="4" t="s">
        <v>26</v>
      </c>
      <c r="C629" s="4">
        <v>682687160</v>
      </c>
      <c r="D629" s="4" t="s">
        <v>1164</v>
      </c>
      <c r="E629" s="4" t="s">
        <v>1268</v>
      </c>
      <c r="F629" s="31">
        <v>46041</v>
      </c>
      <c r="G629" s="4"/>
      <c r="H629" s="4" t="s">
        <v>2193</v>
      </c>
      <c r="I629" s="4" t="s">
        <v>2194</v>
      </c>
      <c r="J629" s="4" t="s">
        <v>766</v>
      </c>
      <c r="K629" s="4" t="s">
        <v>33</v>
      </c>
      <c r="L629" s="4" t="s">
        <v>2190</v>
      </c>
      <c r="M629" s="4"/>
      <c r="N629" s="4" t="s">
        <v>499</v>
      </c>
      <c r="O629" s="4">
        <v>1</v>
      </c>
      <c r="P629" s="112"/>
      <c r="Q629" s="112"/>
      <c r="R629" s="34">
        <v>45</v>
      </c>
      <c r="S629" s="112"/>
      <c r="T629" s="58">
        <v>0</v>
      </c>
      <c r="U629" s="36"/>
      <c r="V629" s="112"/>
      <c r="W629" s="112"/>
      <c r="X629" s="112"/>
    </row>
    <row r="630" spans="1:24" ht="15" thickBot="1">
      <c r="A630" s="4" t="s">
        <v>25</v>
      </c>
      <c r="B630" s="4" t="s">
        <v>26</v>
      </c>
      <c r="C630" s="4">
        <v>682687160</v>
      </c>
      <c r="D630" s="4" t="s">
        <v>1164</v>
      </c>
      <c r="E630" s="4" t="s">
        <v>1268</v>
      </c>
      <c r="F630" s="31">
        <v>46041</v>
      </c>
      <c r="G630" s="4"/>
      <c r="H630" s="4" t="s">
        <v>2195</v>
      </c>
      <c r="I630" s="4" t="s">
        <v>2196</v>
      </c>
      <c r="J630" s="4" t="s">
        <v>768</v>
      </c>
      <c r="K630" s="4" t="s">
        <v>48</v>
      </c>
      <c r="L630" s="4" t="s">
        <v>2197</v>
      </c>
      <c r="M630" s="4"/>
      <c r="N630" s="4" t="s">
        <v>499</v>
      </c>
      <c r="O630" s="4">
        <v>1</v>
      </c>
      <c r="P630" s="112"/>
      <c r="Q630" s="112"/>
      <c r="R630" s="34">
        <v>45</v>
      </c>
      <c r="S630" s="112"/>
      <c r="T630" s="58">
        <v>0</v>
      </c>
      <c r="U630" s="36"/>
      <c r="V630" s="112"/>
      <c r="W630" s="112"/>
      <c r="X630" s="112"/>
    </row>
    <row r="631" spans="1:24" ht="15" thickBot="1">
      <c r="A631" s="4" t="s">
        <v>25</v>
      </c>
      <c r="B631" s="4" t="s">
        <v>26</v>
      </c>
      <c r="C631" s="4">
        <v>682687160</v>
      </c>
      <c r="D631" s="4" t="s">
        <v>1164</v>
      </c>
      <c r="E631" s="4" t="s">
        <v>1268</v>
      </c>
      <c r="F631" s="31">
        <v>46041</v>
      </c>
      <c r="G631" s="4"/>
      <c r="H631" s="4" t="s">
        <v>2198</v>
      </c>
      <c r="I631" s="4" t="s">
        <v>2199</v>
      </c>
      <c r="J631" s="4" t="s">
        <v>769</v>
      </c>
      <c r="K631" s="4" t="s">
        <v>33</v>
      </c>
      <c r="L631" s="4" t="s">
        <v>2200</v>
      </c>
      <c r="M631" s="4" t="s">
        <v>457</v>
      </c>
      <c r="N631" s="4" t="s">
        <v>36</v>
      </c>
      <c r="O631" s="4">
        <v>1</v>
      </c>
      <c r="P631" s="112"/>
      <c r="Q631" s="112" t="s">
        <v>457</v>
      </c>
      <c r="R631" s="34">
        <v>45</v>
      </c>
      <c r="S631" s="58">
        <v>163.75</v>
      </c>
      <c r="T631" s="58">
        <f>SUM(R631:S631)</f>
        <v>208.75</v>
      </c>
      <c r="U631" s="36">
        <v>46122</v>
      </c>
      <c r="V631" s="112"/>
      <c r="W631" s="112"/>
      <c r="X631" s="112"/>
    </row>
    <row r="632" spans="1:24" ht="15" thickBot="1">
      <c r="A632" s="4" t="s">
        <v>25</v>
      </c>
      <c r="B632" s="4" t="s">
        <v>26</v>
      </c>
      <c r="C632" s="4">
        <v>682687160</v>
      </c>
      <c r="D632" s="4" t="s">
        <v>1164</v>
      </c>
      <c r="E632" s="4" t="s">
        <v>1268</v>
      </c>
      <c r="F632" s="31">
        <v>46041</v>
      </c>
      <c r="G632" s="4"/>
      <c r="H632" s="4" t="s">
        <v>2201</v>
      </c>
      <c r="I632" s="4" t="s">
        <v>2202</v>
      </c>
      <c r="J632" s="4" t="s">
        <v>770</v>
      </c>
      <c r="K632" s="4" t="s">
        <v>48</v>
      </c>
      <c r="L632" s="4" t="s">
        <v>213</v>
      </c>
      <c r="M632" s="4"/>
      <c r="N632" s="4" t="s">
        <v>499</v>
      </c>
      <c r="O632" s="4">
        <v>1</v>
      </c>
      <c r="P632" s="112"/>
      <c r="Q632" s="112"/>
      <c r="R632" s="34">
        <v>45</v>
      </c>
      <c r="S632" s="112"/>
      <c r="T632" s="58">
        <v>0</v>
      </c>
      <c r="U632" s="36"/>
      <c r="V632" s="112"/>
      <c r="W632" s="112"/>
      <c r="X632" s="112"/>
    </row>
    <row r="633" spans="1:24" ht="15" thickBot="1">
      <c r="A633" s="4" t="s">
        <v>25</v>
      </c>
      <c r="B633" s="4" t="s">
        <v>26</v>
      </c>
      <c r="C633" s="4">
        <v>682687160</v>
      </c>
      <c r="D633" s="4" t="s">
        <v>1164</v>
      </c>
      <c r="E633" s="4" t="s">
        <v>1268</v>
      </c>
      <c r="F633" s="31">
        <v>46041</v>
      </c>
      <c r="G633" s="4"/>
      <c r="H633" s="4" t="s">
        <v>2203</v>
      </c>
      <c r="I633" s="4" t="s">
        <v>2204</v>
      </c>
      <c r="J633" s="4" t="s">
        <v>766</v>
      </c>
      <c r="K633" s="4" t="s">
        <v>33</v>
      </c>
      <c r="L633" s="4" t="s">
        <v>2205</v>
      </c>
      <c r="M633" s="4"/>
      <c r="N633" s="4" t="s">
        <v>499</v>
      </c>
      <c r="O633" s="4">
        <v>1</v>
      </c>
      <c r="P633" s="112"/>
      <c r="Q633" s="112"/>
      <c r="R633" s="34">
        <v>45</v>
      </c>
      <c r="S633" s="112"/>
      <c r="T633" s="58">
        <v>0</v>
      </c>
      <c r="U633" s="36"/>
      <c r="V633" s="112"/>
      <c r="W633" s="112"/>
      <c r="X633" s="112"/>
    </row>
    <row r="634" spans="1:24" ht="15" thickBot="1">
      <c r="A634" s="4" t="s">
        <v>25</v>
      </c>
      <c r="B634" s="4" t="s">
        <v>26</v>
      </c>
      <c r="C634" s="4">
        <v>682687160</v>
      </c>
      <c r="D634" s="4" t="s">
        <v>1164</v>
      </c>
      <c r="E634" s="4" t="s">
        <v>1268</v>
      </c>
      <c r="F634" s="31">
        <v>46041</v>
      </c>
      <c r="G634" s="4"/>
      <c r="H634" s="4" t="s">
        <v>2206</v>
      </c>
      <c r="I634" s="4" t="s">
        <v>2207</v>
      </c>
      <c r="J634" s="4" t="s">
        <v>770</v>
      </c>
      <c r="K634" s="4" t="s">
        <v>48</v>
      </c>
      <c r="L634" s="4" t="s">
        <v>2208</v>
      </c>
      <c r="M634" s="4"/>
      <c r="N634" s="4" t="s">
        <v>499</v>
      </c>
      <c r="O634" s="4">
        <v>1</v>
      </c>
      <c r="P634" s="112"/>
      <c r="Q634" s="112"/>
      <c r="R634" s="34">
        <v>45</v>
      </c>
      <c r="S634" s="112"/>
      <c r="T634" s="58">
        <v>0</v>
      </c>
      <c r="U634" s="36"/>
      <c r="V634" s="112"/>
      <c r="W634" s="112"/>
      <c r="X634" s="112"/>
    </row>
    <row r="635" spans="1:24" ht="15" thickBot="1">
      <c r="A635" s="4" t="s">
        <v>25</v>
      </c>
      <c r="B635" s="4" t="s">
        <v>26</v>
      </c>
      <c r="C635" s="4">
        <v>682687160</v>
      </c>
      <c r="D635" s="4" t="s">
        <v>1164</v>
      </c>
      <c r="E635" s="4" t="s">
        <v>1268</v>
      </c>
      <c r="F635" s="31">
        <v>46041</v>
      </c>
      <c r="G635" s="4"/>
      <c r="H635" s="4" t="s">
        <v>721</v>
      </c>
      <c r="I635" s="4" t="s">
        <v>722</v>
      </c>
      <c r="J635" s="4" t="s">
        <v>771</v>
      </c>
      <c r="K635" s="4" t="s">
        <v>33</v>
      </c>
      <c r="L635" s="4" t="s">
        <v>2209</v>
      </c>
      <c r="M635" s="4"/>
      <c r="N635" s="4" t="s">
        <v>499</v>
      </c>
      <c r="O635" s="4">
        <v>1</v>
      </c>
      <c r="P635" s="112"/>
      <c r="Q635" s="112"/>
      <c r="R635" s="34">
        <v>45</v>
      </c>
      <c r="S635" s="112"/>
      <c r="T635" s="58">
        <v>0</v>
      </c>
      <c r="U635" s="36"/>
      <c r="V635" s="112"/>
      <c r="W635" s="122" t="s">
        <v>789</v>
      </c>
      <c r="X635" s="112"/>
    </row>
    <row r="636" spans="1:24" ht="15" thickBot="1">
      <c r="A636" s="4" t="s">
        <v>25</v>
      </c>
      <c r="B636" s="4" t="s">
        <v>26</v>
      </c>
      <c r="C636" s="4">
        <v>682687160</v>
      </c>
      <c r="D636" s="4" t="s">
        <v>1164</v>
      </c>
      <c r="E636" s="4" t="s">
        <v>1268</v>
      </c>
      <c r="F636" s="31">
        <v>46041</v>
      </c>
      <c r="G636" s="4"/>
      <c r="H636" s="4" t="s">
        <v>2210</v>
      </c>
      <c r="I636" s="4" t="s">
        <v>2211</v>
      </c>
      <c r="J636" s="4" t="s">
        <v>769</v>
      </c>
      <c r="K636" s="4" t="s">
        <v>33</v>
      </c>
      <c r="L636" s="4" t="s">
        <v>2212</v>
      </c>
      <c r="M636" s="4"/>
      <c r="N636" s="4" t="s">
        <v>36</v>
      </c>
      <c r="O636" s="4">
        <v>1</v>
      </c>
      <c r="P636" s="112"/>
      <c r="Q636" s="130" t="s">
        <v>3699</v>
      </c>
      <c r="R636" s="34">
        <v>45</v>
      </c>
      <c r="S636" s="58">
        <v>308.75</v>
      </c>
      <c r="T636" s="58">
        <f>SUM(R636:S636)</f>
        <v>353.75</v>
      </c>
      <c r="U636" s="36">
        <v>46122</v>
      </c>
      <c r="V636" s="112"/>
      <c r="W636" s="112"/>
      <c r="X636" s="112"/>
    </row>
    <row r="637" spans="1:24" ht="15" thickBot="1">
      <c r="A637" s="4" t="s">
        <v>25</v>
      </c>
      <c r="B637" s="4" t="s">
        <v>26</v>
      </c>
      <c r="C637" s="4">
        <v>682687160</v>
      </c>
      <c r="D637" s="4" t="s">
        <v>1164</v>
      </c>
      <c r="E637" s="4" t="s">
        <v>1268</v>
      </c>
      <c r="F637" s="31">
        <v>46041</v>
      </c>
      <c r="G637" s="4"/>
      <c r="H637" s="4" t="s">
        <v>2213</v>
      </c>
      <c r="I637" s="4" t="s">
        <v>2214</v>
      </c>
      <c r="J637" s="4" t="s">
        <v>766</v>
      </c>
      <c r="K637" s="4" t="s">
        <v>33</v>
      </c>
      <c r="L637" s="4" t="s">
        <v>2215</v>
      </c>
      <c r="M637" s="4" t="s">
        <v>4006</v>
      </c>
      <c r="N637" s="4" t="s">
        <v>499</v>
      </c>
      <c r="O637" s="4">
        <v>1</v>
      </c>
      <c r="P637" s="112"/>
      <c r="Q637" s="4" t="s">
        <v>4006</v>
      </c>
      <c r="R637" s="34">
        <v>45</v>
      </c>
      <c r="S637" s="112"/>
      <c r="T637" s="58">
        <v>0</v>
      </c>
      <c r="U637" s="36"/>
      <c r="V637" s="112"/>
      <c r="W637" s="112"/>
      <c r="X637" s="112"/>
    </row>
    <row r="638" spans="1:24" ht="15" thickBot="1">
      <c r="A638" s="4" t="s">
        <v>25</v>
      </c>
      <c r="B638" s="4" t="s">
        <v>26</v>
      </c>
      <c r="C638" s="4">
        <v>682687160</v>
      </c>
      <c r="D638" s="4" t="s">
        <v>1164</v>
      </c>
      <c r="E638" s="4" t="s">
        <v>1268</v>
      </c>
      <c r="F638" s="31">
        <v>46041</v>
      </c>
      <c r="G638" s="4"/>
      <c r="H638" s="4" t="s">
        <v>2216</v>
      </c>
      <c r="I638" s="4" t="s">
        <v>2217</v>
      </c>
      <c r="J638" s="4" t="s">
        <v>765</v>
      </c>
      <c r="K638" s="4" t="s">
        <v>48</v>
      </c>
      <c r="L638" s="4" t="s">
        <v>2218</v>
      </c>
      <c r="M638" s="4"/>
      <c r="N638" s="4" t="s">
        <v>499</v>
      </c>
      <c r="O638" s="4">
        <v>1</v>
      </c>
      <c r="P638" s="112"/>
      <c r="Q638" s="112"/>
      <c r="R638" s="34">
        <v>45</v>
      </c>
      <c r="S638" s="112"/>
      <c r="T638" s="58">
        <v>0</v>
      </c>
      <c r="U638" s="36"/>
      <c r="V638" s="112"/>
      <c r="W638" s="112"/>
      <c r="X638" s="112"/>
    </row>
    <row r="639" spans="1:24" ht="15" thickBot="1">
      <c r="A639" s="4" t="s">
        <v>25</v>
      </c>
      <c r="B639" s="4" t="s">
        <v>26</v>
      </c>
      <c r="C639" s="4">
        <v>682687160</v>
      </c>
      <c r="D639" s="4" t="s">
        <v>1164</v>
      </c>
      <c r="E639" s="4" t="s">
        <v>1268</v>
      </c>
      <c r="F639" s="31">
        <v>46041</v>
      </c>
      <c r="G639" s="4"/>
      <c r="H639" s="4" t="s">
        <v>2219</v>
      </c>
      <c r="I639" s="4" t="s">
        <v>2220</v>
      </c>
      <c r="J639" s="4" t="s">
        <v>769</v>
      </c>
      <c r="K639" s="4" t="s">
        <v>33</v>
      </c>
      <c r="L639" s="4" t="s">
        <v>2221</v>
      </c>
      <c r="M639" s="4"/>
      <c r="N639" s="4" t="s">
        <v>499</v>
      </c>
      <c r="O639" s="4">
        <v>1</v>
      </c>
      <c r="P639" s="112"/>
      <c r="Q639" s="112"/>
      <c r="R639" s="34">
        <v>45</v>
      </c>
      <c r="S639" s="112"/>
      <c r="T639" s="58">
        <v>0</v>
      </c>
      <c r="U639" s="36"/>
      <c r="V639" s="112"/>
      <c r="W639" s="112"/>
      <c r="X639" s="112"/>
    </row>
    <row r="640" spans="1:24" ht="15" thickBot="1">
      <c r="A640" s="4" t="s">
        <v>25</v>
      </c>
      <c r="B640" s="4" t="s">
        <v>26</v>
      </c>
      <c r="C640" s="4" t="s">
        <v>27</v>
      </c>
      <c r="D640" s="4" t="s">
        <v>28</v>
      </c>
      <c r="E640" s="4" t="s">
        <v>29</v>
      </c>
      <c r="F640" s="31">
        <v>46048</v>
      </c>
      <c r="G640" s="4"/>
      <c r="H640" s="4" t="s">
        <v>2222</v>
      </c>
      <c r="I640" s="4" t="s">
        <v>2223</v>
      </c>
      <c r="J640" s="4" t="s">
        <v>770</v>
      </c>
      <c r="K640" s="4" t="s">
        <v>48</v>
      </c>
      <c r="L640" s="4" t="s">
        <v>2224</v>
      </c>
      <c r="M640" s="4"/>
      <c r="N640" s="4" t="s">
        <v>499</v>
      </c>
      <c r="O640" s="4">
        <v>1</v>
      </c>
      <c r="P640" s="112"/>
      <c r="Q640" s="112"/>
      <c r="R640" s="34">
        <v>45</v>
      </c>
      <c r="S640" s="112"/>
      <c r="T640" s="58">
        <v>0</v>
      </c>
      <c r="U640" s="36"/>
      <c r="V640" s="112"/>
      <c r="W640" s="112"/>
      <c r="X640" s="112"/>
    </row>
    <row r="641" spans="1:24" ht="15" thickBot="1">
      <c r="A641" s="4" t="s">
        <v>25</v>
      </c>
      <c r="B641" s="4" t="s">
        <v>26</v>
      </c>
      <c r="C641" s="4" t="s">
        <v>27</v>
      </c>
      <c r="D641" s="4" t="s">
        <v>28</v>
      </c>
      <c r="E641" s="4" t="s">
        <v>29</v>
      </c>
      <c r="F641" s="31">
        <v>46048</v>
      </c>
      <c r="G641" s="4"/>
      <c r="H641" s="4" t="s">
        <v>2225</v>
      </c>
      <c r="I641" s="4" t="s">
        <v>2226</v>
      </c>
      <c r="J641" s="4" t="s">
        <v>771</v>
      </c>
      <c r="K641" s="4"/>
      <c r="L641" s="4" t="s">
        <v>2227</v>
      </c>
      <c r="M641" s="4" t="s">
        <v>3836</v>
      </c>
      <c r="N641" s="4" t="s">
        <v>499</v>
      </c>
      <c r="O641" s="4">
        <v>1</v>
      </c>
      <c r="P641" s="112"/>
      <c r="Q641" s="4" t="s">
        <v>3836</v>
      </c>
      <c r="R641" s="34">
        <v>45</v>
      </c>
      <c r="S641" s="112"/>
      <c r="T641" s="58">
        <v>0</v>
      </c>
      <c r="U641" s="36"/>
      <c r="V641" s="112"/>
      <c r="W641" s="112"/>
      <c r="X641" s="112"/>
    </row>
    <row r="642" spans="1:24" ht="15" thickBot="1">
      <c r="A642" s="4" t="s">
        <v>25</v>
      </c>
      <c r="B642" s="4" t="s">
        <v>26</v>
      </c>
      <c r="C642" s="4" t="s">
        <v>27</v>
      </c>
      <c r="D642" s="4" t="s">
        <v>28</v>
      </c>
      <c r="E642" s="4" t="s">
        <v>29</v>
      </c>
      <c r="F642" s="31">
        <v>46048</v>
      </c>
      <c r="G642" s="4"/>
      <c r="H642" s="4" t="s">
        <v>2228</v>
      </c>
      <c r="I642" s="4" t="s">
        <v>2229</v>
      </c>
      <c r="J642" s="4" t="s">
        <v>769</v>
      </c>
      <c r="K642" s="4" t="s">
        <v>33</v>
      </c>
      <c r="L642" s="4" t="s">
        <v>2230</v>
      </c>
      <c r="M642" s="4" t="s">
        <v>352</v>
      </c>
      <c r="N642" s="4" t="s">
        <v>499</v>
      </c>
      <c r="O642" s="4">
        <v>1</v>
      </c>
      <c r="P642" s="112"/>
      <c r="Q642" s="112" t="s">
        <v>352</v>
      </c>
      <c r="R642" s="34">
        <v>45</v>
      </c>
      <c r="S642" s="112"/>
      <c r="T642" s="58">
        <v>0</v>
      </c>
      <c r="U642" s="36"/>
      <c r="V642" s="112"/>
      <c r="W642" s="112"/>
      <c r="X642" s="112"/>
    </row>
    <row r="643" spans="1:24" ht="15" thickBot="1">
      <c r="A643" s="4" t="s">
        <v>25</v>
      </c>
      <c r="B643" s="4" t="s">
        <v>26</v>
      </c>
      <c r="C643" s="4" t="s">
        <v>27</v>
      </c>
      <c r="D643" s="4" t="s">
        <v>28</v>
      </c>
      <c r="E643" s="4" t="s">
        <v>29</v>
      </c>
      <c r="F643" s="31">
        <v>46048</v>
      </c>
      <c r="G643" s="4"/>
      <c r="H643" s="4" t="s">
        <v>2231</v>
      </c>
      <c r="I643" s="4" t="s">
        <v>2232</v>
      </c>
      <c r="J643" s="4" t="s">
        <v>769</v>
      </c>
      <c r="K643" s="4" t="s">
        <v>33</v>
      </c>
      <c r="L643" s="4" t="s">
        <v>2233</v>
      </c>
      <c r="M643" s="4" t="s">
        <v>3695</v>
      </c>
      <c r="N643" s="4" t="s">
        <v>36</v>
      </c>
      <c r="O643" s="4">
        <v>1</v>
      </c>
      <c r="P643" s="112"/>
      <c r="Q643" s="4" t="s">
        <v>3695</v>
      </c>
      <c r="R643" s="34">
        <v>45</v>
      </c>
      <c r="S643" s="58">
        <v>378.75</v>
      </c>
      <c r="T643" s="58">
        <f>SUM(R643:S643)</f>
        <v>423.75</v>
      </c>
      <c r="U643" s="36">
        <v>46122</v>
      </c>
      <c r="V643" s="112"/>
      <c r="W643" s="112"/>
      <c r="X643" s="4" t="s">
        <v>3714</v>
      </c>
    </row>
    <row r="644" spans="1:24" ht="15" thickBot="1">
      <c r="A644" s="4" t="s">
        <v>25</v>
      </c>
      <c r="B644" s="4" t="s">
        <v>26</v>
      </c>
      <c r="C644" s="4" t="s">
        <v>27</v>
      </c>
      <c r="D644" s="4" t="s">
        <v>28</v>
      </c>
      <c r="E644" s="4" t="s">
        <v>29</v>
      </c>
      <c r="F644" s="31">
        <v>46048</v>
      </c>
      <c r="G644" s="4"/>
      <c r="H644" s="4" t="s">
        <v>2234</v>
      </c>
      <c r="I644" s="4" t="s">
        <v>2235</v>
      </c>
      <c r="J644" s="4" t="s">
        <v>771</v>
      </c>
      <c r="K644" s="4" t="s">
        <v>33</v>
      </c>
      <c r="L644" s="4" t="s">
        <v>2236</v>
      </c>
      <c r="M644" s="4" t="s">
        <v>3837</v>
      </c>
      <c r="N644" s="4" t="s">
        <v>499</v>
      </c>
      <c r="O644" s="4">
        <v>1</v>
      </c>
      <c r="P644" s="112"/>
      <c r="Q644" s="4" t="s">
        <v>3837</v>
      </c>
      <c r="R644" s="34">
        <v>45</v>
      </c>
      <c r="S644" s="112"/>
      <c r="T644" s="58">
        <v>0</v>
      </c>
      <c r="U644" s="36"/>
      <c r="V644" s="112"/>
      <c r="W644" s="112"/>
      <c r="X644" s="112"/>
    </row>
    <row r="645" spans="1:24" ht="15" thickBot="1">
      <c r="A645" s="4" t="s">
        <v>25</v>
      </c>
      <c r="B645" s="4" t="s">
        <v>26</v>
      </c>
      <c r="C645" s="4" t="s">
        <v>27</v>
      </c>
      <c r="D645" s="4" t="s">
        <v>28</v>
      </c>
      <c r="E645" s="4" t="s">
        <v>29</v>
      </c>
      <c r="F645" s="31">
        <v>46048</v>
      </c>
      <c r="G645" s="4"/>
      <c r="H645" s="4" t="s">
        <v>2237</v>
      </c>
      <c r="I645" s="4" t="s">
        <v>2238</v>
      </c>
      <c r="J645" s="4" t="s">
        <v>769</v>
      </c>
      <c r="K645" s="4"/>
      <c r="L645" s="4" t="s">
        <v>2239</v>
      </c>
      <c r="M645" s="4"/>
      <c r="N645" s="4" t="s">
        <v>499</v>
      </c>
      <c r="O645" s="4">
        <v>1</v>
      </c>
      <c r="P645" s="112"/>
      <c r="Q645" s="112"/>
      <c r="R645" s="34">
        <v>45</v>
      </c>
      <c r="S645" s="112"/>
      <c r="T645" s="58">
        <v>0</v>
      </c>
      <c r="U645" s="36"/>
      <c r="V645" s="112"/>
      <c r="W645" s="112"/>
      <c r="X645" s="112"/>
    </row>
    <row r="646" spans="1:24" ht="15" thickBot="1">
      <c r="A646" s="4" t="s">
        <v>25</v>
      </c>
      <c r="B646" s="4" t="s">
        <v>26</v>
      </c>
      <c r="C646" s="4" t="s">
        <v>27</v>
      </c>
      <c r="D646" s="4" t="s">
        <v>28</v>
      </c>
      <c r="E646" s="4" t="s">
        <v>29</v>
      </c>
      <c r="F646" s="31">
        <v>46048</v>
      </c>
      <c r="G646" s="4"/>
      <c r="H646" s="4" t="s">
        <v>2240</v>
      </c>
      <c r="I646" s="4" t="s">
        <v>2241</v>
      </c>
      <c r="J646" s="4" t="s">
        <v>769</v>
      </c>
      <c r="K646" s="4" t="s">
        <v>3232</v>
      </c>
      <c r="L646" s="4" t="s">
        <v>2242</v>
      </c>
      <c r="M646" s="4"/>
      <c r="N646" s="4" t="s">
        <v>36</v>
      </c>
      <c r="O646" s="4">
        <v>1</v>
      </c>
      <c r="P646" s="112"/>
      <c r="Q646" s="112" t="s">
        <v>2242</v>
      </c>
      <c r="R646" s="34">
        <v>45</v>
      </c>
      <c r="S646" s="58">
        <v>455.5</v>
      </c>
      <c r="T646" s="58">
        <f>SUM(R646:S646)</f>
        <v>500.5</v>
      </c>
      <c r="U646" s="126">
        <v>46072</v>
      </c>
      <c r="V646" s="112"/>
      <c r="W646" s="112"/>
      <c r="X646" s="112"/>
    </row>
    <row r="647" spans="1:24" ht="15" thickBot="1">
      <c r="A647" s="4" t="s">
        <v>25</v>
      </c>
      <c r="B647" s="4" t="s">
        <v>26</v>
      </c>
      <c r="C647" s="4" t="s">
        <v>27</v>
      </c>
      <c r="D647" s="4" t="s">
        <v>28</v>
      </c>
      <c r="E647" s="4" t="s">
        <v>29</v>
      </c>
      <c r="F647" s="31">
        <v>46048</v>
      </c>
      <c r="G647" s="4"/>
      <c r="H647" s="4" t="s">
        <v>2243</v>
      </c>
      <c r="I647" s="4" t="s">
        <v>2244</v>
      </c>
      <c r="J647" s="4" t="s">
        <v>770</v>
      </c>
      <c r="K647" s="4"/>
      <c r="L647" s="4" t="s">
        <v>2245</v>
      </c>
      <c r="M647" s="4"/>
      <c r="N647" s="4" t="s">
        <v>499</v>
      </c>
      <c r="O647" s="4">
        <v>1</v>
      </c>
      <c r="P647" s="112"/>
      <c r="Q647" s="112"/>
      <c r="R647" s="34">
        <v>45</v>
      </c>
      <c r="S647" s="112"/>
      <c r="T647" s="58">
        <v>0</v>
      </c>
      <c r="U647" s="36"/>
      <c r="V647" s="112"/>
      <c r="W647" s="112"/>
      <c r="X647" s="112"/>
    </row>
    <row r="648" spans="1:24" ht="15" thickBot="1">
      <c r="A648" s="4" t="s">
        <v>25</v>
      </c>
      <c r="B648" s="4" t="s">
        <v>26</v>
      </c>
      <c r="C648" s="4" t="s">
        <v>27</v>
      </c>
      <c r="D648" s="4" t="s">
        <v>28</v>
      </c>
      <c r="E648" s="4" t="s">
        <v>29</v>
      </c>
      <c r="F648" s="31">
        <v>46048</v>
      </c>
      <c r="G648" s="4"/>
      <c r="H648" s="4" t="s">
        <v>2246</v>
      </c>
      <c r="I648" s="4" t="s">
        <v>2247</v>
      </c>
      <c r="J648" s="4" t="s">
        <v>770</v>
      </c>
      <c r="K648" s="4"/>
      <c r="L648" s="4" t="s">
        <v>2248</v>
      </c>
      <c r="M648" s="4"/>
      <c r="N648" s="4" t="s">
        <v>499</v>
      </c>
      <c r="O648" s="4">
        <v>1</v>
      </c>
      <c r="P648" s="112"/>
      <c r="Q648" s="112"/>
      <c r="R648" s="34">
        <v>45</v>
      </c>
      <c r="S648" s="112"/>
      <c r="T648" s="58">
        <v>0</v>
      </c>
      <c r="U648" s="36"/>
      <c r="V648" s="112"/>
      <c r="W648" s="112"/>
      <c r="X648" s="112"/>
    </row>
    <row r="649" spans="1:24" ht="15" thickBot="1">
      <c r="A649" s="4" t="s">
        <v>25</v>
      </c>
      <c r="B649" s="4" t="s">
        <v>26</v>
      </c>
      <c r="C649" s="4" t="s">
        <v>27</v>
      </c>
      <c r="D649" s="4" t="s">
        <v>28</v>
      </c>
      <c r="E649" s="4" t="s">
        <v>29</v>
      </c>
      <c r="F649" s="31">
        <v>46048</v>
      </c>
      <c r="G649" s="4"/>
      <c r="H649" s="4" t="s">
        <v>2249</v>
      </c>
      <c r="I649" s="4" t="s">
        <v>2250</v>
      </c>
      <c r="J649" s="4" t="s">
        <v>768</v>
      </c>
      <c r="K649" s="4"/>
      <c r="L649" s="4" t="s">
        <v>2251</v>
      </c>
      <c r="M649" s="4"/>
      <c r="N649" s="4" t="s">
        <v>499</v>
      </c>
      <c r="O649" s="4">
        <v>1</v>
      </c>
      <c r="P649" s="112"/>
      <c r="Q649" s="112"/>
      <c r="R649" s="34">
        <v>45</v>
      </c>
      <c r="S649" s="112"/>
      <c r="T649" s="58">
        <v>0</v>
      </c>
      <c r="U649" s="36"/>
      <c r="V649" s="112"/>
      <c r="W649" s="112"/>
      <c r="X649" s="112"/>
    </row>
    <row r="650" spans="1:24" ht="15" thickBot="1">
      <c r="A650" s="4" t="s">
        <v>25</v>
      </c>
      <c r="B650" s="4" t="s">
        <v>26</v>
      </c>
      <c r="C650" s="4" t="s">
        <v>27</v>
      </c>
      <c r="D650" s="4" t="s">
        <v>28</v>
      </c>
      <c r="E650" s="4" t="s">
        <v>29</v>
      </c>
      <c r="F650" s="31">
        <v>46048</v>
      </c>
      <c r="G650" s="4"/>
      <c r="H650" s="4" t="s">
        <v>2252</v>
      </c>
      <c r="I650" s="4" t="s">
        <v>2253</v>
      </c>
      <c r="J650" s="4" t="s">
        <v>769</v>
      </c>
      <c r="K650" s="4" t="s">
        <v>33</v>
      </c>
      <c r="L650" s="4" t="s">
        <v>2251</v>
      </c>
      <c r="M650" s="4" t="s">
        <v>71</v>
      </c>
      <c r="N650" s="4" t="s">
        <v>36</v>
      </c>
      <c r="O650" s="4">
        <v>1</v>
      </c>
      <c r="P650" s="112"/>
      <c r="Q650" s="112" t="s">
        <v>71</v>
      </c>
      <c r="R650" s="34">
        <v>45</v>
      </c>
      <c r="S650" s="58">
        <v>120</v>
      </c>
      <c r="T650" s="58">
        <f>SUM(R650:S650)</f>
        <v>165</v>
      </c>
      <c r="U650" s="36">
        <v>46122</v>
      </c>
      <c r="V650" s="112"/>
      <c r="W650" s="112"/>
      <c r="X650" s="112"/>
    </row>
    <row r="651" spans="1:24" ht="15" thickBot="1">
      <c r="A651" s="4" t="s">
        <v>25</v>
      </c>
      <c r="B651" s="4" t="s">
        <v>26</v>
      </c>
      <c r="C651" s="4" t="s">
        <v>27</v>
      </c>
      <c r="D651" s="4" t="s">
        <v>28</v>
      </c>
      <c r="E651" s="4" t="s">
        <v>29</v>
      </c>
      <c r="F651" s="31">
        <v>46048</v>
      </c>
      <c r="G651" s="4"/>
      <c r="H651" s="4" t="s">
        <v>2254</v>
      </c>
      <c r="I651" s="4" t="s">
        <v>2255</v>
      </c>
      <c r="J651" s="4" t="s">
        <v>771</v>
      </c>
      <c r="K651" s="4"/>
      <c r="L651" s="4" t="s">
        <v>2256</v>
      </c>
      <c r="M651" s="4"/>
      <c r="N651" s="4" t="s">
        <v>499</v>
      </c>
      <c r="O651" s="4">
        <v>1</v>
      </c>
      <c r="P651" s="112"/>
      <c r="Q651" s="112"/>
      <c r="R651" s="34">
        <v>45</v>
      </c>
      <c r="S651" s="112"/>
      <c r="T651" s="58">
        <v>0</v>
      </c>
      <c r="U651" s="36"/>
      <c r="V651" s="112"/>
      <c r="W651" s="112"/>
      <c r="X651" s="112"/>
    </row>
    <row r="652" spans="1:24" ht="15" thickBot="1">
      <c r="A652" s="4" t="s">
        <v>25</v>
      </c>
      <c r="B652" s="4" t="s">
        <v>26</v>
      </c>
      <c r="C652" s="4" t="s">
        <v>27</v>
      </c>
      <c r="D652" s="4" t="s">
        <v>28</v>
      </c>
      <c r="E652" s="4" t="s">
        <v>29</v>
      </c>
      <c r="F652" s="31">
        <v>46048</v>
      </c>
      <c r="G652" s="4"/>
      <c r="H652" s="4" t="s">
        <v>2257</v>
      </c>
      <c r="I652" s="4" t="s">
        <v>2258</v>
      </c>
      <c r="J652" s="4" t="s">
        <v>770</v>
      </c>
      <c r="K652" s="4"/>
      <c r="L652" s="4" t="s">
        <v>2259</v>
      </c>
      <c r="M652" s="4"/>
      <c r="N652" s="4" t="s">
        <v>499</v>
      </c>
      <c r="O652" s="4">
        <v>1</v>
      </c>
      <c r="P652" s="112"/>
      <c r="Q652" s="112"/>
      <c r="R652" s="34">
        <v>45</v>
      </c>
      <c r="S652" s="112"/>
      <c r="T652" s="58">
        <v>0</v>
      </c>
      <c r="U652" s="36"/>
      <c r="V652" s="112"/>
      <c r="W652" s="112"/>
      <c r="X652" s="112"/>
    </row>
    <row r="653" spans="1:24" ht="15" thickBot="1">
      <c r="A653" s="4" t="s">
        <v>25</v>
      </c>
      <c r="B653" s="4" t="s">
        <v>26</v>
      </c>
      <c r="C653" s="4" t="s">
        <v>27</v>
      </c>
      <c r="D653" s="4" t="s">
        <v>28</v>
      </c>
      <c r="E653" s="4" t="s">
        <v>29</v>
      </c>
      <c r="F653" s="31">
        <v>46048</v>
      </c>
      <c r="G653" s="4"/>
      <c r="H653" s="4" t="s">
        <v>2260</v>
      </c>
      <c r="I653" s="4" t="s">
        <v>2261</v>
      </c>
      <c r="J653" s="4" t="s">
        <v>769</v>
      </c>
      <c r="K653" s="4" t="s">
        <v>3232</v>
      </c>
      <c r="L653" s="4" t="s">
        <v>2262</v>
      </c>
      <c r="M653" s="4" t="s">
        <v>820</v>
      </c>
      <c r="N653" s="4" t="s">
        <v>36</v>
      </c>
      <c r="O653" s="4">
        <v>1</v>
      </c>
      <c r="P653" s="112"/>
      <c r="Q653" s="112" t="s">
        <v>820</v>
      </c>
      <c r="R653" s="34">
        <v>45</v>
      </c>
      <c r="S653" s="58">
        <v>274.75</v>
      </c>
      <c r="T653" s="58">
        <f>SUM(R653:S653)</f>
        <v>319.75</v>
      </c>
      <c r="U653" s="126">
        <v>46072</v>
      </c>
      <c r="V653" s="112"/>
      <c r="W653" s="112"/>
      <c r="X653" s="112"/>
    </row>
    <row r="654" spans="1:24" ht="15" thickBot="1">
      <c r="A654" s="4" t="s">
        <v>25</v>
      </c>
      <c r="B654" s="4" t="s">
        <v>26</v>
      </c>
      <c r="C654" s="4" t="s">
        <v>27</v>
      </c>
      <c r="D654" s="4" t="s">
        <v>28</v>
      </c>
      <c r="E654" s="4" t="s">
        <v>29</v>
      </c>
      <c r="F654" s="31">
        <v>46048</v>
      </c>
      <c r="G654" s="4"/>
      <c r="H654" s="4" t="s">
        <v>2263</v>
      </c>
      <c r="I654" s="4" t="s">
        <v>2264</v>
      </c>
      <c r="J654" s="4" t="s">
        <v>770</v>
      </c>
      <c r="K654" s="4"/>
      <c r="L654" s="4" t="s">
        <v>2265</v>
      </c>
      <c r="M654" s="4"/>
      <c r="N654" s="4" t="s">
        <v>499</v>
      </c>
      <c r="O654" s="4">
        <v>1</v>
      </c>
      <c r="P654" s="112"/>
      <c r="Q654" s="112"/>
      <c r="R654" s="34">
        <v>45</v>
      </c>
      <c r="S654" s="112"/>
      <c r="T654" s="58">
        <v>0</v>
      </c>
      <c r="U654" s="36"/>
      <c r="V654" s="112"/>
      <c r="W654" s="112"/>
      <c r="X654" s="112"/>
    </row>
    <row r="655" spans="1:24" ht="15" thickBot="1">
      <c r="A655" s="4" t="s">
        <v>25</v>
      </c>
      <c r="B655" s="4" t="s">
        <v>26</v>
      </c>
      <c r="C655" s="4" t="s">
        <v>27</v>
      </c>
      <c r="D655" s="4" t="s">
        <v>28</v>
      </c>
      <c r="E655" s="4" t="s">
        <v>29</v>
      </c>
      <c r="F655" s="31">
        <v>46048</v>
      </c>
      <c r="G655" s="4"/>
      <c r="H655" s="4" t="s">
        <v>2266</v>
      </c>
      <c r="I655" s="4" t="s">
        <v>2267</v>
      </c>
      <c r="J655" s="4" t="s">
        <v>770</v>
      </c>
      <c r="K655" s="4"/>
      <c r="L655" s="4" t="s">
        <v>2268</v>
      </c>
      <c r="M655" s="4"/>
      <c r="N655" s="4" t="s">
        <v>499</v>
      </c>
      <c r="O655" s="4">
        <v>1</v>
      </c>
      <c r="P655" s="112"/>
      <c r="Q655" s="112"/>
      <c r="R655" s="34">
        <v>45</v>
      </c>
      <c r="S655" s="112"/>
      <c r="T655" s="58">
        <v>0</v>
      </c>
      <c r="U655" s="36"/>
      <c r="V655" s="112"/>
      <c r="W655" s="112"/>
      <c r="X655" s="112"/>
    </row>
    <row r="656" spans="1:24" ht="15" thickBot="1">
      <c r="A656" s="4" t="s">
        <v>25</v>
      </c>
      <c r="B656" s="4" t="s">
        <v>26</v>
      </c>
      <c r="C656" s="4" t="s">
        <v>27</v>
      </c>
      <c r="D656" s="4" t="s">
        <v>28</v>
      </c>
      <c r="E656" s="4" t="s">
        <v>29</v>
      </c>
      <c r="F656" s="31">
        <v>46048</v>
      </c>
      <c r="G656" s="4"/>
      <c r="H656" s="4" t="s">
        <v>2269</v>
      </c>
      <c r="I656" s="4" t="s">
        <v>2270</v>
      </c>
      <c r="J656" s="4" t="s">
        <v>769</v>
      </c>
      <c r="K656" s="4" t="s">
        <v>33</v>
      </c>
      <c r="L656" s="4" t="s">
        <v>2271</v>
      </c>
      <c r="M656" s="4" t="s">
        <v>457</v>
      </c>
      <c r="N656" s="4" t="s">
        <v>36</v>
      </c>
      <c r="O656" s="4">
        <v>1</v>
      </c>
      <c r="P656" s="112"/>
      <c r="Q656" s="112" t="s">
        <v>457</v>
      </c>
      <c r="R656" s="34">
        <v>45</v>
      </c>
      <c r="S656" s="58">
        <v>163.75</v>
      </c>
      <c r="T656" s="58">
        <f t="shared" ref="T656:T661" si="61">SUM(R656:S656)</f>
        <v>208.75</v>
      </c>
      <c r="U656" s="36">
        <v>46122</v>
      </c>
      <c r="V656" s="112"/>
      <c r="W656" s="112"/>
      <c r="X656" s="112"/>
    </row>
    <row r="657" spans="1:24" ht="15" thickBot="1">
      <c r="A657" s="4" t="s">
        <v>25</v>
      </c>
      <c r="B657" s="4" t="s">
        <v>26</v>
      </c>
      <c r="C657" s="4" t="s">
        <v>27</v>
      </c>
      <c r="D657" s="4" t="s">
        <v>28</v>
      </c>
      <c r="E657" s="4" t="s">
        <v>29</v>
      </c>
      <c r="F657" s="31">
        <v>46048</v>
      </c>
      <c r="G657" s="4"/>
      <c r="H657" s="4" t="s">
        <v>1451</v>
      </c>
      <c r="I657" s="4" t="s">
        <v>1452</v>
      </c>
      <c r="J657" s="4" t="s">
        <v>769</v>
      </c>
      <c r="K657" s="4" t="s">
        <v>33</v>
      </c>
      <c r="L657" s="4" t="s">
        <v>2000</v>
      </c>
      <c r="M657" s="4" t="s">
        <v>44</v>
      </c>
      <c r="N657" s="4" t="s">
        <v>36</v>
      </c>
      <c r="O657" s="4">
        <v>1</v>
      </c>
      <c r="P657" s="112"/>
      <c r="Q657" s="112" t="s">
        <v>134</v>
      </c>
      <c r="R657" s="34">
        <v>45</v>
      </c>
      <c r="S657" s="58">
        <v>77</v>
      </c>
      <c r="T657" s="58">
        <f t="shared" si="61"/>
        <v>122</v>
      </c>
      <c r="U657" s="36">
        <v>46122</v>
      </c>
      <c r="V657" s="112"/>
      <c r="W657" s="122" t="s">
        <v>789</v>
      </c>
      <c r="X657" s="112"/>
    </row>
    <row r="658" spans="1:24" ht="15" thickBot="1">
      <c r="A658" s="4" t="s">
        <v>25</v>
      </c>
      <c r="B658" s="4" t="s">
        <v>26</v>
      </c>
      <c r="C658" s="4" t="s">
        <v>27</v>
      </c>
      <c r="D658" s="4" t="s">
        <v>28</v>
      </c>
      <c r="E658" s="4" t="s">
        <v>29</v>
      </c>
      <c r="F658" s="31">
        <v>46048</v>
      </c>
      <c r="G658" s="4"/>
      <c r="H658" s="4" t="s">
        <v>2272</v>
      </c>
      <c r="I658" s="4" t="s">
        <v>2273</v>
      </c>
      <c r="J658" s="4" t="s">
        <v>769</v>
      </c>
      <c r="K658" s="4" t="s">
        <v>3232</v>
      </c>
      <c r="L658" s="4" t="s">
        <v>2274</v>
      </c>
      <c r="M658" s="112" t="s">
        <v>2275</v>
      </c>
      <c r="N658" s="4" t="s">
        <v>36</v>
      </c>
      <c r="O658" s="4">
        <v>1</v>
      </c>
      <c r="P658" s="112"/>
      <c r="Q658" s="112" t="s">
        <v>2275</v>
      </c>
      <c r="R658" s="34">
        <v>45</v>
      </c>
      <c r="S658" s="58">
        <v>283.75</v>
      </c>
      <c r="T658" s="58">
        <f t="shared" si="61"/>
        <v>328.75</v>
      </c>
      <c r="U658" s="126">
        <v>46072</v>
      </c>
      <c r="V658" s="112"/>
      <c r="W658" s="112"/>
      <c r="X658" s="112"/>
    </row>
    <row r="659" spans="1:24" ht="15" thickBot="1">
      <c r="A659" s="4" t="s">
        <v>25</v>
      </c>
      <c r="B659" s="4" t="s">
        <v>26</v>
      </c>
      <c r="C659" s="4" t="s">
        <v>27</v>
      </c>
      <c r="D659" s="4" t="s">
        <v>28</v>
      </c>
      <c r="E659" s="4" t="s">
        <v>29</v>
      </c>
      <c r="F659" s="31">
        <v>46048</v>
      </c>
      <c r="G659" s="4"/>
      <c r="H659" s="4" t="s">
        <v>2276</v>
      </c>
      <c r="I659" s="4" t="s">
        <v>2277</v>
      </c>
      <c r="J659" s="4" t="s">
        <v>769</v>
      </c>
      <c r="K659" s="4" t="s">
        <v>3232</v>
      </c>
      <c r="L659" s="4" t="s">
        <v>2278</v>
      </c>
      <c r="M659" s="4" t="s">
        <v>2279</v>
      </c>
      <c r="N659" s="4" t="s">
        <v>36</v>
      </c>
      <c r="O659" s="4">
        <v>1</v>
      </c>
      <c r="P659" s="112"/>
      <c r="Q659" s="112" t="s">
        <v>2280</v>
      </c>
      <c r="R659" s="34">
        <v>45</v>
      </c>
      <c r="S659" s="58">
        <v>240</v>
      </c>
      <c r="T659" s="58">
        <f t="shared" si="61"/>
        <v>285</v>
      </c>
      <c r="U659" s="126">
        <v>46072</v>
      </c>
      <c r="V659" s="112"/>
      <c r="W659" s="112"/>
      <c r="X659" s="112"/>
    </row>
    <row r="660" spans="1:24" ht="15" thickBot="1">
      <c r="A660" s="4" t="s">
        <v>25</v>
      </c>
      <c r="B660" s="4" t="s">
        <v>26</v>
      </c>
      <c r="C660" s="4" t="s">
        <v>27</v>
      </c>
      <c r="D660" s="4" t="s">
        <v>28</v>
      </c>
      <c r="E660" s="4" t="s">
        <v>29</v>
      </c>
      <c r="F660" s="31">
        <v>46048</v>
      </c>
      <c r="G660" s="4"/>
      <c r="H660" s="4" t="s">
        <v>1547</v>
      </c>
      <c r="I660" s="4" t="s">
        <v>1548</v>
      </c>
      <c r="J660" s="4" t="s">
        <v>769</v>
      </c>
      <c r="K660" s="4" t="s">
        <v>33</v>
      </c>
      <c r="L660" s="4" t="s">
        <v>2281</v>
      </c>
      <c r="M660" s="4" t="s">
        <v>457</v>
      </c>
      <c r="N660" s="4" t="s">
        <v>36</v>
      </c>
      <c r="O660" s="4">
        <v>1</v>
      </c>
      <c r="P660" s="112" t="s">
        <v>3696</v>
      </c>
      <c r="Q660" s="112" t="s">
        <v>457</v>
      </c>
      <c r="R660" s="34">
        <v>45</v>
      </c>
      <c r="S660" s="58">
        <v>163.75</v>
      </c>
      <c r="T660" s="58">
        <f t="shared" si="61"/>
        <v>208.75</v>
      </c>
      <c r="U660" s="36">
        <v>46122</v>
      </c>
      <c r="V660" s="112"/>
      <c r="W660" s="122" t="s">
        <v>789</v>
      </c>
      <c r="X660" s="112"/>
    </row>
    <row r="661" spans="1:24" ht="15" thickBot="1">
      <c r="A661" s="4" t="s">
        <v>25</v>
      </c>
      <c r="B661" s="4" t="s">
        <v>26</v>
      </c>
      <c r="C661" s="4" t="s">
        <v>27</v>
      </c>
      <c r="D661" s="4" t="s">
        <v>28</v>
      </c>
      <c r="E661" s="4" t="s">
        <v>29</v>
      </c>
      <c r="F661" s="31">
        <v>46048</v>
      </c>
      <c r="G661" s="4"/>
      <c r="H661" s="4" t="s">
        <v>2282</v>
      </c>
      <c r="I661" s="4" t="s">
        <v>2283</v>
      </c>
      <c r="J661" s="4" t="s">
        <v>769</v>
      </c>
      <c r="K661" s="4" t="s">
        <v>33</v>
      </c>
      <c r="L661" s="4" t="s">
        <v>2284</v>
      </c>
      <c r="M661" s="4"/>
      <c r="N661" s="4" t="s">
        <v>36</v>
      </c>
      <c r="O661" s="4">
        <v>1</v>
      </c>
      <c r="P661" s="112"/>
      <c r="Q661" s="112" t="s">
        <v>457</v>
      </c>
      <c r="R661" s="34">
        <v>45</v>
      </c>
      <c r="S661" s="58">
        <v>163.75</v>
      </c>
      <c r="T661" s="58">
        <f t="shared" si="61"/>
        <v>208.75</v>
      </c>
      <c r="U661" s="36">
        <v>46122</v>
      </c>
      <c r="V661" s="112"/>
      <c r="W661" s="112"/>
      <c r="X661" s="112"/>
    </row>
    <row r="662" spans="1:24" ht="15" thickBot="1">
      <c r="A662" s="4" t="s">
        <v>25</v>
      </c>
      <c r="B662" s="4" t="s">
        <v>26</v>
      </c>
      <c r="C662" s="4" t="s">
        <v>27</v>
      </c>
      <c r="D662" s="4" t="s">
        <v>28</v>
      </c>
      <c r="E662" s="4" t="s">
        <v>29</v>
      </c>
      <c r="F662" s="31">
        <v>46048</v>
      </c>
      <c r="G662" s="4"/>
      <c r="H662" s="4" t="s">
        <v>2285</v>
      </c>
      <c r="I662" s="4" t="s">
        <v>2286</v>
      </c>
      <c r="J662" s="4" t="s">
        <v>766</v>
      </c>
      <c r="K662" s="4"/>
      <c r="L662" s="4" t="s">
        <v>2287</v>
      </c>
      <c r="M662" s="4"/>
      <c r="N662" s="4" t="s">
        <v>499</v>
      </c>
      <c r="O662" s="4">
        <v>1</v>
      </c>
      <c r="P662" s="112"/>
      <c r="Q662" s="112"/>
      <c r="R662" s="34">
        <v>45</v>
      </c>
      <c r="S662" s="112"/>
      <c r="T662" s="58">
        <v>0</v>
      </c>
      <c r="U662" s="112"/>
      <c r="V662" s="112"/>
      <c r="W662" s="112"/>
      <c r="X662" s="112"/>
    </row>
    <row r="663" spans="1:24" ht="15" thickBot="1">
      <c r="A663" s="4" t="s">
        <v>154</v>
      </c>
      <c r="B663" s="4" t="s">
        <v>155</v>
      </c>
      <c r="C663" s="4">
        <v>616866669</v>
      </c>
      <c r="D663" s="4" t="s">
        <v>156</v>
      </c>
      <c r="E663" s="4" t="s">
        <v>599</v>
      </c>
      <c r="F663" s="31">
        <v>46052</v>
      </c>
      <c r="G663" s="4"/>
      <c r="H663" s="4" t="s">
        <v>2288</v>
      </c>
      <c r="I663" s="4" t="s">
        <v>2289</v>
      </c>
      <c r="J663" s="4" t="s">
        <v>779</v>
      </c>
      <c r="K663" s="4" t="s">
        <v>48</v>
      </c>
      <c r="L663" s="4" t="s">
        <v>2290</v>
      </c>
      <c r="M663" s="4"/>
      <c r="N663" s="4" t="s">
        <v>36</v>
      </c>
      <c r="O663" s="4">
        <v>1</v>
      </c>
      <c r="P663" s="112"/>
      <c r="Q663" s="112" t="s">
        <v>3682</v>
      </c>
      <c r="R663" s="34">
        <v>45</v>
      </c>
      <c r="S663" s="58">
        <v>0</v>
      </c>
      <c r="T663" s="58">
        <f t="shared" ref="T663:T671" si="62">SUM(R663:S663)</f>
        <v>45</v>
      </c>
      <c r="U663" s="36">
        <v>46122</v>
      </c>
      <c r="V663" s="112"/>
      <c r="W663" s="112"/>
      <c r="X663" s="112"/>
    </row>
    <row r="664" spans="1:24" ht="15" thickBot="1">
      <c r="A664" s="4" t="s">
        <v>154</v>
      </c>
      <c r="B664" s="4" t="s">
        <v>155</v>
      </c>
      <c r="C664" s="4">
        <v>616866669</v>
      </c>
      <c r="D664" s="4" t="s">
        <v>156</v>
      </c>
      <c r="E664" s="4" t="s">
        <v>599</v>
      </c>
      <c r="F664" s="31">
        <v>46052</v>
      </c>
      <c r="G664" s="4"/>
      <c r="H664" s="4" t="s">
        <v>2291</v>
      </c>
      <c r="I664" s="4" t="s">
        <v>2292</v>
      </c>
      <c r="J664" s="4" t="s">
        <v>779</v>
      </c>
      <c r="K664" s="4" t="s">
        <v>48</v>
      </c>
      <c r="L664" s="4" t="s">
        <v>290</v>
      </c>
      <c r="M664" s="4" t="s">
        <v>44</v>
      </c>
      <c r="N664" s="4" t="s">
        <v>36</v>
      </c>
      <c r="O664" s="4">
        <v>1</v>
      </c>
      <c r="P664" s="112" t="s">
        <v>3704</v>
      </c>
      <c r="Q664" s="112" t="s">
        <v>3705</v>
      </c>
      <c r="R664" s="34">
        <v>45</v>
      </c>
      <c r="S664" s="58">
        <v>77</v>
      </c>
      <c r="T664" s="58">
        <f t="shared" si="62"/>
        <v>122</v>
      </c>
      <c r="U664" s="36">
        <v>46122</v>
      </c>
      <c r="V664" s="112"/>
      <c r="W664" s="112"/>
      <c r="X664" s="112"/>
    </row>
    <row r="665" spans="1:24" ht="15" thickBot="1">
      <c r="A665" s="4" t="s">
        <v>154</v>
      </c>
      <c r="B665" s="4" t="s">
        <v>155</v>
      </c>
      <c r="C665" s="4">
        <v>616866669</v>
      </c>
      <c r="D665" s="4" t="s">
        <v>156</v>
      </c>
      <c r="E665" s="4" t="s">
        <v>599</v>
      </c>
      <c r="F665" s="31">
        <v>46052</v>
      </c>
      <c r="G665" s="4"/>
      <c r="H665" s="4" t="s">
        <v>2293</v>
      </c>
      <c r="I665" s="4" t="s">
        <v>2294</v>
      </c>
      <c r="J665" s="4" t="s">
        <v>3265</v>
      </c>
      <c r="K665" s="4"/>
      <c r="L665" s="4" t="s">
        <v>3246</v>
      </c>
      <c r="M665" s="4"/>
      <c r="N665" s="4" t="s">
        <v>36</v>
      </c>
      <c r="O665" s="4">
        <v>1</v>
      </c>
      <c r="P665" s="112"/>
      <c r="Q665" s="112" t="s">
        <v>3247</v>
      </c>
      <c r="R665" s="34">
        <v>45</v>
      </c>
      <c r="S665" s="34">
        <v>297</v>
      </c>
      <c r="T665" s="58">
        <f t="shared" si="62"/>
        <v>342</v>
      </c>
      <c r="U665" s="126">
        <v>46085</v>
      </c>
      <c r="V665" s="112"/>
      <c r="W665" s="112"/>
      <c r="X665" s="112"/>
    </row>
    <row r="666" spans="1:24" ht="15" thickBot="1">
      <c r="A666" s="4" t="s">
        <v>154</v>
      </c>
      <c r="B666" s="4" t="s">
        <v>155</v>
      </c>
      <c r="C666" s="4">
        <v>616866669</v>
      </c>
      <c r="D666" s="4" t="s">
        <v>156</v>
      </c>
      <c r="E666" s="4" t="s">
        <v>599</v>
      </c>
      <c r="F666" s="31">
        <v>46052</v>
      </c>
      <c r="G666" s="4"/>
      <c r="H666" s="4" t="s">
        <v>1501</v>
      </c>
      <c r="I666" s="4" t="s">
        <v>1502</v>
      </c>
      <c r="J666" s="4" t="s">
        <v>3266</v>
      </c>
      <c r="K666" s="4"/>
      <c r="L666" s="4" t="s">
        <v>290</v>
      </c>
      <c r="M666" s="4" t="s">
        <v>66</v>
      </c>
      <c r="N666" s="4" t="s">
        <v>36</v>
      </c>
      <c r="O666" s="4">
        <v>1</v>
      </c>
      <c r="P666" s="112"/>
      <c r="Q666" s="112" t="s">
        <v>66</v>
      </c>
      <c r="R666" s="34">
        <v>45</v>
      </c>
      <c r="S666" s="34">
        <v>120</v>
      </c>
      <c r="T666" s="58">
        <f t="shared" si="62"/>
        <v>165</v>
      </c>
      <c r="U666" s="126">
        <v>46085</v>
      </c>
      <c r="V666" s="112"/>
      <c r="W666" s="112"/>
      <c r="X666" s="112"/>
    </row>
    <row r="667" spans="1:24" ht="15" thickBot="1">
      <c r="A667" s="4" t="s">
        <v>154</v>
      </c>
      <c r="B667" s="4" t="s">
        <v>155</v>
      </c>
      <c r="C667" s="4">
        <v>616866669</v>
      </c>
      <c r="D667" s="4" t="s">
        <v>156</v>
      </c>
      <c r="E667" s="4" t="s">
        <v>599</v>
      </c>
      <c r="F667" s="31">
        <v>46052</v>
      </c>
      <c r="G667" s="4"/>
      <c r="H667" s="4" t="s">
        <v>2295</v>
      </c>
      <c r="I667" s="4" t="s">
        <v>2296</v>
      </c>
      <c r="J667" s="4" t="s">
        <v>3266</v>
      </c>
      <c r="K667" s="4" t="s">
        <v>33</v>
      </c>
      <c r="L667" s="4" t="s">
        <v>2297</v>
      </c>
      <c r="M667" s="4"/>
      <c r="N667" s="4" t="s">
        <v>36</v>
      </c>
      <c r="O667" s="4">
        <v>1</v>
      </c>
      <c r="P667" s="112"/>
      <c r="Q667" s="112" t="s">
        <v>3687</v>
      </c>
      <c r="R667" s="34">
        <v>45</v>
      </c>
      <c r="S667" s="34">
        <v>320</v>
      </c>
      <c r="T667" s="58">
        <f t="shared" si="62"/>
        <v>365</v>
      </c>
      <c r="U667" s="36">
        <v>46122</v>
      </c>
      <c r="V667" s="112"/>
      <c r="W667" s="112"/>
      <c r="X667" s="112"/>
    </row>
    <row r="668" spans="1:24" ht="15" thickBot="1">
      <c r="A668" s="4" t="s">
        <v>154</v>
      </c>
      <c r="B668" s="4" t="s">
        <v>155</v>
      </c>
      <c r="C668" s="4">
        <v>616866669</v>
      </c>
      <c r="D668" s="4" t="s">
        <v>156</v>
      </c>
      <c r="E668" s="4" t="s">
        <v>599</v>
      </c>
      <c r="F668" s="31">
        <v>46052</v>
      </c>
      <c r="G668" s="4"/>
      <c r="H668" s="4" t="s">
        <v>2298</v>
      </c>
      <c r="I668" s="4" t="s">
        <v>2299</v>
      </c>
      <c r="J668" s="4" t="s">
        <v>3266</v>
      </c>
      <c r="K668" s="4"/>
      <c r="L668" s="4" t="s">
        <v>241</v>
      </c>
      <c r="M668" s="4" t="s">
        <v>457</v>
      </c>
      <c r="N668" s="4" t="s">
        <v>36</v>
      </c>
      <c r="O668" s="4">
        <v>1</v>
      </c>
      <c r="P668" s="112"/>
      <c r="Q668" s="112" t="s">
        <v>457</v>
      </c>
      <c r="R668" s="34">
        <v>45</v>
      </c>
      <c r="S668" s="34">
        <v>163.75</v>
      </c>
      <c r="T668" s="58">
        <f t="shared" si="62"/>
        <v>208.75</v>
      </c>
      <c r="U668" s="126">
        <v>46085</v>
      </c>
      <c r="V668" s="112"/>
      <c r="W668" s="112"/>
      <c r="X668" s="112"/>
    </row>
    <row r="669" spans="1:24" ht="15" thickBot="1">
      <c r="A669" s="4" t="s">
        <v>154</v>
      </c>
      <c r="B669" s="4" t="s">
        <v>155</v>
      </c>
      <c r="C669" s="4">
        <v>616866669</v>
      </c>
      <c r="D669" s="4" t="s">
        <v>156</v>
      </c>
      <c r="E669" s="4" t="s">
        <v>599</v>
      </c>
      <c r="F669" s="31">
        <v>46052</v>
      </c>
      <c r="G669" s="4"/>
      <c r="H669" s="4" t="s">
        <v>2300</v>
      </c>
      <c r="I669" s="4" t="s">
        <v>2301</v>
      </c>
      <c r="J669" s="4" t="s">
        <v>3266</v>
      </c>
      <c r="K669" s="4"/>
      <c r="L669" s="4" t="s">
        <v>2302</v>
      </c>
      <c r="M669" s="4"/>
      <c r="N669" s="4" t="s">
        <v>36</v>
      </c>
      <c r="O669" s="4">
        <v>1</v>
      </c>
      <c r="P669" s="112"/>
      <c r="Q669" s="112" t="s">
        <v>457</v>
      </c>
      <c r="R669" s="34">
        <v>45</v>
      </c>
      <c r="S669" s="34">
        <v>163.75</v>
      </c>
      <c r="T669" s="58">
        <f t="shared" si="62"/>
        <v>208.75</v>
      </c>
      <c r="U669" s="126">
        <v>46085</v>
      </c>
      <c r="V669" s="112"/>
      <c r="W669" s="112"/>
      <c r="X669" s="112"/>
    </row>
    <row r="670" spans="1:24" ht="15" thickBot="1">
      <c r="A670" s="4" t="s">
        <v>154</v>
      </c>
      <c r="B670" s="4" t="s">
        <v>155</v>
      </c>
      <c r="C670" s="4">
        <v>616866669</v>
      </c>
      <c r="D670" s="4" t="s">
        <v>156</v>
      </c>
      <c r="E670" s="4" t="s">
        <v>599</v>
      </c>
      <c r="F670" s="31">
        <v>46052</v>
      </c>
      <c r="G670" s="4"/>
      <c r="H670" s="4" t="s">
        <v>2303</v>
      </c>
      <c r="I670" s="4" t="s">
        <v>2304</v>
      </c>
      <c r="J670" s="4" t="s">
        <v>779</v>
      </c>
      <c r="K670" s="4" t="s">
        <v>48</v>
      </c>
      <c r="L670" s="4" t="s">
        <v>319</v>
      </c>
      <c r="M670" s="4" t="s">
        <v>3725</v>
      </c>
      <c r="N670" s="4" t="s">
        <v>36</v>
      </c>
      <c r="O670" s="4">
        <v>1</v>
      </c>
      <c r="P670" s="112"/>
      <c r="Q670" s="112" t="s">
        <v>3725</v>
      </c>
      <c r="R670" s="34">
        <v>45</v>
      </c>
      <c r="S670" s="34">
        <v>0</v>
      </c>
      <c r="T670" s="58">
        <f t="shared" si="62"/>
        <v>45</v>
      </c>
      <c r="U670" s="36">
        <v>46122</v>
      </c>
      <c r="V670" s="112"/>
      <c r="W670" s="112"/>
      <c r="X670" s="112"/>
    </row>
    <row r="671" spans="1:24" ht="15" thickBot="1">
      <c r="A671" s="4" t="s">
        <v>154</v>
      </c>
      <c r="B671" s="4" t="s">
        <v>155</v>
      </c>
      <c r="C671" s="4">
        <v>616866669</v>
      </c>
      <c r="D671" s="4" t="s">
        <v>156</v>
      </c>
      <c r="E671" s="4" t="s">
        <v>599</v>
      </c>
      <c r="F671" s="31">
        <v>46052</v>
      </c>
      <c r="G671" s="4"/>
      <c r="H671" s="4" t="s">
        <v>2305</v>
      </c>
      <c r="I671" s="4" t="s">
        <v>2306</v>
      </c>
      <c r="J671" s="4" t="s">
        <v>779</v>
      </c>
      <c r="K671" s="4" t="s">
        <v>48</v>
      </c>
      <c r="L671" s="4" t="s">
        <v>319</v>
      </c>
      <c r="M671" s="4" t="s">
        <v>3725</v>
      </c>
      <c r="N671" s="4" t="s">
        <v>36</v>
      </c>
      <c r="O671" s="4">
        <v>1</v>
      </c>
      <c r="P671" s="112"/>
      <c r="Q671" s="112" t="s">
        <v>3726</v>
      </c>
      <c r="R671" s="34">
        <v>45</v>
      </c>
      <c r="S671" s="34">
        <v>0</v>
      </c>
      <c r="T671" s="58">
        <f t="shared" si="62"/>
        <v>45</v>
      </c>
      <c r="U671" s="36">
        <v>46122</v>
      </c>
      <c r="V671" s="112"/>
      <c r="W671" s="112"/>
      <c r="X671" s="112"/>
    </row>
    <row r="672" spans="1:24" ht="15" thickBot="1">
      <c r="A672" s="4" t="s">
        <v>154</v>
      </c>
      <c r="B672" s="4" t="s">
        <v>155</v>
      </c>
      <c r="C672" s="4">
        <v>616866669</v>
      </c>
      <c r="D672" s="4" t="s">
        <v>156</v>
      </c>
      <c r="E672" s="4" t="s">
        <v>599</v>
      </c>
      <c r="F672" s="31">
        <v>46052</v>
      </c>
      <c r="G672" s="4"/>
      <c r="H672" s="4" t="s">
        <v>178</v>
      </c>
      <c r="I672" s="4" t="s">
        <v>179</v>
      </c>
      <c r="J672" s="4" t="s">
        <v>780</v>
      </c>
      <c r="K672" s="4"/>
      <c r="L672" s="4" t="s">
        <v>290</v>
      </c>
      <c r="M672" s="4"/>
      <c r="N672" s="4" t="s">
        <v>499</v>
      </c>
      <c r="O672" s="4">
        <v>1</v>
      </c>
      <c r="P672" s="112"/>
      <c r="Q672" s="112"/>
      <c r="R672" s="34">
        <v>45</v>
      </c>
      <c r="S672" s="112"/>
      <c r="T672" s="58">
        <v>0</v>
      </c>
      <c r="U672" s="36"/>
      <c r="V672" s="112"/>
      <c r="W672" s="112"/>
      <c r="X672" s="112"/>
    </row>
    <row r="673" spans="1:24" ht="15" thickBot="1">
      <c r="A673" s="4" t="s">
        <v>154</v>
      </c>
      <c r="B673" s="4" t="s">
        <v>155</v>
      </c>
      <c r="C673" s="4">
        <v>616866669</v>
      </c>
      <c r="D673" s="4" t="s">
        <v>156</v>
      </c>
      <c r="E673" s="4" t="s">
        <v>599</v>
      </c>
      <c r="F673" s="31">
        <v>46052</v>
      </c>
      <c r="G673" s="4"/>
      <c r="H673" s="4" t="s">
        <v>2307</v>
      </c>
      <c r="I673" s="4" t="s">
        <v>2308</v>
      </c>
      <c r="J673" s="4" t="s">
        <v>779</v>
      </c>
      <c r="K673" s="4"/>
      <c r="L673" s="4" t="s">
        <v>2230</v>
      </c>
      <c r="M673" s="4"/>
      <c r="N673" s="4" t="s">
        <v>499</v>
      </c>
      <c r="O673" s="4">
        <v>1</v>
      </c>
      <c r="P673" s="112"/>
      <c r="Q673" s="112"/>
      <c r="R673" s="34">
        <v>45</v>
      </c>
      <c r="S673" s="112"/>
      <c r="T673" s="58">
        <v>0</v>
      </c>
      <c r="U673" s="36"/>
      <c r="V673" s="112"/>
      <c r="W673" s="112"/>
      <c r="X673" s="112"/>
    </row>
    <row r="674" spans="1:24" ht="15" thickBot="1">
      <c r="A674" s="4" t="s">
        <v>154</v>
      </c>
      <c r="B674" s="4" t="s">
        <v>155</v>
      </c>
      <c r="C674" s="4">
        <v>616866669</v>
      </c>
      <c r="D674" s="4" t="s">
        <v>156</v>
      </c>
      <c r="E674" s="4" t="s">
        <v>599</v>
      </c>
      <c r="F674" s="31">
        <v>46052</v>
      </c>
      <c r="G674" s="4"/>
      <c r="H674" s="4" t="s">
        <v>2309</v>
      </c>
      <c r="I674" s="4" t="s">
        <v>2310</v>
      </c>
      <c r="J674" s="4" t="s">
        <v>779</v>
      </c>
      <c r="K674" s="4"/>
      <c r="L674" s="4" t="s">
        <v>2311</v>
      </c>
      <c r="M674" s="4" t="s">
        <v>3712</v>
      </c>
      <c r="N674" s="4" t="s">
        <v>499</v>
      </c>
      <c r="O674" s="4">
        <v>1</v>
      </c>
      <c r="P674" s="112"/>
      <c r="Q674" s="112" t="s">
        <v>3712</v>
      </c>
      <c r="R674" s="34">
        <v>45</v>
      </c>
      <c r="S674" s="112"/>
      <c r="T674" s="58">
        <v>0</v>
      </c>
      <c r="U674" s="36"/>
      <c r="V674" s="112"/>
      <c r="W674" s="112"/>
      <c r="X674" s="112"/>
    </row>
    <row r="675" spans="1:24" ht="15" thickBot="1">
      <c r="A675" s="4" t="s">
        <v>154</v>
      </c>
      <c r="B675" s="4" t="s">
        <v>155</v>
      </c>
      <c r="C675" s="4">
        <v>616866669</v>
      </c>
      <c r="D675" s="4" t="s">
        <v>156</v>
      </c>
      <c r="E675" s="4" t="s">
        <v>599</v>
      </c>
      <c r="F675" s="31">
        <v>46052</v>
      </c>
      <c r="G675" s="4"/>
      <c r="H675" s="4" t="s">
        <v>2312</v>
      </c>
      <c r="I675" s="4" t="s">
        <v>2313</v>
      </c>
      <c r="J675" s="4" t="s">
        <v>780</v>
      </c>
      <c r="K675" s="4" t="s">
        <v>48</v>
      </c>
      <c r="L675" s="4" t="s">
        <v>319</v>
      </c>
      <c r="M675" s="4"/>
      <c r="N675" s="4" t="s">
        <v>36</v>
      </c>
      <c r="O675" s="4">
        <v>1</v>
      </c>
      <c r="P675" s="112"/>
      <c r="Q675" s="112" t="s">
        <v>3716</v>
      </c>
      <c r="R675" s="34">
        <v>45</v>
      </c>
      <c r="S675" s="34">
        <v>0</v>
      </c>
      <c r="T675" s="58">
        <f>SUM(R675:S675)</f>
        <v>45</v>
      </c>
      <c r="U675" s="36">
        <v>46122</v>
      </c>
      <c r="V675" s="112"/>
      <c r="W675" s="112"/>
      <c r="X675" s="112"/>
    </row>
    <row r="676" spans="1:24" ht="15" thickBot="1">
      <c r="A676" s="4" t="s">
        <v>154</v>
      </c>
      <c r="B676" s="4" t="s">
        <v>155</v>
      </c>
      <c r="C676" s="4">
        <v>616866669</v>
      </c>
      <c r="D676" s="4" t="s">
        <v>156</v>
      </c>
      <c r="E676" s="4" t="s">
        <v>599</v>
      </c>
      <c r="F676" s="31">
        <v>46052</v>
      </c>
      <c r="G676" s="4"/>
      <c r="H676" s="4" t="s">
        <v>2314</v>
      </c>
      <c r="I676" s="4" t="s">
        <v>2315</v>
      </c>
      <c r="J676" s="4" t="s">
        <v>780</v>
      </c>
      <c r="K676" s="4"/>
      <c r="L676" s="4" t="s">
        <v>2316</v>
      </c>
      <c r="M676" s="4"/>
      <c r="N676" s="4" t="s">
        <v>499</v>
      </c>
      <c r="O676" s="4">
        <v>1</v>
      </c>
      <c r="P676" s="112"/>
      <c r="Q676" s="112"/>
      <c r="R676" s="34">
        <v>45</v>
      </c>
      <c r="S676" s="112"/>
      <c r="T676" s="58">
        <v>0</v>
      </c>
      <c r="U676" s="36"/>
      <c r="V676" s="112"/>
      <c r="W676" s="112"/>
      <c r="X676" s="112"/>
    </row>
    <row r="677" spans="1:24" ht="15" thickBot="1">
      <c r="A677" s="4" t="s">
        <v>154</v>
      </c>
      <c r="B677" s="4" t="s">
        <v>155</v>
      </c>
      <c r="C677" s="4">
        <v>616866669</v>
      </c>
      <c r="D677" s="4" t="s">
        <v>156</v>
      </c>
      <c r="E677" s="4" t="s">
        <v>599</v>
      </c>
      <c r="F677" s="31">
        <v>46052</v>
      </c>
      <c r="G677" s="4"/>
      <c r="H677" s="4" t="s">
        <v>2317</v>
      </c>
      <c r="I677" s="4" t="s">
        <v>2318</v>
      </c>
      <c r="J677" s="4" t="s">
        <v>3266</v>
      </c>
      <c r="K677" s="4"/>
      <c r="L677" s="4" t="s">
        <v>351</v>
      </c>
      <c r="M677" s="4"/>
      <c r="N677" s="4" t="s">
        <v>36</v>
      </c>
      <c r="O677" s="4">
        <v>1</v>
      </c>
      <c r="P677" s="112"/>
      <c r="Q677" s="112" t="s">
        <v>261</v>
      </c>
      <c r="R677" s="34">
        <v>45</v>
      </c>
      <c r="S677" s="34">
        <v>215</v>
      </c>
      <c r="T677" s="58">
        <f>SUM(R677:S677)</f>
        <v>260</v>
      </c>
      <c r="U677" s="126">
        <v>46085</v>
      </c>
      <c r="V677" s="112"/>
      <c r="W677" s="112"/>
      <c r="X677" s="112" t="s">
        <v>251</v>
      </c>
    </row>
    <row r="678" spans="1:24" ht="15" thickBot="1">
      <c r="A678" s="4" t="s">
        <v>154</v>
      </c>
      <c r="B678" s="4" t="s">
        <v>155</v>
      </c>
      <c r="C678" s="4">
        <v>616866669</v>
      </c>
      <c r="D678" s="4" t="s">
        <v>156</v>
      </c>
      <c r="E678" s="4" t="s">
        <v>599</v>
      </c>
      <c r="F678" s="31">
        <v>46052</v>
      </c>
      <c r="G678" s="4"/>
      <c r="H678" s="4" t="s">
        <v>2319</v>
      </c>
      <c r="I678" s="4" t="s">
        <v>2320</v>
      </c>
      <c r="J678" s="4" t="s">
        <v>3266</v>
      </c>
      <c r="K678" s="4"/>
      <c r="L678" s="4" t="s">
        <v>2321</v>
      </c>
      <c r="M678" s="4" t="s">
        <v>194</v>
      </c>
      <c r="N678" s="4" t="s">
        <v>36</v>
      </c>
      <c r="O678" s="4">
        <v>1</v>
      </c>
      <c r="P678" s="112"/>
      <c r="Q678" s="112" t="s">
        <v>194</v>
      </c>
      <c r="R678" s="34">
        <v>45</v>
      </c>
      <c r="S678" s="34">
        <v>100</v>
      </c>
      <c r="T678" s="58">
        <f>SUM(R678:S678)</f>
        <v>145</v>
      </c>
      <c r="U678" s="126">
        <v>46085</v>
      </c>
      <c r="V678" s="112"/>
      <c r="W678" s="112"/>
      <c r="X678" s="112"/>
    </row>
    <row r="679" spans="1:24" ht="15" thickBot="1">
      <c r="A679" s="4" t="s">
        <v>154</v>
      </c>
      <c r="B679" s="4" t="s">
        <v>155</v>
      </c>
      <c r="C679" s="4">
        <v>616866669</v>
      </c>
      <c r="D679" s="4" t="s">
        <v>156</v>
      </c>
      <c r="E679" s="4" t="s">
        <v>599</v>
      </c>
      <c r="F679" s="31">
        <v>46052</v>
      </c>
      <c r="G679" s="4"/>
      <c r="H679" s="4" t="s">
        <v>609</v>
      </c>
      <c r="I679" s="4" t="s">
        <v>610</v>
      </c>
      <c r="J679" s="4" t="s">
        <v>3266</v>
      </c>
      <c r="K679" s="4"/>
      <c r="L679" s="4" t="s">
        <v>290</v>
      </c>
      <c r="M679" s="4" t="s">
        <v>66</v>
      </c>
      <c r="N679" s="4" t="s">
        <v>36</v>
      </c>
      <c r="O679" s="4">
        <v>1</v>
      </c>
      <c r="P679" s="112"/>
      <c r="Q679" s="112" t="s">
        <v>3263</v>
      </c>
      <c r="R679" s="34">
        <v>45</v>
      </c>
      <c r="S679" s="34">
        <v>197</v>
      </c>
      <c r="T679" s="58">
        <f>SUM(R679:S679)</f>
        <v>242</v>
      </c>
      <c r="U679" s="126">
        <v>46085</v>
      </c>
      <c r="V679" s="112"/>
      <c r="W679" s="112"/>
      <c r="X679" s="112"/>
    </row>
    <row r="680" spans="1:24" ht="15" thickBot="1">
      <c r="A680" s="4" t="s">
        <v>154</v>
      </c>
      <c r="B680" s="4" t="s">
        <v>155</v>
      </c>
      <c r="C680" s="4">
        <v>616866669</v>
      </c>
      <c r="D680" s="4" t="s">
        <v>156</v>
      </c>
      <c r="E680" s="4" t="s">
        <v>599</v>
      </c>
      <c r="F680" s="31">
        <v>46052</v>
      </c>
      <c r="G680" s="4"/>
      <c r="H680" s="4" t="s">
        <v>2322</v>
      </c>
      <c r="I680" s="4" t="s">
        <v>2323</v>
      </c>
      <c r="J680" s="4" t="s">
        <v>779</v>
      </c>
      <c r="K680" s="4"/>
      <c r="L680" s="4" t="s">
        <v>319</v>
      </c>
      <c r="M680" s="4"/>
      <c r="N680" s="4" t="s">
        <v>499</v>
      </c>
      <c r="O680" s="4">
        <v>1</v>
      </c>
      <c r="P680" s="112"/>
      <c r="Q680" s="112"/>
      <c r="R680" s="34">
        <v>45</v>
      </c>
      <c r="S680" s="112"/>
      <c r="T680" s="58">
        <v>0</v>
      </c>
      <c r="U680" s="36"/>
      <c r="V680" s="112"/>
      <c r="W680" s="112"/>
      <c r="X680" s="112"/>
    </row>
    <row r="681" spans="1:24" ht="15" thickBot="1">
      <c r="A681" s="4" t="s">
        <v>154</v>
      </c>
      <c r="B681" s="4" t="s">
        <v>155</v>
      </c>
      <c r="C681" s="4">
        <v>616866669</v>
      </c>
      <c r="D681" s="4" t="s">
        <v>156</v>
      </c>
      <c r="E681" s="4" t="s">
        <v>599</v>
      </c>
      <c r="F681" s="31">
        <v>46052</v>
      </c>
      <c r="G681" s="4"/>
      <c r="H681" s="4" t="s">
        <v>2324</v>
      </c>
      <c r="I681" s="4" t="s">
        <v>2325</v>
      </c>
      <c r="J681" s="4" t="s">
        <v>3266</v>
      </c>
      <c r="K681" s="4"/>
      <c r="L681" s="4" t="s">
        <v>2326</v>
      </c>
      <c r="M681" s="4"/>
      <c r="N681" s="4" t="s">
        <v>36</v>
      </c>
      <c r="O681" s="4">
        <v>1</v>
      </c>
      <c r="P681" s="112"/>
      <c r="Q681" s="112" t="s">
        <v>252</v>
      </c>
      <c r="R681" s="34">
        <v>45</v>
      </c>
      <c r="S681" s="58">
        <v>215</v>
      </c>
      <c r="T681" s="58">
        <f>SUM(R681:S681)</f>
        <v>260</v>
      </c>
      <c r="U681" s="126">
        <v>46085</v>
      </c>
      <c r="V681" s="112"/>
      <c r="W681" s="112"/>
      <c r="X681" s="112" t="s">
        <v>251</v>
      </c>
    </row>
    <row r="682" spans="1:24" ht="15" thickBot="1">
      <c r="A682" s="4" t="s">
        <v>154</v>
      </c>
      <c r="B682" s="4" t="s">
        <v>155</v>
      </c>
      <c r="C682" s="4">
        <v>616866669</v>
      </c>
      <c r="D682" s="4" t="s">
        <v>156</v>
      </c>
      <c r="E682" s="4" t="s">
        <v>599</v>
      </c>
      <c r="F682" s="31">
        <v>46052</v>
      </c>
      <c r="G682" s="4"/>
      <c r="H682" s="4" t="s">
        <v>2327</v>
      </c>
      <c r="I682" s="4" t="s">
        <v>2328</v>
      </c>
      <c r="J682" s="4" t="s">
        <v>3267</v>
      </c>
      <c r="K682" s="4"/>
      <c r="L682" s="4" t="s">
        <v>512</v>
      </c>
      <c r="M682" s="4"/>
      <c r="N682" s="4" t="s">
        <v>499</v>
      </c>
      <c r="O682" s="4">
        <v>1</v>
      </c>
      <c r="P682" s="112"/>
      <c r="Q682" s="112"/>
      <c r="R682" s="34">
        <v>45</v>
      </c>
      <c r="S682" s="112"/>
      <c r="T682" s="58">
        <v>0</v>
      </c>
      <c r="U682" s="36"/>
      <c r="V682" s="112"/>
      <c r="W682" s="112"/>
      <c r="X682" s="112"/>
    </row>
    <row r="683" spans="1:24" ht="15" thickBot="1">
      <c r="A683" s="4" t="s">
        <v>154</v>
      </c>
      <c r="B683" s="4" t="s">
        <v>155</v>
      </c>
      <c r="C683" s="4">
        <v>616866669</v>
      </c>
      <c r="D683" s="4" t="s">
        <v>156</v>
      </c>
      <c r="E683" s="4" t="s">
        <v>599</v>
      </c>
      <c r="F683" s="31">
        <v>46052</v>
      </c>
      <c r="G683" s="4"/>
      <c r="H683" s="4" t="s">
        <v>2329</v>
      </c>
      <c r="I683" s="4" t="s">
        <v>2330</v>
      </c>
      <c r="J683" s="4" t="s">
        <v>772</v>
      </c>
      <c r="K683" s="4"/>
      <c r="L683" s="4" t="s">
        <v>319</v>
      </c>
      <c r="M683" s="4"/>
      <c r="N683" s="4" t="s">
        <v>499</v>
      </c>
      <c r="O683" s="4">
        <v>1</v>
      </c>
      <c r="P683" s="112"/>
      <c r="Q683" s="112"/>
      <c r="R683" s="34">
        <v>45</v>
      </c>
      <c r="S683" s="112"/>
      <c r="T683" s="58">
        <v>0</v>
      </c>
      <c r="U683" s="36"/>
      <c r="V683" s="112"/>
      <c r="W683" s="112"/>
      <c r="X683" s="112"/>
    </row>
    <row r="684" spans="1:24" ht="15" thickBot="1">
      <c r="A684" s="4" t="s">
        <v>154</v>
      </c>
      <c r="B684" s="4" t="s">
        <v>155</v>
      </c>
      <c r="C684" s="4">
        <v>616866669</v>
      </c>
      <c r="D684" s="4" t="s">
        <v>156</v>
      </c>
      <c r="E684" s="4" t="s">
        <v>599</v>
      </c>
      <c r="F684" s="31">
        <v>46052</v>
      </c>
      <c r="G684" s="4"/>
      <c r="H684" s="4" t="s">
        <v>2331</v>
      </c>
      <c r="I684" s="4" t="s">
        <v>2332</v>
      </c>
      <c r="J684" s="4" t="s">
        <v>773</v>
      </c>
      <c r="K684" s="4" t="s">
        <v>48</v>
      </c>
      <c r="L684" s="4" t="s">
        <v>2333</v>
      </c>
      <c r="M684" s="4" t="s">
        <v>3721</v>
      </c>
      <c r="N684" s="4" t="s">
        <v>36</v>
      </c>
      <c r="O684" s="4">
        <v>1</v>
      </c>
      <c r="P684" s="112"/>
      <c r="Q684" s="112" t="s">
        <v>3722</v>
      </c>
      <c r="R684" s="34">
        <v>45</v>
      </c>
      <c r="S684" s="58">
        <v>320</v>
      </c>
      <c r="T684" s="58">
        <f>SUM(R684:S684)</f>
        <v>365</v>
      </c>
      <c r="U684" s="36">
        <v>46122</v>
      </c>
      <c r="V684" s="112"/>
      <c r="W684" s="112"/>
      <c r="X684" s="112"/>
    </row>
    <row r="685" spans="1:24" ht="15" thickBot="1">
      <c r="A685" s="4" t="s">
        <v>154</v>
      </c>
      <c r="B685" s="4" t="s">
        <v>155</v>
      </c>
      <c r="C685" s="4">
        <v>616866669</v>
      </c>
      <c r="D685" s="4" t="s">
        <v>156</v>
      </c>
      <c r="E685" s="4" t="s">
        <v>599</v>
      </c>
      <c r="F685" s="31">
        <v>46052</v>
      </c>
      <c r="G685" s="4"/>
      <c r="H685" s="4" t="s">
        <v>2334</v>
      </c>
      <c r="I685" s="4" t="s">
        <v>2335</v>
      </c>
      <c r="J685" s="4" t="s">
        <v>777</v>
      </c>
      <c r="K685" s="4" t="s">
        <v>48</v>
      </c>
      <c r="L685" s="4" t="s">
        <v>2336</v>
      </c>
      <c r="M685" s="130" t="s">
        <v>1823</v>
      </c>
      <c r="N685" s="4" t="s">
        <v>36</v>
      </c>
      <c r="O685" s="4">
        <v>1</v>
      </c>
      <c r="P685" s="112"/>
      <c r="Q685" s="130" t="s">
        <v>1823</v>
      </c>
      <c r="R685" s="34">
        <v>45</v>
      </c>
      <c r="S685" s="58">
        <v>183.75</v>
      </c>
      <c r="T685" s="58">
        <f>SUM(R685:S685)</f>
        <v>228.75</v>
      </c>
      <c r="U685" s="36">
        <v>46122</v>
      </c>
      <c r="V685" s="112"/>
      <c r="W685" s="112"/>
      <c r="X685" s="112"/>
    </row>
    <row r="686" spans="1:24" ht="15" thickBot="1">
      <c r="A686" s="4" t="s">
        <v>154</v>
      </c>
      <c r="B686" s="4" t="s">
        <v>155</v>
      </c>
      <c r="C686" s="4">
        <v>616866669</v>
      </c>
      <c r="D686" s="4" t="s">
        <v>156</v>
      </c>
      <c r="E686" s="4" t="s">
        <v>599</v>
      </c>
      <c r="F686" s="31">
        <v>46052</v>
      </c>
      <c r="G686" s="4"/>
      <c r="H686" s="4" t="s">
        <v>2337</v>
      </c>
      <c r="I686" s="4" t="s">
        <v>2338</v>
      </c>
      <c r="J686" s="4" t="s">
        <v>773</v>
      </c>
      <c r="K686" s="4" t="s">
        <v>48</v>
      </c>
      <c r="L686" s="4" t="s">
        <v>2339</v>
      </c>
      <c r="M686" s="4" t="s">
        <v>3717</v>
      </c>
      <c r="N686" s="4" t="s">
        <v>36</v>
      </c>
      <c r="O686" s="4">
        <v>1</v>
      </c>
      <c r="P686" s="112"/>
      <c r="Q686" s="112" t="s">
        <v>3718</v>
      </c>
      <c r="R686" s="34">
        <v>45</v>
      </c>
      <c r="S686" s="58">
        <v>0</v>
      </c>
      <c r="T686" s="58">
        <f>SUM(R686:S686)</f>
        <v>45</v>
      </c>
      <c r="U686" s="36">
        <v>46122</v>
      </c>
      <c r="V686" s="112"/>
      <c r="W686" s="112"/>
      <c r="X686" s="112"/>
    </row>
    <row r="687" spans="1:24" ht="15" thickBot="1">
      <c r="A687" s="4" t="s">
        <v>154</v>
      </c>
      <c r="B687" s="4" t="s">
        <v>155</v>
      </c>
      <c r="C687" s="4">
        <v>616866669</v>
      </c>
      <c r="D687" s="4" t="s">
        <v>156</v>
      </c>
      <c r="E687" s="4" t="s">
        <v>599</v>
      </c>
      <c r="F687" s="31">
        <v>46052</v>
      </c>
      <c r="G687" s="4"/>
      <c r="H687" s="4" t="s">
        <v>2340</v>
      </c>
      <c r="I687" s="4" t="s">
        <v>2341</v>
      </c>
      <c r="J687" s="4" t="s">
        <v>776</v>
      </c>
      <c r="K687" s="4"/>
      <c r="L687" s="4" t="s">
        <v>2342</v>
      </c>
      <c r="M687" s="4"/>
      <c r="N687" s="4" t="s">
        <v>499</v>
      </c>
      <c r="O687" s="4">
        <v>1</v>
      </c>
      <c r="P687" s="112"/>
      <c r="Q687" s="112" t="s">
        <v>71</v>
      </c>
      <c r="R687" s="34">
        <v>45</v>
      </c>
      <c r="S687" s="112"/>
      <c r="T687" s="58">
        <v>0</v>
      </c>
      <c r="U687" s="36"/>
      <c r="V687" s="112"/>
      <c r="W687" s="112"/>
      <c r="X687" s="112"/>
    </row>
    <row r="688" spans="1:24" ht="15" thickBot="1">
      <c r="A688" s="4" t="s">
        <v>154</v>
      </c>
      <c r="B688" s="4" t="s">
        <v>155</v>
      </c>
      <c r="C688" s="4">
        <v>616866669</v>
      </c>
      <c r="D688" s="4" t="s">
        <v>156</v>
      </c>
      <c r="E688" s="4" t="s">
        <v>599</v>
      </c>
      <c r="F688" s="31">
        <v>46052</v>
      </c>
      <c r="G688" s="4"/>
      <c r="H688" s="4" t="s">
        <v>2343</v>
      </c>
      <c r="I688" s="4" t="s">
        <v>2344</v>
      </c>
      <c r="J688" s="4" t="s">
        <v>777</v>
      </c>
      <c r="K688" s="4" t="s">
        <v>33</v>
      </c>
      <c r="L688" s="4" t="s">
        <v>351</v>
      </c>
      <c r="M688" s="130" t="s">
        <v>3720</v>
      </c>
      <c r="N688" s="4" t="s">
        <v>36</v>
      </c>
      <c r="O688" s="4">
        <v>1</v>
      </c>
      <c r="P688" s="112"/>
      <c r="Q688" s="130" t="s">
        <v>3720</v>
      </c>
      <c r="R688" s="34">
        <v>45</v>
      </c>
      <c r="S688" s="58">
        <v>403.75</v>
      </c>
      <c r="T688" s="58">
        <f>SUM(R688:S688)</f>
        <v>448.75</v>
      </c>
      <c r="U688" s="36">
        <v>46122</v>
      </c>
      <c r="V688" s="112"/>
      <c r="W688" s="112"/>
      <c r="X688" s="112"/>
    </row>
    <row r="689" spans="1:24" ht="15" thickBot="1">
      <c r="A689" s="4" t="s">
        <v>154</v>
      </c>
      <c r="B689" s="4" t="s">
        <v>940</v>
      </c>
      <c r="C689" s="4" t="s">
        <v>941</v>
      </c>
      <c r="D689" s="4" t="s">
        <v>156</v>
      </c>
      <c r="E689" s="4" t="s">
        <v>2345</v>
      </c>
      <c r="F689" s="31">
        <v>46052</v>
      </c>
      <c r="G689" s="4"/>
      <c r="H689" s="4" t="s">
        <v>2346</v>
      </c>
      <c r="I689" s="4" t="s">
        <v>2347</v>
      </c>
      <c r="J689" s="4" t="s">
        <v>756</v>
      </c>
      <c r="K689" s="4"/>
      <c r="L689" s="4" t="s">
        <v>2348</v>
      </c>
      <c r="M689" s="4"/>
      <c r="N689" s="4" t="s">
        <v>499</v>
      </c>
      <c r="O689" s="4">
        <v>1</v>
      </c>
      <c r="P689" s="112"/>
      <c r="Q689" s="112"/>
      <c r="R689" s="34">
        <v>45</v>
      </c>
      <c r="S689" s="112"/>
      <c r="T689" s="58">
        <v>0</v>
      </c>
      <c r="U689" s="36"/>
      <c r="V689" s="112"/>
      <c r="W689" s="112"/>
      <c r="X689" s="112" t="s">
        <v>2349</v>
      </c>
    </row>
    <row r="690" spans="1:24" ht="15" thickBot="1">
      <c r="A690" s="4" t="s">
        <v>154</v>
      </c>
      <c r="B690" s="4" t="s">
        <v>940</v>
      </c>
      <c r="C690" s="4" t="s">
        <v>941</v>
      </c>
      <c r="D690" s="4" t="s">
        <v>156</v>
      </c>
      <c r="E690" s="4" t="s">
        <v>2345</v>
      </c>
      <c r="F690" s="31">
        <v>46052</v>
      </c>
      <c r="G690" s="4"/>
      <c r="H690" s="4" t="s">
        <v>2350</v>
      </c>
      <c r="I690" s="4" t="s">
        <v>2351</v>
      </c>
      <c r="J690" s="4" t="s">
        <v>160</v>
      </c>
      <c r="K690" s="4"/>
      <c r="L690" s="4" t="s">
        <v>2352</v>
      </c>
      <c r="M690" s="4"/>
      <c r="N690" s="4" t="s">
        <v>499</v>
      </c>
      <c r="O690" s="4">
        <v>1</v>
      </c>
      <c r="P690" s="112"/>
      <c r="Q690" s="112"/>
      <c r="R690" s="34">
        <v>45</v>
      </c>
      <c r="S690" s="112"/>
      <c r="T690" s="58">
        <v>0</v>
      </c>
      <c r="U690" s="36"/>
      <c r="V690" s="112"/>
      <c r="W690" s="112"/>
      <c r="X690" s="112" t="s">
        <v>2349</v>
      </c>
    </row>
    <row r="691" spans="1:24" ht="15" thickBot="1">
      <c r="A691" s="4" t="s">
        <v>154</v>
      </c>
      <c r="B691" s="4" t="s">
        <v>940</v>
      </c>
      <c r="C691" s="4" t="s">
        <v>941</v>
      </c>
      <c r="D691" s="4" t="s">
        <v>156</v>
      </c>
      <c r="E691" s="4" t="s">
        <v>2345</v>
      </c>
      <c r="F691" s="31">
        <v>46052</v>
      </c>
      <c r="G691" s="4"/>
      <c r="H691" s="4" t="s">
        <v>2353</v>
      </c>
      <c r="I691" s="4" t="s">
        <v>2354</v>
      </c>
      <c r="J691" s="4" t="s">
        <v>774</v>
      </c>
      <c r="K691" s="4" t="s">
        <v>33</v>
      </c>
      <c r="L691" s="4" t="s">
        <v>512</v>
      </c>
      <c r="M691" s="4" t="s">
        <v>423</v>
      </c>
      <c r="N691" s="4" t="s">
        <v>36</v>
      </c>
      <c r="O691" s="4">
        <v>1</v>
      </c>
      <c r="P691" s="112"/>
      <c r="Q691" s="112" t="s">
        <v>423</v>
      </c>
      <c r="R691" s="34">
        <v>45</v>
      </c>
      <c r="S691" s="58">
        <v>111.75</v>
      </c>
      <c r="T691" s="58">
        <f t="shared" ref="T691:T697" si="63">SUM(R691:S691)</f>
        <v>156.75</v>
      </c>
      <c r="U691" s="36">
        <v>46122</v>
      </c>
      <c r="V691" s="112"/>
      <c r="W691" s="112"/>
      <c r="X691" s="112"/>
    </row>
    <row r="692" spans="1:24" ht="15" thickBot="1">
      <c r="A692" s="4" t="s">
        <v>154</v>
      </c>
      <c r="B692" s="4" t="s">
        <v>940</v>
      </c>
      <c r="C692" s="4" t="s">
        <v>941</v>
      </c>
      <c r="D692" s="4" t="s">
        <v>156</v>
      </c>
      <c r="E692" s="4" t="s">
        <v>2345</v>
      </c>
      <c r="F692" s="31">
        <v>46052</v>
      </c>
      <c r="G692" s="4"/>
      <c r="H692" s="4" t="s">
        <v>2355</v>
      </c>
      <c r="I692" s="4" t="s">
        <v>2356</v>
      </c>
      <c r="J692" s="4" t="s">
        <v>772</v>
      </c>
      <c r="K692" s="4" t="s">
        <v>33</v>
      </c>
      <c r="L692" s="4" t="s">
        <v>512</v>
      </c>
      <c r="M692" s="4" t="s">
        <v>3729</v>
      </c>
      <c r="N692" s="4" t="s">
        <v>36</v>
      </c>
      <c r="O692" s="4">
        <v>1</v>
      </c>
      <c r="P692" s="112"/>
      <c r="Q692" s="112" t="s">
        <v>3730</v>
      </c>
      <c r="R692" s="34">
        <v>45</v>
      </c>
      <c r="S692" s="58">
        <v>115</v>
      </c>
      <c r="T692" s="58">
        <f t="shared" si="63"/>
        <v>160</v>
      </c>
      <c r="U692" s="36">
        <v>46122</v>
      </c>
      <c r="V692" s="112"/>
      <c r="W692" s="112"/>
      <c r="X692" s="112"/>
    </row>
    <row r="693" spans="1:24" ht="15" thickBot="1">
      <c r="A693" s="4" t="s">
        <v>154</v>
      </c>
      <c r="B693" s="4" t="s">
        <v>940</v>
      </c>
      <c r="C693" s="4" t="s">
        <v>941</v>
      </c>
      <c r="D693" s="4" t="s">
        <v>156</v>
      </c>
      <c r="E693" s="4" t="s">
        <v>2345</v>
      </c>
      <c r="F693" s="31">
        <v>46052</v>
      </c>
      <c r="G693" s="4"/>
      <c r="H693" s="4" t="s">
        <v>2357</v>
      </c>
      <c r="I693" s="4" t="s">
        <v>2358</v>
      </c>
      <c r="J693" s="4" t="s">
        <v>775</v>
      </c>
      <c r="K693" s="4"/>
      <c r="L693" s="4" t="s">
        <v>2359</v>
      </c>
      <c r="M693" s="4"/>
      <c r="N693" s="4" t="s">
        <v>36</v>
      </c>
      <c r="O693" s="4">
        <v>1</v>
      </c>
      <c r="P693" s="112"/>
      <c r="Q693" s="112" t="s">
        <v>281</v>
      </c>
      <c r="R693" s="34">
        <v>45</v>
      </c>
      <c r="S693" s="34">
        <v>115</v>
      </c>
      <c r="T693" s="58">
        <f t="shared" si="63"/>
        <v>160</v>
      </c>
      <c r="U693" s="126">
        <v>46085</v>
      </c>
      <c r="V693" s="112"/>
      <c r="W693" s="112"/>
      <c r="X693" s="112"/>
    </row>
    <row r="694" spans="1:24" ht="15" thickBot="1">
      <c r="A694" s="4" t="s">
        <v>154</v>
      </c>
      <c r="B694" s="4" t="s">
        <v>940</v>
      </c>
      <c r="C694" s="4" t="s">
        <v>941</v>
      </c>
      <c r="D694" s="4" t="s">
        <v>156</v>
      </c>
      <c r="E694" s="4" t="s">
        <v>2345</v>
      </c>
      <c r="F694" s="31">
        <v>46052</v>
      </c>
      <c r="G694" s="4"/>
      <c r="H694" s="4" t="s">
        <v>2360</v>
      </c>
      <c r="I694" s="4" t="s">
        <v>2361</v>
      </c>
      <c r="J694" s="4" t="s">
        <v>772</v>
      </c>
      <c r="K694" s="4" t="s">
        <v>33</v>
      </c>
      <c r="L694" s="4" t="s">
        <v>2170</v>
      </c>
      <c r="M694" s="4" t="s">
        <v>251</v>
      </c>
      <c r="N694" s="4" t="s">
        <v>36</v>
      </c>
      <c r="O694" s="4">
        <v>1</v>
      </c>
      <c r="P694" s="112"/>
      <c r="Q694" s="112" t="s">
        <v>252</v>
      </c>
      <c r="R694" s="34">
        <v>45</v>
      </c>
      <c r="S694" s="58">
        <v>215</v>
      </c>
      <c r="T694" s="58">
        <f t="shared" si="63"/>
        <v>260</v>
      </c>
      <c r="U694" s="36">
        <v>46122</v>
      </c>
      <c r="V694" s="112"/>
      <c r="W694" s="112"/>
      <c r="X694" s="112" t="s">
        <v>3714</v>
      </c>
    </row>
    <row r="695" spans="1:24" ht="15" thickBot="1">
      <c r="A695" s="4" t="s">
        <v>154</v>
      </c>
      <c r="B695" s="4" t="s">
        <v>940</v>
      </c>
      <c r="C695" s="4" t="s">
        <v>941</v>
      </c>
      <c r="D695" s="4" t="s">
        <v>156</v>
      </c>
      <c r="E695" s="4" t="s">
        <v>2345</v>
      </c>
      <c r="F695" s="31">
        <v>46052</v>
      </c>
      <c r="G695" s="4"/>
      <c r="H695" s="4" t="s">
        <v>2362</v>
      </c>
      <c r="I695" s="4" t="s">
        <v>2363</v>
      </c>
      <c r="J695" s="4" t="s">
        <v>775</v>
      </c>
      <c r="K695" s="4"/>
      <c r="L695" s="4" t="s">
        <v>512</v>
      </c>
      <c r="M695" s="4"/>
      <c r="N695" s="4" t="s">
        <v>36</v>
      </c>
      <c r="O695" s="4">
        <v>1</v>
      </c>
      <c r="P695" s="112"/>
      <c r="Q695" s="112" t="s">
        <v>457</v>
      </c>
      <c r="R695" s="34">
        <v>45</v>
      </c>
      <c r="S695" s="58">
        <v>163.75</v>
      </c>
      <c r="T695" s="58">
        <f t="shared" si="63"/>
        <v>208.75</v>
      </c>
      <c r="U695" s="126">
        <v>46085</v>
      </c>
      <c r="V695" s="112"/>
      <c r="W695" s="112"/>
      <c r="X695" s="112"/>
    </row>
    <row r="696" spans="1:24" ht="15" thickBot="1">
      <c r="A696" s="4" t="s">
        <v>154</v>
      </c>
      <c r="B696" s="4" t="s">
        <v>940</v>
      </c>
      <c r="C696" s="4" t="s">
        <v>941</v>
      </c>
      <c r="D696" s="4" t="s">
        <v>156</v>
      </c>
      <c r="E696" s="4" t="s">
        <v>2345</v>
      </c>
      <c r="F696" s="31">
        <v>46052</v>
      </c>
      <c r="G696" s="4"/>
      <c r="H696" s="4" t="s">
        <v>2364</v>
      </c>
      <c r="I696" s="4" t="s">
        <v>2365</v>
      </c>
      <c r="J696" s="4" t="s">
        <v>775</v>
      </c>
      <c r="K696" s="4"/>
      <c r="L696" s="4" t="s">
        <v>2366</v>
      </c>
      <c r="M696" s="4" t="s">
        <v>457</v>
      </c>
      <c r="N696" s="4" t="s">
        <v>36</v>
      </c>
      <c r="O696" s="4">
        <v>1</v>
      </c>
      <c r="P696" s="112"/>
      <c r="Q696" s="112" t="s">
        <v>457</v>
      </c>
      <c r="R696" s="34">
        <v>45</v>
      </c>
      <c r="S696" s="58">
        <v>163.75</v>
      </c>
      <c r="T696" s="58">
        <f t="shared" si="63"/>
        <v>208.75</v>
      </c>
      <c r="U696" s="126">
        <v>46085</v>
      </c>
      <c r="V696" s="112"/>
      <c r="W696" s="112"/>
      <c r="X696" s="112"/>
    </row>
    <row r="697" spans="1:24" ht="15" thickBot="1">
      <c r="A697" s="4" t="s">
        <v>154</v>
      </c>
      <c r="B697" s="4" t="s">
        <v>940</v>
      </c>
      <c r="C697" s="4" t="s">
        <v>941</v>
      </c>
      <c r="D697" s="4" t="s">
        <v>156</v>
      </c>
      <c r="E697" s="4" t="s">
        <v>2345</v>
      </c>
      <c r="F697" s="31">
        <v>46052</v>
      </c>
      <c r="G697" s="4"/>
      <c r="H697" s="4" t="s">
        <v>2367</v>
      </c>
      <c r="I697" s="4" t="s">
        <v>2368</v>
      </c>
      <c r="J697" s="4" t="s">
        <v>776</v>
      </c>
      <c r="K697" s="4" t="s">
        <v>33</v>
      </c>
      <c r="L697" s="4" t="s">
        <v>2369</v>
      </c>
      <c r="M697" s="4" t="s">
        <v>66</v>
      </c>
      <c r="N697" s="4" t="s">
        <v>36</v>
      </c>
      <c r="O697" s="4">
        <v>1</v>
      </c>
      <c r="P697" s="112"/>
      <c r="Q697" s="112" t="s">
        <v>66</v>
      </c>
      <c r="R697" s="34">
        <v>45</v>
      </c>
      <c r="S697" s="58">
        <v>120</v>
      </c>
      <c r="T697" s="58">
        <f t="shared" si="63"/>
        <v>165</v>
      </c>
      <c r="U697" s="36">
        <v>46122</v>
      </c>
      <c r="V697" s="112"/>
      <c r="W697" s="112"/>
      <c r="X697" s="112"/>
    </row>
    <row r="698" spans="1:24" ht="15" thickBot="1">
      <c r="A698" s="4" t="s">
        <v>154</v>
      </c>
      <c r="B698" s="4" t="s">
        <v>940</v>
      </c>
      <c r="C698" s="4" t="s">
        <v>941</v>
      </c>
      <c r="D698" s="4" t="s">
        <v>156</v>
      </c>
      <c r="E698" s="4" t="s">
        <v>2345</v>
      </c>
      <c r="F698" s="31">
        <v>46052</v>
      </c>
      <c r="G698" s="4"/>
      <c r="H698" s="4" t="s">
        <v>2370</v>
      </c>
      <c r="I698" s="4" t="s">
        <v>2371</v>
      </c>
      <c r="J698" s="4" t="s">
        <v>777</v>
      </c>
      <c r="K698" s="4"/>
      <c r="L698" s="4" t="s">
        <v>2372</v>
      </c>
      <c r="M698" s="4"/>
      <c r="N698" s="4" t="s">
        <v>499</v>
      </c>
      <c r="O698" s="4">
        <v>1</v>
      </c>
      <c r="P698" s="112"/>
      <c r="Q698" s="112"/>
      <c r="R698" s="34">
        <v>45</v>
      </c>
      <c r="S698" s="112"/>
      <c r="T698" s="58">
        <v>0</v>
      </c>
      <c r="U698" s="36"/>
      <c r="V698" s="112"/>
      <c r="W698" s="112"/>
      <c r="X698" s="112"/>
    </row>
    <row r="699" spans="1:24" ht="15" thickBot="1">
      <c r="A699" s="4" t="s">
        <v>154</v>
      </c>
      <c r="B699" s="4" t="s">
        <v>940</v>
      </c>
      <c r="C699" s="4" t="s">
        <v>941</v>
      </c>
      <c r="D699" s="4" t="s">
        <v>156</v>
      </c>
      <c r="E699" s="4" t="s">
        <v>2345</v>
      </c>
      <c r="F699" s="31">
        <v>46052</v>
      </c>
      <c r="G699" s="4"/>
      <c r="H699" s="4" t="s">
        <v>2373</v>
      </c>
      <c r="I699" s="4" t="s">
        <v>2374</v>
      </c>
      <c r="J699" s="4" t="s">
        <v>778</v>
      </c>
      <c r="K699" s="4"/>
      <c r="L699" s="4" t="s">
        <v>2375</v>
      </c>
      <c r="M699" s="4"/>
      <c r="N699" s="4" t="s">
        <v>499</v>
      </c>
      <c r="O699" s="4">
        <v>1</v>
      </c>
      <c r="P699" s="112"/>
      <c r="Q699" s="112"/>
      <c r="R699" s="34">
        <v>45</v>
      </c>
      <c r="S699" s="112"/>
      <c r="T699" s="58">
        <v>0</v>
      </c>
      <c r="U699" s="36"/>
      <c r="V699" s="112"/>
      <c r="W699" s="112"/>
      <c r="X699" s="112"/>
    </row>
    <row r="700" spans="1:24" ht="15" thickBot="1">
      <c r="A700" s="4" t="s">
        <v>154</v>
      </c>
      <c r="B700" s="4" t="s">
        <v>940</v>
      </c>
      <c r="C700" s="4" t="s">
        <v>941</v>
      </c>
      <c r="D700" s="4" t="s">
        <v>156</v>
      </c>
      <c r="E700" s="4" t="s">
        <v>2345</v>
      </c>
      <c r="F700" s="31">
        <v>46052</v>
      </c>
      <c r="G700" s="4"/>
      <c r="H700" s="4" t="s">
        <v>2376</v>
      </c>
      <c r="I700" s="4" t="s">
        <v>2377</v>
      </c>
      <c r="J700" s="4" t="s">
        <v>779</v>
      </c>
      <c r="K700" s="4"/>
      <c r="L700" s="4" t="s">
        <v>2375</v>
      </c>
      <c r="M700" s="4"/>
      <c r="N700" s="4" t="s">
        <v>499</v>
      </c>
      <c r="O700" s="4">
        <v>1</v>
      </c>
      <c r="P700" s="112"/>
      <c r="Q700" s="112"/>
      <c r="R700" s="34">
        <v>45</v>
      </c>
      <c r="S700" s="112"/>
      <c r="T700" s="58">
        <v>0</v>
      </c>
      <c r="U700" s="36"/>
      <c r="V700" s="112"/>
      <c r="W700" s="112"/>
      <c r="X700" s="112"/>
    </row>
    <row r="701" spans="1:24" ht="15" thickBot="1">
      <c r="A701" s="4" t="s">
        <v>154</v>
      </c>
      <c r="B701" s="4" t="s">
        <v>940</v>
      </c>
      <c r="C701" s="4" t="s">
        <v>941</v>
      </c>
      <c r="D701" s="4" t="s">
        <v>156</v>
      </c>
      <c r="E701" s="4" t="s">
        <v>2345</v>
      </c>
      <c r="F701" s="31">
        <v>46052</v>
      </c>
      <c r="G701" s="4"/>
      <c r="H701" s="4" t="s">
        <v>1774</v>
      </c>
      <c r="I701" s="4" t="s">
        <v>2378</v>
      </c>
      <c r="J701" s="4" t="s">
        <v>776</v>
      </c>
      <c r="K701" s="4"/>
      <c r="L701" s="4" t="s">
        <v>2372</v>
      </c>
      <c r="M701" s="4"/>
      <c r="N701" s="4" t="s">
        <v>499</v>
      </c>
      <c r="O701" s="4">
        <v>1</v>
      </c>
      <c r="P701" s="112"/>
      <c r="Q701" s="112" t="s">
        <v>117</v>
      </c>
      <c r="R701" s="34">
        <v>45</v>
      </c>
      <c r="S701" s="112"/>
      <c r="T701" s="58">
        <v>0</v>
      </c>
      <c r="U701" s="36"/>
      <c r="V701" s="112"/>
      <c r="W701" s="112"/>
      <c r="X701" s="112" t="s">
        <v>252</v>
      </c>
    </row>
    <row r="702" spans="1:24" ht="15" thickBot="1">
      <c r="A702" s="4" t="s">
        <v>154</v>
      </c>
      <c r="B702" s="4" t="s">
        <v>940</v>
      </c>
      <c r="C702" s="4" t="s">
        <v>941</v>
      </c>
      <c r="D702" s="4" t="s">
        <v>156</v>
      </c>
      <c r="E702" s="4" t="s">
        <v>2345</v>
      </c>
      <c r="F702" s="31">
        <v>46052</v>
      </c>
      <c r="G702" s="4"/>
      <c r="H702" s="4" t="s">
        <v>1745</v>
      </c>
      <c r="I702" s="4" t="s">
        <v>1746</v>
      </c>
      <c r="J702" s="4" t="s">
        <v>382</v>
      </c>
      <c r="K702" s="4"/>
      <c r="L702" s="4" t="s">
        <v>2379</v>
      </c>
      <c r="M702" s="4"/>
      <c r="N702" s="4" t="s">
        <v>36</v>
      </c>
      <c r="O702" s="4">
        <v>1</v>
      </c>
      <c r="P702" s="112"/>
      <c r="Q702" s="112"/>
      <c r="R702" s="34">
        <v>0</v>
      </c>
      <c r="S702" s="58">
        <v>0</v>
      </c>
      <c r="T702" s="58">
        <f>SUM(R702:S702)</f>
        <v>0</v>
      </c>
      <c r="U702" s="126">
        <v>46085</v>
      </c>
      <c r="V702" s="112"/>
      <c r="W702" s="112"/>
      <c r="X702" s="112" t="s">
        <v>2380</v>
      </c>
    </row>
    <row r="703" spans="1:24" ht="15" thickBot="1">
      <c r="A703" s="4" t="s">
        <v>154</v>
      </c>
      <c r="B703" s="4" t="s">
        <v>940</v>
      </c>
      <c r="C703" s="4" t="s">
        <v>941</v>
      </c>
      <c r="D703" s="4" t="s">
        <v>156</v>
      </c>
      <c r="E703" s="4" t="s">
        <v>2345</v>
      </c>
      <c r="F703" s="31">
        <v>46052</v>
      </c>
      <c r="G703" s="4"/>
      <c r="H703" s="4" t="s">
        <v>1752</v>
      </c>
      <c r="I703" s="4" t="s">
        <v>1753</v>
      </c>
      <c r="J703" s="4" t="s">
        <v>382</v>
      </c>
      <c r="K703" s="4"/>
      <c r="L703" s="4" t="s">
        <v>2381</v>
      </c>
      <c r="M703" s="4"/>
      <c r="N703" s="4" t="s">
        <v>36</v>
      </c>
      <c r="O703" s="4">
        <v>1</v>
      </c>
      <c r="P703" s="112"/>
      <c r="Q703" s="112" t="s">
        <v>3215</v>
      </c>
      <c r="R703" s="34">
        <v>0</v>
      </c>
      <c r="S703" s="58">
        <v>70</v>
      </c>
      <c r="T703" s="58">
        <f>SUM(R703:S703)</f>
        <v>70</v>
      </c>
      <c r="U703" s="126">
        <v>46085</v>
      </c>
      <c r="V703" s="112"/>
      <c r="W703" s="112"/>
      <c r="X703" s="112" t="s">
        <v>2380</v>
      </c>
    </row>
    <row r="704" spans="1:24" ht="15" thickBot="1">
      <c r="A704" s="4" t="s">
        <v>154</v>
      </c>
      <c r="B704" s="4" t="s">
        <v>940</v>
      </c>
      <c r="C704" s="4" t="s">
        <v>941</v>
      </c>
      <c r="D704" s="4" t="s">
        <v>156</v>
      </c>
      <c r="E704" s="4" t="s">
        <v>2345</v>
      </c>
      <c r="F704" s="31">
        <v>46052</v>
      </c>
      <c r="G704" s="4"/>
      <c r="H704" s="4" t="s">
        <v>2382</v>
      </c>
      <c r="I704" s="4" t="s">
        <v>2383</v>
      </c>
      <c r="J704" s="4" t="s">
        <v>772</v>
      </c>
      <c r="K704" s="4"/>
      <c r="L704" s="4" t="s">
        <v>2384</v>
      </c>
      <c r="M704" s="4"/>
      <c r="N704" s="4" t="s">
        <v>499</v>
      </c>
      <c r="O704" s="4">
        <v>1</v>
      </c>
      <c r="P704" s="112"/>
      <c r="Q704" s="112"/>
      <c r="R704" s="34">
        <v>45</v>
      </c>
      <c r="S704" s="112"/>
      <c r="T704" s="58">
        <v>0</v>
      </c>
      <c r="U704" s="36"/>
      <c r="V704" s="112"/>
      <c r="W704" s="112"/>
      <c r="X704" s="112"/>
    </row>
    <row r="705" spans="1:24" ht="15" thickBot="1">
      <c r="A705" s="4" t="s">
        <v>154</v>
      </c>
      <c r="B705" s="4" t="s">
        <v>940</v>
      </c>
      <c r="C705" s="4" t="s">
        <v>941</v>
      </c>
      <c r="D705" s="4" t="s">
        <v>156</v>
      </c>
      <c r="E705" s="4" t="s">
        <v>2345</v>
      </c>
      <c r="F705" s="31">
        <v>46052</v>
      </c>
      <c r="G705" s="4"/>
      <c r="H705" s="4" t="s">
        <v>2385</v>
      </c>
      <c r="I705" s="4" t="s">
        <v>2386</v>
      </c>
      <c r="J705" s="4" t="s">
        <v>775</v>
      </c>
      <c r="K705" s="4"/>
      <c r="L705" s="4" t="s">
        <v>2387</v>
      </c>
      <c r="M705" s="4"/>
      <c r="N705" s="4" t="s">
        <v>36</v>
      </c>
      <c r="O705" s="4">
        <v>1</v>
      </c>
      <c r="P705" s="112"/>
      <c r="Q705" s="112" t="s">
        <v>252</v>
      </c>
      <c r="R705" s="34">
        <v>45</v>
      </c>
      <c r="S705" s="58">
        <v>215</v>
      </c>
      <c r="T705" s="58">
        <f>SUM(R705:S705)</f>
        <v>260</v>
      </c>
      <c r="U705" s="126">
        <v>46085</v>
      </c>
      <c r="V705" s="112"/>
      <c r="W705" s="112"/>
      <c r="X705" s="112"/>
    </row>
    <row r="706" spans="1:24" ht="15" thickBot="1">
      <c r="A706" s="4" t="s">
        <v>154</v>
      </c>
      <c r="B706" s="4" t="s">
        <v>940</v>
      </c>
      <c r="C706" s="4" t="s">
        <v>941</v>
      </c>
      <c r="D706" s="4" t="s">
        <v>156</v>
      </c>
      <c r="E706" s="4" t="s">
        <v>2345</v>
      </c>
      <c r="F706" s="31">
        <v>46052</v>
      </c>
      <c r="G706" s="4"/>
      <c r="H706" s="4" t="s">
        <v>2388</v>
      </c>
      <c r="I706" s="4" t="s">
        <v>2389</v>
      </c>
      <c r="J706" s="4" t="s">
        <v>780</v>
      </c>
      <c r="K706" s="4"/>
      <c r="L706" s="4" t="s">
        <v>351</v>
      </c>
      <c r="M706" s="4"/>
      <c r="N706" s="4" t="s">
        <v>499</v>
      </c>
      <c r="O706" s="4">
        <v>1</v>
      </c>
      <c r="P706" s="112"/>
      <c r="Q706" s="112"/>
      <c r="R706" s="34">
        <v>45</v>
      </c>
      <c r="S706" s="112"/>
      <c r="T706" s="58">
        <v>0</v>
      </c>
      <c r="U706" s="36"/>
      <c r="V706" s="112"/>
      <c r="W706" s="112"/>
      <c r="X706" s="112"/>
    </row>
    <row r="707" spans="1:24" ht="15" thickBot="1">
      <c r="A707" s="4" t="s">
        <v>154</v>
      </c>
      <c r="B707" s="4" t="s">
        <v>940</v>
      </c>
      <c r="C707" s="4" t="s">
        <v>941</v>
      </c>
      <c r="D707" s="4" t="s">
        <v>156</v>
      </c>
      <c r="E707" s="4" t="s">
        <v>2345</v>
      </c>
      <c r="F707" s="31">
        <v>46052</v>
      </c>
      <c r="G707" s="4"/>
      <c r="H707" s="4" t="s">
        <v>2390</v>
      </c>
      <c r="I707" s="4" t="s">
        <v>2391</v>
      </c>
      <c r="J707" s="4" t="s">
        <v>772</v>
      </c>
      <c r="K707" s="4"/>
      <c r="L707" s="4" t="s">
        <v>351</v>
      </c>
      <c r="M707" s="4"/>
      <c r="N707" s="4" t="s">
        <v>36</v>
      </c>
      <c r="O707" s="4">
        <v>1</v>
      </c>
      <c r="P707" s="112"/>
      <c r="Q707" s="112" t="s">
        <v>352</v>
      </c>
      <c r="R707" s="34">
        <v>45</v>
      </c>
      <c r="S707" s="58">
        <v>160</v>
      </c>
      <c r="T707" s="58">
        <f>SUM(R707:S707)</f>
        <v>205</v>
      </c>
      <c r="U707" s="126">
        <v>46085</v>
      </c>
      <c r="V707" s="112"/>
      <c r="W707" s="112"/>
      <c r="X707" s="112"/>
    </row>
    <row r="708" spans="1:24" ht="15" thickBot="1">
      <c r="A708" s="4" t="s">
        <v>154</v>
      </c>
      <c r="B708" s="4" t="s">
        <v>940</v>
      </c>
      <c r="C708" s="4" t="s">
        <v>941</v>
      </c>
      <c r="D708" s="4" t="s">
        <v>156</v>
      </c>
      <c r="E708" s="4" t="s">
        <v>2345</v>
      </c>
      <c r="F708" s="31">
        <v>46052</v>
      </c>
      <c r="G708" s="4"/>
      <c r="H708" s="4" t="s">
        <v>2392</v>
      </c>
      <c r="I708" s="4" t="s">
        <v>2393</v>
      </c>
      <c r="J708" s="4" t="s">
        <v>779</v>
      </c>
      <c r="K708" s="4" t="s">
        <v>48</v>
      </c>
      <c r="L708" s="4" t="s">
        <v>2394</v>
      </c>
      <c r="M708" s="4" t="s">
        <v>3728</v>
      </c>
      <c r="N708" s="4" t="s">
        <v>36</v>
      </c>
      <c r="O708" s="4">
        <v>1</v>
      </c>
      <c r="P708" s="112"/>
      <c r="Q708" s="112" t="s">
        <v>3698</v>
      </c>
      <c r="R708" s="34">
        <v>45</v>
      </c>
      <c r="S708" s="58">
        <v>0</v>
      </c>
      <c r="T708" s="58">
        <f>SUM(R708:S708)</f>
        <v>45</v>
      </c>
      <c r="U708" s="36">
        <v>46122</v>
      </c>
      <c r="V708" s="112"/>
      <c r="W708" s="112"/>
      <c r="X708" s="112"/>
    </row>
    <row r="709" spans="1:24" ht="15" thickBot="1">
      <c r="A709" s="4" t="s">
        <v>154</v>
      </c>
      <c r="B709" s="4" t="s">
        <v>940</v>
      </c>
      <c r="C709" s="4" t="s">
        <v>941</v>
      </c>
      <c r="D709" s="4" t="s">
        <v>156</v>
      </c>
      <c r="E709" s="4" t="s">
        <v>2345</v>
      </c>
      <c r="F709" s="31">
        <v>46052</v>
      </c>
      <c r="G709" s="4"/>
      <c r="H709" s="4" t="s">
        <v>2395</v>
      </c>
      <c r="I709" s="4" t="s">
        <v>2396</v>
      </c>
      <c r="J709" s="4" t="s">
        <v>772</v>
      </c>
      <c r="K709" s="4" t="s">
        <v>33</v>
      </c>
      <c r="L709" s="4" t="s">
        <v>2397</v>
      </c>
      <c r="M709" s="4" t="s">
        <v>457</v>
      </c>
      <c r="N709" s="4" t="s">
        <v>36</v>
      </c>
      <c r="O709" s="4">
        <v>1</v>
      </c>
      <c r="P709" s="112"/>
      <c r="Q709" s="112" t="s">
        <v>457</v>
      </c>
      <c r="R709" s="34">
        <v>45</v>
      </c>
      <c r="S709" s="58">
        <v>163.75</v>
      </c>
      <c r="T709" s="58">
        <f>SUM(R709:S709)</f>
        <v>208.75</v>
      </c>
      <c r="U709" s="36">
        <v>46122</v>
      </c>
      <c r="V709" s="112"/>
      <c r="W709" s="112"/>
      <c r="X709" s="112"/>
    </row>
    <row r="710" spans="1:24" ht="15" thickBot="1">
      <c r="A710" s="4" t="s">
        <v>25</v>
      </c>
      <c r="B710" s="4" t="s">
        <v>26</v>
      </c>
      <c r="C710" s="4">
        <v>682687160</v>
      </c>
      <c r="D710" s="4" t="s">
        <v>1164</v>
      </c>
      <c r="E710" s="4" t="s">
        <v>1268</v>
      </c>
      <c r="F710" s="31">
        <v>46058</v>
      </c>
      <c r="G710" s="4"/>
      <c r="H710" s="4" t="s">
        <v>2398</v>
      </c>
      <c r="I710" s="4" t="s">
        <v>2399</v>
      </c>
      <c r="J710" s="4" t="s">
        <v>769</v>
      </c>
      <c r="K710" s="4"/>
      <c r="L710" s="4" t="s">
        <v>2400</v>
      </c>
      <c r="M710" s="4"/>
      <c r="N710" s="4" t="s">
        <v>36</v>
      </c>
      <c r="O710" s="4">
        <v>1</v>
      </c>
      <c r="P710" s="112"/>
      <c r="Q710" s="112" t="s">
        <v>457</v>
      </c>
      <c r="R710" s="34">
        <v>45</v>
      </c>
      <c r="S710" s="58">
        <v>163.75</v>
      </c>
      <c r="T710" s="58">
        <f>SUM(R710:S710)</f>
        <v>208.75</v>
      </c>
      <c r="U710" s="126">
        <v>46085</v>
      </c>
      <c r="V710" s="112"/>
      <c r="W710" s="112"/>
      <c r="X710" s="112"/>
    </row>
    <row r="711" spans="1:24" ht="15" thickBot="1">
      <c r="A711" s="4" t="s">
        <v>25</v>
      </c>
      <c r="B711" s="4" t="s">
        <v>26</v>
      </c>
      <c r="C711" s="4">
        <v>682687160</v>
      </c>
      <c r="D711" s="4" t="s">
        <v>1164</v>
      </c>
      <c r="E711" s="4" t="s">
        <v>1268</v>
      </c>
      <c r="F711" s="31">
        <v>46058</v>
      </c>
      <c r="G711" s="4"/>
      <c r="H711" s="4" t="s">
        <v>2401</v>
      </c>
      <c r="I711" s="4" t="s">
        <v>2402</v>
      </c>
      <c r="J711" s="4" t="s">
        <v>766</v>
      </c>
      <c r="K711" s="4" t="s">
        <v>33</v>
      </c>
      <c r="L711" s="4" t="s">
        <v>2403</v>
      </c>
      <c r="M711" s="4" t="s">
        <v>194</v>
      </c>
      <c r="N711" s="4" t="s">
        <v>36</v>
      </c>
      <c r="O711" s="4">
        <v>1</v>
      </c>
      <c r="P711" s="112"/>
      <c r="Q711" s="112" t="s">
        <v>194</v>
      </c>
      <c r="R711" s="34">
        <v>45</v>
      </c>
      <c r="S711" s="58">
        <v>100</v>
      </c>
      <c r="T711" s="58">
        <f>SUM(R711:S711)</f>
        <v>145</v>
      </c>
      <c r="U711" s="36">
        <v>46122</v>
      </c>
      <c r="V711" s="112"/>
      <c r="W711" s="112"/>
      <c r="X711" s="112"/>
    </row>
    <row r="712" spans="1:24" ht="15" thickBot="1">
      <c r="A712" s="4" t="s">
        <v>25</v>
      </c>
      <c r="B712" s="4" t="s">
        <v>26</v>
      </c>
      <c r="C712" s="4">
        <v>682687160</v>
      </c>
      <c r="D712" s="4" t="s">
        <v>1164</v>
      </c>
      <c r="E712" s="4" t="s">
        <v>1268</v>
      </c>
      <c r="F712" s="31">
        <v>46058</v>
      </c>
      <c r="G712" s="4"/>
      <c r="H712" s="4" t="s">
        <v>2404</v>
      </c>
      <c r="I712" s="4" t="s">
        <v>2405</v>
      </c>
      <c r="J712" s="4" t="s">
        <v>765</v>
      </c>
      <c r="K712" s="4"/>
      <c r="L712" s="4" t="s">
        <v>2406</v>
      </c>
      <c r="M712" s="4"/>
      <c r="N712" s="4" t="s">
        <v>499</v>
      </c>
      <c r="O712" s="4">
        <v>1</v>
      </c>
      <c r="P712" s="112"/>
      <c r="Q712" s="112"/>
      <c r="R712" s="34">
        <v>45</v>
      </c>
      <c r="S712" s="112"/>
      <c r="T712" s="58">
        <v>0</v>
      </c>
      <c r="U712" s="36"/>
      <c r="V712" s="112"/>
      <c r="W712" s="112"/>
      <c r="X712" s="112"/>
    </row>
    <row r="713" spans="1:24" ht="15" thickBot="1">
      <c r="A713" s="4" t="s">
        <v>25</v>
      </c>
      <c r="B713" s="4" t="s">
        <v>26</v>
      </c>
      <c r="C713" s="4">
        <v>682687160</v>
      </c>
      <c r="D713" s="4" t="s">
        <v>1164</v>
      </c>
      <c r="E713" s="4" t="s">
        <v>1268</v>
      </c>
      <c r="F713" s="31">
        <v>46058</v>
      </c>
      <c r="G713" s="4"/>
      <c r="H713" s="4" t="s">
        <v>2407</v>
      </c>
      <c r="I713" s="4" t="s">
        <v>2408</v>
      </c>
      <c r="J713" s="4" t="s">
        <v>769</v>
      </c>
      <c r="K713" s="4"/>
      <c r="L713" s="4" t="s">
        <v>2409</v>
      </c>
      <c r="M713" s="4" t="s">
        <v>1118</v>
      </c>
      <c r="N713" s="4" t="s">
        <v>36</v>
      </c>
      <c r="O713" s="4">
        <v>1</v>
      </c>
      <c r="P713" s="112"/>
      <c r="Q713" s="4" t="s">
        <v>1118</v>
      </c>
      <c r="R713" s="34">
        <v>45</v>
      </c>
      <c r="S713" s="58">
        <v>263.75</v>
      </c>
      <c r="T713" s="58">
        <f>SUM(R713:S713)</f>
        <v>308.75</v>
      </c>
      <c r="U713" s="126">
        <v>46085</v>
      </c>
      <c r="V713" s="112"/>
      <c r="W713" s="112"/>
      <c r="X713" s="112"/>
    </row>
    <row r="714" spans="1:24" ht="15" thickBot="1">
      <c r="A714" s="4" t="s">
        <v>25</v>
      </c>
      <c r="B714" s="4" t="s">
        <v>26</v>
      </c>
      <c r="C714" s="4">
        <v>682687160</v>
      </c>
      <c r="D714" s="4" t="s">
        <v>1164</v>
      </c>
      <c r="E714" s="4" t="s">
        <v>1268</v>
      </c>
      <c r="F714" s="31">
        <v>46058</v>
      </c>
      <c r="G714" s="4"/>
      <c r="H714" s="4" t="s">
        <v>2410</v>
      </c>
      <c r="I714" s="4" t="s">
        <v>2411</v>
      </c>
      <c r="J714" s="4" t="s">
        <v>770</v>
      </c>
      <c r="K714" s="4"/>
      <c r="L714" s="4" t="s">
        <v>2412</v>
      </c>
      <c r="M714" s="4" t="s">
        <v>3227</v>
      </c>
      <c r="N714" s="4" t="s">
        <v>499</v>
      </c>
      <c r="O714" s="4">
        <v>1</v>
      </c>
      <c r="P714" s="112"/>
      <c r="Q714" s="112" t="s">
        <v>3829</v>
      </c>
      <c r="R714" s="34">
        <v>45</v>
      </c>
      <c r="S714" s="58">
        <v>120</v>
      </c>
      <c r="T714" s="58">
        <f>SUM(R714:S714)</f>
        <v>165</v>
      </c>
      <c r="U714" s="36"/>
      <c r="V714" s="112"/>
      <c r="W714" s="112"/>
      <c r="X714" s="112"/>
    </row>
    <row r="715" spans="1:24" ht="15" thickBot="1">
      <c r="A715" s="4" t="s">
        <v>25</v>
      </c>
      <c r="B715" s="4" t="s">
        <v>26</v>
      </c>
      <c r="C715" s="4">
        <v>682687160</v>
      </c>
      <c r="D715" s="4" t="s">
        <v>1164</v>
      </c>
      <c r="E715" s="4" t="s">
        <v>1268</v>
      </c>
      <c r="F715" s="31">
        <v>46058</v>
      </c>
      <c r="G715" s="4"/>
      <c r="H715" s="4" t="s">
        <v>2413</v>
      </c>
      <c r="I715" s="4" t="s">
        <v>2414</v>
      </c>
      <c r="J715" s="4" t="s">
        <v>769</v>
      </c>
      <c r="K715" s="4"/>
      <c r="L715" s="4" t="s">
        <v>2400</v>
      </c>
      <c r="M715" s="4"/>
      <c r="N715" s="4" t="s">
        <v>499</v>
      </c>
      <c r="O715" s="4">
        <v>1</v>
      </c>
      <c r="P715" s="112"/>
      <c r="Q715" s="112"/>
      <c r="R715" s="34">
        <v>45</v>
      </c>
      <c r="S715" s="112"/>
      <c r="T715" s="58">
        <v>0</v>
      </c>
      <c r="U715" s="36"/>
      <c r="V715" s="112"/>
      <c r="W715" s="112"/>
      <c r="X715" s="112"/>
    </row>
    <row r="716" spans="1:24" ht="15" thickBot="1">
      <c r="A716" s="4" t="s">
        <v>25</v>
      </c>
      <c r="B716" s="4" t="s">
        <v>26</v>
      </c>
      <c r="C716" s="4">
        <v>682687160</v>
      </c>
      <c r="D716" s="4" t="s">
        <v>1164</v>
      </c>
      <c r="E716" s="4" t="s">
        <v>1268</v>
      </c>
      <c r="F716" s="31">
        <v>46058</v>
      </c>
      <c r="G716" s="4"/>
      <c r="H716" s="4" t="s">
        <v>2415</v>
      </c>
      <c r="I716" s="4" t="s">
        <v>2416</v>
      </c>
      <c r="J716" s="4" t="s">
        <v>769</v>
      </c>
      <c r="K716" s="4" t="s">
        <v>33</v>
      </c>
      <c r="L716" s="4" t="s">
        <v>2417</v>
      </c>
      <c r="M716" s="4" t="s">
        <v>1580</v>
      </c>
      <c r="N716" s="4" t="s">
        <v>36</v>
      </c>
      <c r="O716" s="4">
        <v>1</v>
      </c>
      <c r="P716" s="112" t="s">
        <v>3702</v>
      </c>
      <c r="Q716" s="112" t="s">
        <v>3703</v>
      </c>
      <c r="R716" s="34">
        <v>45</v>
      </c>
      <c r="S716" s="58">
        <v>20</v>
      </c>
      <c r="T716" s="58">
        <f>SUM(R716:S716)</f>
        <v>65</v>
      </c>
      <c r="U716" s="36">
        <v>46122</v>
      </c>
      <c r="V716" s="112"/>
      <c r="W716" s="112"/>
      <c r="X716" s="112"/>
    </row>
    <row r="717" spans="1:24" ht="15" thickBot="1">
      <c r="A717" s="4" t="s">
        <v>25</v>
      </c>
      <c r="B717" s="4" t="s">
        <v>26</v>
      </c>
      <c r="C717" s="4">
        <v>682687160</v>
      </c>
      <c r="D717" s="4" t="s">
        <v>1164</v>
      </c>
      <c r="E717" s="4" t="s">
        <v>1268</v>
      </c>
      <c r="F717" s="31">
        <v>46058</v>
      </c>
      <c r="G717" s="4"/>
      <c r="H717" s="4" t="s">
        <v>2418</v>
      </c>
      <c r="I717" s="4" t="s">
        <v>2419</v>
      </c>
      <c r="J717" s="4" t="s">
        <v>766</v>
      </c>
      <c r="K717" s="4"/>
      <c r="L717" s="4" t="s">
        <v>2420</v>
      </c>
      <c r="M717" s="4" t="s">
        <v>258</v>
      </c>
      <c r="N717" s="4" t="s">
        <v>36</v>
      </c>
      <c r="O717" s="4">
        <v>1</v>
      </c>
      <c r="P717" s="112"/>
      <c r="Q717" s="112" t="s">
        <v>258</v>
      </c>
      <c r="R717" s="34">
        <v>45</v>
      </c>
      <c r="S717" s="58">
        <v>320</v>
      </c>
      <c r="T717" s="58">
        <f>SUM(R717:S717)</f>
        <v>365</v>
      </c>
      <c r="U717" s="126">
        <v>46085</v>
      </c>
      <c r="V717" s="112"/>
      <c r="W717" s="112"/>
      <c r="X717" s="112"/>
    </row>
    <row r="718" spans="1:24" ht="15" thickBot="1">
      <c r="A718" s="4" t="s">
        <v>25</v>
      </c>
      <c r="B718" s="4" t="s">
        <v>26</v>
      </c>
      <c r="C718" s="4">
        <v>682687160</v>
      </c>
      <c r="D718" s="4" t="s">
        <v>1164</v>
      </c>
      <c r="E718" s="4" t="s">
        <v>1268</v>
      </c>
      <c r="F718" s="31">
        <v>46058</v>
      </c>
      <c r="G718" s="4"/>
      <c r="H718" s="4" t="s">
        <v>2421</v>
      </c>
      <c r="I718" s="4" t="s">
        <v>2422</v>
      </c>
      <c r="J718" s="4" t="s">
        <v>766</v>
      </c>
      <c r="K718" s="4"/>
      <c r="L718" s="4" t="s">
        <v>2423</v>
      </c>
      <c r="M718" s="4" t="s">
        <v>457</v>
      </c>
      <c r="N718" s="4" t="s">
        <v>36</v>
      </c>
      <c r="O718" s="4">
        <v>1</v>
      </c>
      <c r="P718" s="112"/>
      <c r="Q718" s="112" t="s">
        <v>457</v>
      </c>
      <c r="R718" s="34">
        <v>45</v>
      </c>
      <c r="S718" s="58">
        <v>163.75</v>
      </c>
      <c r="T718" s="58">
        <f>SUM(R718:S718)</f>
        <v>208.75</v>
      </c>
      <c r="U718" s="126">
        <v>46085</v>
      </c>
      <c r="V718" s="112"/>
      <c r="W718" s="112"/>
      <c r="X718" s="112"/>
    </row>
    <row r="719" spans="1:24" ht="15" thickBot="1">
      <c r="A719" s="4" t="s">
        <v>25</v>
      </c>
      <c r="B719" s="4" t="s">
        <v>26</v>
      </c>
      <c r="C719" s="4">
        <v>682687160</v>
      </c>
      <c r="D719" s="4" t="s">
        <v>1164</v>
      </c>
      <c r="E719" s="4" t="s">
        <v>1268</v>
      </c>
      <c r="F719" s="31">
        <v>46058</v>
      </c>
      <c r="G719" s="4"/>
      <c r="H719" s="4" t="s">
        <v>2424</v>
      </c>
      <c r="I719" s="4" t="s">
        <v>2425</v>
      </c>
      <c r="J719" s="4" t="s">
        <v>771</v>
      </c>
      <c r="K719" s="4"/>
      <c r="L719" s="4" t="s">
        <v>2426</v>
      </c>
      <c r="M719" s="4" t="s">
        <v>352</v>
      </c>
      <c r="N719" s="4" t="s">
        <v>36</v>
      </c>
      <c r="O719" s="4">
        <v>1</v>
      </c>
      <c r="P719" s="112"/>
      <c r="Q719" s="112" t="s">
        <v>352</v>
      </c>
      <c r="R719" s="34">
        <v>45</v>
      </c>
      <c r="S719" s="58">
        <v>160</v>
      </c>
      <c r="T719" s="58">
        <f>SUM(R719:S719)</f>
        <v>205</v>
      </c>
      <c r="U719" s="126">
        <v>46085</v>
      </c>
      <c r="V719" s="112"/>
      <c r="W719" s="112"/>
      <c r="X719" s="112"/>
    </row>
    <row r="720" spans="1:24" ht="15" thickBot="1">
      <c r="A720" s="4" t="s">
        <v>25</v>
      </c>
      <c r="B720" s="4" t="s">
        <v>26</v>
      </c>
      <c r="C720" s="4">
        <v>682687160</v>
      </c>
      <c r="D720" s="4" t="s">
        <v>1164</v>
      </c>
      <c r="E720" s="4" t="s">
        <v>1268</v>
      </c>
      <c r="F720" s="31">
        <v>46058</v>
      </c>
      <c r="G720" s="4"/>
      <c r="H720" s="4" t="s">
        <v>2427</v>
      </c>
      <c r="I720" s="4" t="s">
        <v>2428</v>
      </c>
      <c r="J720" s="4" t="s">
        <v>770</v>
      </c>
      <c r="K720" s="4"/>
      <c r="L720" s="4" t="s">
        <v>2429</v>
      </c>
      <c r="M720" s="4"/>
      <c r="N720" s="4" t="s">
        <v>499</v>
      </c>
      <c r="O720" s="4">
        <v>1</v>
      </c>
      <c r="P720" s="112"/>
      <c r="Q720" s="112"/>
      <c r="R720" s="34">
        <v>45</v>
      </c>
      <c r="S720" s="112"/>
      <c r="T720" s="58">
        <v>0</v>
      </c>
      <c r="U720" s="36"/>
      <c r="V720" s="112"/>
      <c r="W720" s="112"/>
      <c r="X720" s="112"/>
    </row>
    <row r="721" spans="1:24" ht="15" thickBot="1">
      <c r="A721" s="4" t="s">
        <v>25</v>
      </c>
      <c r="B721" s="4" t="s">
        <v>26</v>
      </c>
      <c r="C721" s="4">
        <v>682687160</v>
      </c>
      <c r="D721" s="4" t="s">
        <v>1164</v>
      </c>
      <c r="E721" s="4" t="s">
        <v>1268</v>
      </c>
      <c r="F721" s="31">
        <v>46058</v>
      </c>
      <c r="G721" s="4"/>
      <c r="H721" s="4" t="s">
        <v>2430</v>
      </c>
      <c r="I721" s="4" t="s">
        <v>2431</v>
      </c>
      <c r="J721" s="4" t="s">
        <v>781</v>
      </c>
      <c r="K721" s="4"/>
      <c r="L721" s="4" t="s">
        <v>2423</v>
      </c>
      <c r="M721" s="4"/>
      <c r="N721" s="4" t="s">
        <v>499</v>
      </c>
      <c r="O721" s="4">
        <v>1</v>
      </c>
      <c r="P721" s="112"/>
      <c r="Q721" s="112"/>
      <c r="R721" s="34">
        <v>45</v>
      </c>
      <c r="S721" s="112"/>
      <c r="T721" s="58">
        <v>0</v>
      </c>
      <c r="U721" s="36"/>
      <c r="V721" s="112"/>
      <c r="W721" s="112"/>
      <c r="X721" s="112"/>
    </row>
    <row r="722" spans="1:24" ht="15" thickBot="1">
      <c r="A722" s="4" t="s">
        <v>25</v>
      </c>
      <c r="B722" s="4" t="s">
        <v>26</v>
      </c>
      <c r="C722" s="4">
        <v>682687160</v>
      </c>
      <c r="D722" s="4" t="s">
        <v>1164</v>
      </c>
      <c r="E722" s="4" t="s">
        <v>1268</v>
      </c>
      <c r="F722" s="31">
        <v>46058</v>
      </c>
      <c r="G722" s="4"/>
      <c r="H722" s="4" t="s">
        <v>2432</v>
      </c>
      <c r="I722" s="4" t="s">
        <v>2433</v>
      </c>
      <c r="J722" s="4" t="s">
        <v>782</v>
      </c>
      <c r="K722" s="4"/>
      <c r="L722" s="4" t="s">
        <v>2406</v>
      </c>
      <c r="M722" s="4"/>
      <c r="N722" s="4" t="s">
        <v>499</v>
      </c>
      <c r="O722" s="4">
        <v>1</v>
      </c>
      <c r="P722" s="112"/>
      <c r="Q722" s="112"/>
      <c r="R722" s="34">
        <v>45</v>
      </c>
      <c r="S722" s="112"/>
      <c r="T722" s="58">
        <v>0</v>
      </c>
      <c r="U722" s="36"/>
      <c r="V722" s="112"/>
      <c r="W722" s="112"/>
      <c r="X722" s="112"/>
    </row>
    <row r="723" spans="1:24" ht="15" thickBot="1">
      <c r="A723" s="4" t="s">
        <v>25</v>
      </c>
      <c r="B723" s="4" t="s">
        <v>26</v>
      </c>
      <c r="C723" s="4">
        <v>682687160</v>
      </c>
      <c r="D723" s="4" t="s">
        <v>1164</v>
      </c>
      <c r="E723" s="4" t="s">
        <v>1268</v>
      </c>
      <c r="F723" s="31">
        <v>46058</v>
      </c>
      <c r="G723" s="4"/>
      <c r="H723" s="4" t="s">
        <v>2434</v>
      </c>
      <c r="I723" s="4" t="s">
        <v>2435</v>
      </c>
      <c r="J723" s="4" t="s">
        <v>766</v>
      </c>
      <c r="K723" s="4"/>
      <c r="L723" s="4" t="s">
        <v>2436</v>
      </c>
      <c r="M723" s="4"/>
      <c r="N723" s="4" t="s">
        <v>36</v>
      </c>
      <c r="O723" s="4">
        <v>1</v>
      </c>
      <c r="P723" s="112"/>
      <c r="Q723" s="112" t="s">
        <v>3245</v>
      </c>
      <c r="R723" s="34">
        <v>45</v>
      </c>
      <c r="S723" s="58">
        <v>331.75</v>
      </c>
      <c r="T723" s="58">
        <f>SUM(R723:S723)</f>
        <v>376.75</v>
      </c>
      <c r="U723" s="126">
        <v>46085</v>
      </c>
      <c r="V723" s="112"/>
      <c r="W723" s="112"/>
      <c r="X723" s="112"/>
    </row>
    <row r="724" spans="1:24" ht="15" thickBot="1">
      <c r="A724" s="4" t="s">
        <v>25</v>
      </c>
      <c r="B724" s="4" t="s">
        <v>26</v>
      </c>
      <c r="C724" s="4">
        <v>682687160</v>
      </c>
      <c r="D724" s="4" t="s">
        <v>1164</v>
      </c>
      <c r="E724" s="4" t="s">
        <v>1268</v>
      </c>
      <c r="F724" s="31">
        <v>46058</v>
      </c>
      <c r="G724" s="4"/>
      <c r="H724" s="4" t="s">
        <v>2437</v>
      </c>
      <c r="I724" s="4" t="s">
        <v>2438</v>
      </c>
      <c r="J724" s="4" t="s">
        <v>770</v>
      </c>
      <c r="K724" s="4" t="s">
        <v>48</v>
      </c>
      <c r="L724" s="4" t="s">
        <v>2439</v>
      </c>
      <c r="M724" s="4" t="s">
        <v>3715</v>
      </c>
      <c r="N724" s="4" t="s">
        <v>36</v>
      </c>
      <c r="O724" s="4">
        <v>1</v>
      </c>
      <c r="P724" s="112"/>
      <c r="Q724" s="4" t="s">
        <v>3715</v>
      </c>
      <c r="R724" s="34">
        <v>45</v>
      </c>
      <c r="S724" s="58">
        <v>0</v>
      </c>
      <c r="T724" s="58">
        <f>SUM(R724:S724)</f>
        <v>45</v>
      </c>
      <c r="U724" s="36">
        <v>46122</v>
      </c>
      <c r="V724" s="112"/>
      <c r="W724" s="112"/>
      <c r="X724" s="112"/>
    </row>
    <row r="725" spans="1:24" ht="15" thickBot="1">
      <c r="A725" s="127" t="s">
        <v>25</v>
      </c>
      <c r="B725" s="127" t="s">
        <v>26</v>
      </c>
      <c r="C725" s="127" t="s">
        <v>27</v>
      </c>
      <c r="D725" s="128" t="s">
        <v>28</v>
      </c>
      <c r="E725" s="127" t="s">
        <v>29</v>
      </c>
      <c r="F725" s="129">
        <v>46064</v>
      </c>
      <c r="G725" s="127"/>
      <c r="H725" s="127" t="s">
        <v>3273</v>
      </c>
      <c r="I725" s="127" t="s">
        <v>3274</v>
      </c>
      <c r="J725" s="127" t="s">
        <v>782</v>
      </c>
      <c r="K725" s="127" t="s">
        <v>48</v>
      </c>
      <c r="L725" s="127" t="s">
        <v>3275</v>
      </c>
      <c r="M725" s="127"/>
      <c r="N725" s="127" t="s">
        <v>499</v>
      </c>
      <c r="O725" s="127">
        <v>1</v>
      </c>
      <c r="P725" s="130"/>
      <c r="Q725" s="130"/>
      <c r="R725" s="34">
        <v>45</v>
      </c>
      <c r="S725" s="112"/>
      <c r="T725" s="58">
        <v>0</v>
      </c>
      <c r="U725" s="112"/>
      <c r="V725" s="112"/>
      <c r="W725" s="112"/>
      <c r="X725" s="112"/>
    </row>
    <row r="726" spans="1:24" ht="15" thickBot="1">
      <c r="A726" s="127" t="s">
        <v>25</v>
      </c>
      <c r="B726" s="127" t="s">
        <v>26</v>
      </c>
      <c r="C726" s="127" t="s">
        <v>27</v>
      </c>
      <c r="D726" s="128" t="s">
        <v>28</v>
      </c>
      <c r="E726" s="127" t="s">
        <v>29</v>
      </c>
      <c r="F726" s="129">
        <v>46064</v>
      </c>
      <c r="G726" s="127"/>
      <c r="H726" s="127" t="s">
        <v>3276</v>
      </c>
      <c r="I726" s="131" t="s">
        <v>3277</v>
      </c>
      <c r="J726" s="127" t="s">
        <v>781</v>
      </c>
      <c r="K726" s="127" t="s">
        <v>33</v>
      </c>
      <c r="L726" s="127" t="s">
        <v>3278</v>
      </c>
      <c r="M726" s="127"/>
      <c r="N726" s="127" t="s">
        <v>499</v>
      </c>
      <c r="O726" s="127">
        <v>1</v>
      </c>
      <c r="P726" s="130"/>
      <c r="Q726" s="130"/>
      <c r="R726" s="34">
        <v>45</v>
      </c>
      <c r="S726" s="112"/>
      <c r="T726" s="58">
        <v>0</v>
      </c>
      <c r="U726" s="112"/>
      <c r="V726" s="112"/>
      <c r="W726" s="112"/>
      <c r="X726" s="112"/>
    </row>
    <row r="727" spans="1:24" ht="15" thickBot="1">
      <c r="A727" s="131" t="s">
        <v>25</v>
      </c>
      <c r="B727" s="131" t="s">
        <v>26</v>
      </c>
      <c r="C727" s="131" t="s">
        <v>27</v>
      </c>
      <c r="D727" s="128" t="s">
        <v>28</v>
      </c>
      <c r="E727" s="131" t="s">
        <v>29</v>
      </c>
      <c r="F727" s="129">
        <v>46064</v>
      </c>
      <c r="G727" s="131"/>
      <c r="H727" s="131" t="s">
        <v>3279</v>
      </c>
      <c r="I727" s="131" t="s">
        <v>3280</v>
      </c>
      <c r="J727" s="131" t="s">
        <v>3281</v>
      </c>
      <c r="K727" s="131" t="s">
        <v>48</v>
      </c>
      <c r="L727" s="131" t="s">
        <v>3282</v>
      </c>
      <c r="M727" s="131"/>
      <c r="N727" s="131" t="s">
        <v>499</v>
      </c>
      <c r="O727" s="131">
        <v>1</v>
      </c>
      <c r="P727" s="132"/>
      <c r="Q727" s="132"/>
      <c r="R727" s="34">
        <v>45</v>
      </c>
      <c r="S727" s="112"/>
      <c r="T727" s="58">
        <v>0</v>
      </c>
      <c r="U727" s="112"/>
      <c r="V727" s="112"/>
      <c r="W727" s="112"/>
      <c r="X727" s="112"/>
    </row>
    <row r="728" spans="1:24" ht="15" thickBot="1">
      <c r="A728" s="131" t="s">
        <v>25</v>
      </c>
      <c r="B728" s="131" t="s">
        <v>26</v>
      </c>
      <c r="C728" s="131" t="s">
        <v>27</v>
      </c>
      <c r="D728" s="128" t="s">
        <v>28</v>
      </c>
      <c r="E728" s="131" t="s">
        <v>29</v>
      </c>
      <c r="F728" s="129">
        <v>46064</v>
      </c>
      <c r="G728" s="131"/>
      <c r="H728" s="131" t="s">
        <v>3283</v>
      </c>
      <c r="I728" s="131" t="s">
        <v>3284</v>
      </c>
      <c r="J728" s="131" t="s">
        <v>180</v>
      </c>
      <c r="K728" s="131" t="s">
        <v>48</v>
      </c>
      <c r="L728" s="131" t="s">
        <v>3285</v>
      </c>
      <c r="M728" s="131"/>
      <c r="N728" s="131" t="s">
        <v>499</v>
      </c>
      <c r="O728" s="131">
        <v>1</v>
      </c>
      <c r="P728" s="132"/>
      <c r="Q728" s="132"/>
      <c r="R728" s="34">
        <v>45</v>
      </c>
      <c r="S728" s="112"/>
      <c r="T728" s="58">
        <v>0</v>
      </c>
      <c r="U728" s="112"/>
      <c r="V728" s="112"/>
      <c r="W728" s="112"/>
      <c r="X728" s="112"/>
    </row>
    <row r="729" spans="1:24" ht="15" thickBot="1">
      <c r="A729" s="131" t="s">
        <v>25</v>
      </c>
      <c r="B729" s="131" t="s">
        <v>26</v>
      </c>
      <c r="C729" s="131" t="s">
        <v>27</v>
      </c>
      <c r="D729" s="128" t="s">
        <v>28</v>
      </c>
      <c r="E729" s="131" t="s">
        <v>29</v>
      </c>
      <c r="F729" s="129">
        <v>46064</v>
      </c>
      <c r="G729" s="131"/>
      <c r="H729" s="131" t="s">
        <v>3286</v>
      </c>
      <c r="I729" s="131" t="s">
        <v>3287</v>
      </c>
      <c r="J729" s="131" t="s">
        <v>3288</v>
      </c>
      <c r="K729" s="131" t="s">
        <v>33</v>
      </c>
      <c r="L729" s="131" t="s">
        <v>290</v>
      </c>
      <c r="M729" s="131" t="s">
        <v>3358</v>
      </c>
      <c r="N729" s="4" t="s">
        <v>36</v>
      </c>
      <c r="O729" s="131">
        <v>1</v>
      </c>
      <c r="P729" s="132"/>
      <c r="Q729" s="132" t="s">
        <v>3359</v>
      </c>
      <c r="R729" s="34">
        <v>45</v>
      </c>
      <c r="S729" s="58">
        <v>197</v>
      </c>
      <c r="T729" s="58">
        <f>SUM(R729:S729)</f>
        <v>242</v>
      </c>
      <c r="U729" s="36">
        <v>46122</v>
      </c>
      <c r="V729" s="112"/>
      <c r="W729" s="112"/>
      <c r="X729" s="112"/>
    </row>
    <row r="730" spans="1:24" ht="15" thickBot="1">
      <c r="A730" s="131" t="s">
        <v>25</v>
      </c>
      <c r="B730" s="131" t="s">
        <v>26</v>
      </c>
      <c r="C730" s="131" t="s">
        <v>27</v>
      </c>
      <c r="D730" s="128" t="s">
        <v>28</v>
      </c>
      <c r="E730" s="131" t="s">
        <v>29</v>
      </c>
      <c r="F730" s="129">
        <v>46064</v>
      </c>
      <c r="G730" s="131"/>
      <c r="H730" s="131" t="s">
        <v>3289</v>
      </c>
      <c r="I730" s="131" t="s">
        <v>3290</v>
      </c>
      <c r="J730" s="131" t="s">
        <v>3288</v>
      </c>
      <c r="K730" s="131" t="s">
        <v>33</v>
      </c>
      <c r="L730" s="131" t="s">
        <v>3291</v>
      </c>
      <c r="M730" s="131"/>
      <c r="N730" s="131" t="s">
        <v>499</v>
      </c>
      <c r="O730" s="131">
        <v>1</v>
      </c>
      <c r="P730" s="132"/>
      <c r="Q730" s="132"/>
      <c r="R730" s="34">
        <v>45</v>
      </c>
      <c r="S730" s="112"/>
      <c r="T730" s="58">
        <v>0</v>
      </c>
      <c r="U730" s="112"/>
      <c r="V730" s="112"/>
      <c r="W730" s="112"/>
      <c r="X730" s="112"/>
    </row>
    <row r="731" spans="1:24" ht="15" thickBot="1">
      <c r="A731" s="131" t="s">
        <v>25</v>
      </c>
      <c r="B731" s="131" t="s">
        <v>26</v>
      </c>
      <c r="C731" s="131" t="s">
        <v>27</v>
      </c>
      <c r="D731" s="128" t="s">
        <v>28</v>
      </c>
      <c r="E731" s="131" t="s">
        <v>29</v>
      </c>
      <c r="F731" s="129">
        <v>46064</v>
      </c>
      <c r="G731" s="131"/>
      <c r="H731" s="131" t="s">
        <v>3292</v>
      </c>
      <c r="I731" s="131" t="s">
        <v>3293</v>
      </c>
      <c r="J731" s="131" t="s">
        <v>165</v>
      </c>
      <c r="K731" s="131" t="s">
        <v>33</v>
      </c>
      <c r="L731" s="131" t="s">
        <v>3294</v>
      </c>
      <c r="M731" s="131"/>
      <c r="N731" s="131" t="s">
        <v>499</v>
      </c>
      <c r="O731" s="131">
        <v>1</v>
      </c>
      <c r="P731" s="132"/>
      <c r="Q731" s="132"/>
      <c r="R731" s="34">
        <v>45</v>
      </c>
      <c r="S731" s="112"/>
      <c r="T731" s="58">
        <v>0</v>
      </c>
      <c r="U731" s="112"/>
      <c r="V731" s="112"/>
      <c r="W731" s="112"/>
      <c r="X731" s="112"/>
    </row>
    <row r="732" spans="1:24" ht="15" thickBot="1">
      <c r="A732" s="131" t="s">
        <v>25</v>
      </c>
      <c r="B732" s="131" t="s">
        <v>26</v>
      </c>
      <c r="C732" s="131" t="s">
        <v>27</v>
      </c>
      <c r="D732" s="128" t="s">
        <v>28</v>
      </c>
      <c r="E732" s="131" t="s">
        <v>29</v>
      </c>
      <c r="F732" s="129">
        <v>46064</v>
      </c>
      <c r="G732" s="131"/>
      <c r="H732" s="131" t="s">
        <v>1065</v>
      </c>
      <c r="I732" s="133" t="s">
        <v>1066</v>
      </c>
      <c r="J732" s="131" t="s">
        <v>172</v>
      </c>
      <c r="K732" s="131" t="s">
        <v>48</v>
      </c>
      <c r="L732" s="131" t="s">
        <v>173</v>
      </c>
      <c r="M732" s="131"/>
      <c r="N732" s="131" t="s">
        <v>499</v>
      </c>
      <c r="O732" s="131">
        <v>1</v>
      </c>
      <c r="P732" s="132"/>
      <c r="Q732" s="132"/>
      <c r="R732" s="34">
        <v>45</v>
      </c>
      <c r="S732" s="112"/>
      <c r="T732" s="58">
        <v>0</v>
      </c>
      <c r="U732" s="112"/>
      <c r="V732" s="112"/>
      <c r="W732" s="112"/>
      <c r="X732" s="112"/>
    </row>
    <row r="733" spans="1:24" ht="15" thickBot="1">
      <c r="A733" s="131" t="s">
        <v>25</v>
      </c>
      <c r="B733" s="131" t="s">
        <v>26</v>
      </c>
      <c r="C733" s="131" t="s">
        <v>27</v>
      </c>
      <c r="D733" s="128" t="s">
        <v>28</v>
      </c>
      <c r="E733" s="131" t="s">
        <v>29</v>
      </c>
      <c r="F733" s="129">
        <v>46064</v>
      </c>
      <c r="G733" s="131"/>
      <c r="H733" s="131" t="s">
        <v>1282</v>
      </c>
      <c r="I733" s="133" t="s">
        <v>1283</v>
      </c>
      <c r="J733" s="131" t="s">
        <v>165</v>
      </c>
      <c r="K733" s="131" t="s">
        <v>33</v>
      </c>
      <c r="L733" s="131" t="s">
        <v>3295</v>
      </c>
      <c r="M733" s="131"/>
      <c r="N733" s="131" t="s">
        <v>499</v>
      </c>
      <c r="O733" s="131">
        <v>1</v>
      </c>
      <c r="P733" s="132"/>
      <c r="Q733" s="132"/>
      <c r="R733" s="34">
        <v>45</v>
      </c>
      <c r="S733" s="112"/>
      <c r="T733" s="58">
        <v>0</v>
      </c>
      <c r="U733" s="112"/>
      <c r="V733" s="112"/>
      <c r="W733" s="112"/>
      <c r="X733" s="112"/>
    </row>
    <row r="734" spans="1:24" ht="15" thickBot="1">
      <c r="A734" s="131" t="s">
        <v>25</v>
      </c>
      <c r="B734" s="131" t="s">
        <v>26</v>
      </c>
      <c r="C734" s="131" t="s">
        <v>27</v>
      </c>
      <c r="D734" s="128" t="s">
        <v>28</v>
      </c>
      <c r="E734" s="131" t="s">
        <v>29</v>
      </c>
      <c r="F734" s="129">
        <v>46064</v>
      </c>
      <c r="G734" s="131"/>
      <c r="H734" s="131" t="s">
        <v>3296</v>
      </c>
      <c r="I734" s="131" t="s">
        <v>3297</v>
      </c>
      <c r="J734" s="131" t="s">
        <v>172</v>
      </c>
      <c r="K734" s="131" t="s">
        <v>48</v>
      </c>
      <c r="L734" s="131" t="s">
        <v>1958</v>
      </c>
      <c r="M734" s="131"/>
      <c r="N734" s="131" t="s">
        <v>499</v>
      </c>
      <c r="O734" s="131">
        <v>1</v>
      </c>
      <c r="P734" s="132" t="s">
        <v>3693</v>
      </c>
      <c r="Q734" s="132"/>
      <c r="R734" s="34">
        <v>45</v>
      </c>
      <c r="S734" s="112"/>
      <c r="T734" s="58">
        <v>0</v>
      </c>
      <c r="U734" s="112"/>
      <c r="V734" s="112"/>
      <c r="W734" s="112"/>
      <c r="X734" s="112"/>
    </row>
    <row r="735" spans="1:24" ht="15" thickBot="1">
      <c r="A735" s="131" t="s">
        <v>25</v>
      </c>
      <c r="B735" s="131" t="s">
        <v>26</v>
      </c>
      <c r="C735" s="131" t="s">
        <v>27</v>
      </c>
      <c r="D735" s="128" t="s">
        <v>28</v>
      </c>
      <c r="E735" s="131" t="s">
        <v>29</v>
      </c>
      <c r="F735" s="129">
        <v>46064</v>
      </c>
      <c r="G735" s="131"/>
      <c r="H735" s="131" t="s">
        <v>1692</v>
      </c>
      <c r="I735" s="133" t="s">
        <v>1693</v>
      </c>
      <c r="J735" s="131" t="s">
        <v>165</v>
      </c>
      <c r="K735" s="131" t="s">
        <v>33</v>
      </c>
      <c r="L735" s="131" t="s">
        <v>3298</v>
      </c>
      <c r="M735" s="131"/>
      <c r="N735" s="131" t="s">
        <v>499</v>
      </c>
      <c r="O735" s="131">
        <v>1</v>
      </c>
      <c r="P735" s="132"/>
      <c r="Q735" s="132"/>
      <c r="R735" s="34">
        <v>45</v>
      </c>
      <c r="S735" s="112"/>
      <c r="T735" s="58">
        <v>0</v>
      </c>
      <c r="U735" s="112"/>
      <c r="V735" s="112"/>
      <c r="W735" s="112"/>
      <c r="X735" s="112"/>
    </row>
    <row r="736" spans="1:24" ht="15" thickBot="1">
      <c r="A736" s="131" t="s">
        <v>25</v>
      </c>
      <c r="B736" s="131" t="s">
        <v>26</v>
      </c>
      <c r="C736" s="131" t="s">
        <v>27</v>
      </c>
      <c r="D736" s="131" t="s">
        <v>28</v>
      </c>
      <c r="E736" s="131" t="s">
        <v>29</v>
      </c>
      <c r="F736" s="129">
        <v>46064</v>
      </c>
      <c r="G736" s="131"/>
      <c r="H736" s="131" t="s">
        <v>3299</v>
      </c>
      <c r="I736" s="131" t="s">
        <v>3300</v>
      </c>
      <c r="J736" s="131" t="s">
        <v>180</v>
      </c>
      <c r="K736" s="131" t="s">
        <v>48</v>
      </c>
      <c r="L736" s="131" t="s">
        <v>1992</v>
      </c>
      <c r="M736" s="131"/>
      <c r="N736" s="131" t="s">
        <v>499</v>
      </c>
      <c r="O736" s="131">
        <v>1</v>
      </c>
      <c r="P736" s="132"/>
      <c r="Q736" s="132"/>
      <c r="R736" s="34">
        <v>45</v>
      </c>
      <c r="S736" s="112"/>
      <c r="T736" s="58">
        <v>0</v>
      </c>
      <c r="U736" s="112"/>
      <c r="V736" s="112"/>
      <c r="W736" s="112"/>
      <c r="X736" s="112"/>
    </row>
    <row r="737" spans="1:24" ht="15" thickBot="1">
      <c r="A737" s="131" t="s">
        <v>25</v>
      </c>
      <c r="B737" s="131" t="s">
        <v>26</v>
      </c>
      <c r="C737" s="131" t="s">
        <v>27</v>
      </c>
      <c r="D737" s="131" t="s">
        <v>28</v>
      </c>
      <c r="E737" s="131" t="s">
        <v>29</v>
      </c>
      <c r="F737" s="129">
        <v>46064</v>
      </c>
      <c r="G737" s="131"/>
      <c r="H737" s="131" t="s">
        <v>3301</v>
      </c>
      <c r="I737" s="131" t="s">
        <v>3302</v>
      </c>
      <c r="J737" s="131" t="s">
        <v>3281</v>
      </c>
      <c r="K737" s="131" t="s">
        <v>48</v>
      </c>
      <c r="L737" s="131" t="s">
        <v>1958</v>
      </c>
      <c r="M737" s="131"/>
      <c r="N737" s="131" t="s">
        <v>499</v>
      </c>
      <c r="O737" s="131">
        <v>1</v>
      </c>
      <c r="P737" s="132"/>
      <c r="Q737" s="132"/>
      <c r="R737" s="34">
        <v>45</v>
      </c>
      <c r="S737" s="112"/>
      <c r="T737" s="58">
        <v>0</v>
      </c>
      <c r="U737" s="112"/>
      <c r="V737" s="112"/>
      <c r="W737" s="112"/>
      <c r="X737" s="112"/>
    </row>
    <row r="738" spans="1:24" ht="15" thickBot="1">
      <c r="A738" s="131" t="s">
        <v>25</v>
      </c>
      <c r="B738" s="131" t="s">
        <v>26</v>
      </c>
      <c r="C738" s="131" t="s">
        <v>27</v>
      </c>
      <c r="D738" s="131" t="s">
        <v>28</v>
      </c>
      <c r="E738" s="131" t="s">
        <v>29</v>
      </c>
      <c r="F738" s="129">
        <v>46064</v>
      </c>
      <c r="G738" s="131"/>
      <c r="H738" s="131" t="s">
        <v>3303</v>
      </c>
      <c r="I738" s="131" t="s">
        <v>3304</v>
      </c>
      <c r="J738" s="131" t="s">
        <v>172</v>
      </c>
      <c r="K738" s="131" t="s">
        <v>48</v>
      </c>
      <c r="L738" s="131" t="s">
        <v>3305</v>
      </c>
      <c r="M738" s="131"/>
      <c r="N738" s="131" t="s">
        <v>499</v>
      </c>
      <c r="O738" s="131">
        <v>1</v>
      </c>
      <c r="P738" s="132"/>
      <c r="Q738" s="132"/>
      <c r="R738" s="34">
        <v>45</v>
      </c>
      <c r="S738" s="112"/>
      <c r="T738" s="58">
        <v>0</v>
      </c>
      <c r="U738" s="112"/>
      <c r="V738" s="112"/>
      <c r="W738" s="112"/>
      <c r="X738" s="112"/>
    </row>
    <row r="739" spans="1:24" ht="15" thickBot="1">
      <c r="A739" s="131" t="s">
        <v>25</v>
      </c>
      <c r="B739" s="131" t="s">
        <v>26</v>
      </c>
      <c r="C739" s="131" t="s">
        <v>27</v>
      </c>
      <c r="D739" s="131" t="s">
        <v>28</v>
      </c>
      <c r="E739" s="131" t="s">
        <v>29</v>
      </c>
      <c r="F739" s="129">
        <v>46064</v>
      </c>
      <c r="G739" s="131"/>
      <c r="H739" s="131" t="s">
        <v>279</v>
      </c>
      <c r="I739" s="131" t="s">
        <v>280</v>
      </c>
      <c r="J739" s="131" t="s">
        <v>165</v>
      </c>
      <c r="K739" s="131" t="s">
        <v>33</v>
      </c>
      <c r="L739" s="131" t="s">
        <v>3306</v>
      </c>
      <c r="M739" s="131"/>
      <c r="N739" s="131" t="s">
        <v>499</v>
      </c>
      <c r="O739" s="131">
        <v>1</v>
      </c>
      <c r="P739" s="132"/>
      <c r="Q739" s="132"/>
      <c r="R739" s="34">
        <v>45</v>
      </c>
      <c r="S739" s="112"/>
      <c r="T739" s="58">
        <v>0</v>
      </c>
      <c r="U739" s="112"/>
      <c r="V739" s="112"/>
      <c r="W739" s="112"/>
      <c r="X739" s="112"/>
    </row>
    <row r="740" spans="1:24" ht="15" thickBot="1">
      <c r="A740" s="131" t="s">
        <v>25</v>
      </c>
      <c r="B740" s="131" t="s">
        <v>26</v>
      </c>
      <c r="C740" s="131" t="s">
        <v>27</v>
      </c>
      <c r="D740" s="131" t="s">
        <v>28</v>
      </c>
      <c r="E740" s="131" t="s">
        <v>29</v>
      </c>
      <c r="F740" s="129">
        <v>46064</v>
      </c>
      <c r="G740" s="131"/>
      <c r="H740" s="131" t="s">
        <v>3307</v>
      </c>
      <c r="I740" s="131" t="s">
        <v>3308</v>
      </c>
      <c r="J740" s="131" t="s">
        <v>3288</v>
      </c>
      <c r="K740" s="131" t="s">
        <v>33</v>
      </c>
      <c r="L740" s="131" t="s">
        <v>3309</v>
      </c>
      <c r="M740" s="131"/>
      <c r="N740" s="131" t="s">
        <v>499</v>
      </c>
      <c r="O740" s="131">
        <v>1</v>
      </c>
      <c r="P740" s="132"/>
      <c r="Q740" s="132"/>
      <c r="R740" s="34">
        <v>45</v>
      </c>
      <c r="S740" s="112"/>
      <c r="T740" s="58">
        <v>0</v>
      </c>
      <c r="U740" s="112"/>
      <c r="V740" s="112"/>
      <c r="W740" s="112"/>
      <c r="X740" s="112"/>
    </row>
    <row r="741" spans="1:24" ht="15" thickBot="1">
      <c r="A741" s="131" t="s">
        <v>25</v>
      </c>
      <c r="B741" s="131" t="s">
        <v>26</v>
      </c>
      <c r="C741" s="131" t="s">
        <v>27</v>
      </c>
      <c r="D741" s="131" t="s">
        <v>28</v>
      </c>
      <c r="E741" s="131" t="s">
        <v>29</v>
      </c>
      <c r="F741" s="129">
        <v>46064</v>
      </c>
      <c r="G741" s="131"/>
      <c r="H741" s="131" t="s">
        <v>3310</v>
      </c>
      <c r="I741" s="131" t="s">
        <v>1338</v>
      </c>
      <c r="J741" s="131" t="s">
        <v>165</v>
      </c>
      <c r="K741" s="131" t="s">
        <v>33</v>
      </c>
      <c r="L741" s="131" t="s">
        <v>1329</v>
      </c>
      <c r="M741" s="131"/>
      <c r="N741" s="131" t="s">
        <v>499</v>
      </c>
      <c r="O741" s="131">
        <v>1</v>
      </c>
      <c r="P741" s="132"/>
      <c r="Q741" s="132"/>
      <c r="R741" s="34">
        <v>45</v>
      </c>
      <c r="S741" s="112"/>
      <c r="T741" s="58">
        <v>0</v>
      </c>
      <c r="U741" s="112"/>
      <c r="V741" s="112"/>
      <c r="W741" s="112"/>
      <c r="X741" s="112"/>
    </row>
    <row r="742" spans="1:24" ht="15" thickBot="1">
      <c r="A742" s="131" t="s">
        <v>25</v>
      </c>
      <c r="B742" s="131" t="s">
        <v>26</v>
      </c>
      <c r="C742" s="131" t="s">
        <v>27</v>
      </c>
      <c r="D742" s="131" t="s">
        <v>28</v>
      </c>
      <c r="E742" s="131" t="s">
        <v>29</v>
      </c>
      <c r="F742" s="129">
        <v>46064</v>
      </c>
      <c r="G742" s="131"/>
      <c r="H742" s="131" t="s">
        <v>3311</v>
      </c>
      <c r="I742" s="131" t="s">
        <v>3312</v>
      </c>
      <c r="J742" s="131" t="s">
        <v>165</v>
      </c>
      <c r="K742" s="131" t="s">
        <v>33</v>
      </c>
      <c r="L742" s="131" t="s">
        <v>1329</v>
      </c>
      <c r="M742" s="131"/>
      <c r="N742" s="131" t="s">
        <v>499</v>
      </c>
      <c r="O742" s="131">
        <v>1</v>
      </c>
      <c r="P742" s="132"/>
      <c r="Q742" s="132"/>
      <c r="R742" s="34">
        <v>45</v>
      </c>
      <c r="S742" s="112"/>
      <c r="T742" s="58">
        <v>0</v>
      </c>
      <c r="U742" s="112"/>
      <c r="V742" s="112"/>
      <c r="W742" s="112"/>
      <c r="X742" s="112"/>
    </row>
    <row r="743" spans="1:24" ht="15" thickBot="1">
      <c r="A743" s="131" t="s">
        <v>25</v>
      </c>
      <c r="B743" s="131" t="s">
        <v>26</v>
      </c>
      <c r="C743" s="131" t="s">
        <v>27</v>
      </c>
      <c r="D743" s="131" t="s">
        <v>28</v>
      </c>
      <c r="E743" s="131" t="s">
        <v>29</v>
      </c>
      <c r="F743" s="129">
        <v>46064</v>
      </c>
      <c r="G743" s="131"/>
      <c r="H743" s="131" t="s">
        <v>1933</v>
      </c>
      <c r="I743" s="131" t="s">
        <v>1934</v>
      </c>
      <c r="J743" s="131" t="s">
        <v>3288</v>
      </c>
      <c r="K743" s="131" t="s">
        <v>33</v>
      </c>
      <c r="L743" s="131" t="s">
        <v>3313</v>
      </c>
      <c r="M743" s="131"/>
      <c r="N743" s="131" t="s">
        <v>499</v>
      </c>
      <c r="O743" s="131">
        <v>1</v>
      </c>
      <c r="P743" s="132"/>
      <c r="Q743" s="132"/>
      <c r="R743" s="34">
        <v>45</v>
      </c>
      <c r="S743" s="112"/>
      <c r="T743" s="58">
        <v>0</v>
      </c>
      <c r="U743" s="112"/>
      <c r="V743" s="112"/>
      <c r="W743" s="112"/>
      <c r="X743" s="112"/>
    </row>
    <row r="744" spans="1:24" ht="15" thickBot="1">
      <c r="A744" s="131" t="s">
        <v>25</v>
      </c>
      <c r="B744" s="131" t="s">
        <v>26</v>
      </c>
      <c r="C744" s="131" t="s">
        <v>27</v>
      </c>
      <c r="D744" s="131" t="s">
        <v>28</v>
      </c>
      <c r="E744" s="131" t="s">
        <v>29</v>
      </c>
      <c r="F744" s="129">
        <v>46064</v>
      </c>
      <c r="G744" s="131"/>
      <c r="H744" s="131" t="s">
        <v>3314</v>
      </c>
      <c r="I744" s="131" t="s">
        <v>3315</v>
      </c>
      <c r="J744" s="131" t="s">
        <v>172</v>
      </c>
      <c r="K744" s="131" t="s">
        <v>48</v>
      </c>
      <c r="L744" s="131" t="s">
        <v>3316</v>
      </c>
      <c r="M744" s="131"/>
      <c r="N744" s="131" t="s">
        <v>499</v>
      </c>
      <c r="O744" s="131">
        <v>1</v>
      </c>
      <c r="P744" s="132"/>
      <c r="Q744" s="132"/>
      <c r="R744" s="34">
        <v>45</v>
      </c>
      <c r="S744" s="112"/>
      <c r="T744" s="58">
        <v>0</v>
      </c>
      <c r="U744" s="112"/>
      <c r="V744" s="112"/>
      <c r="W744" s="112"/>
      <c r="X744" s="112"/>
    </row>
    <row r="745" spans="1:24" ht="15" thickBot="1">
      <c r="A745" s="131" t="s">
        <v>25</v>
      </c>
      <c r="B745" s="131" t="s">
        <v>26</v>
      </c>
      <c r="C745" s="131" t="s">
        <v>27</v>
      </c>
      <c r="D745" s="131" t="s">
        <v>28</v>
      </c>
      <c r="E745" s="131" t="s">
        <v>29</v>
      </c>
      <c r="F745" s="129">
        <v>46064</v>
      </c>
      <c r="G745" s="131"/>
      <c r="H745" s="131" t="s">
        <v>3317</v>
      </c>
      <c r="I745" s="131" t="s">
        <v>1116</v>
      </c>
      <c r="J745" s="131" t="s">
        <v>192</v>
      </c>
      <c r="K745" s="131" t="s">
        <v>33</v>
      </c>
      <c r="L745" s="131" t="s">
        <v>3316</v>
      </c>
      <c r="M745" s="131"/>
      <c r="N745" s="131" t="s">
        <v>499</v>
      </c>
      <c r="O745" s="131">
        <v>1</v>
      </c>
      <c r="P745" s="132"/>
      <c r="Q745" s="132"/>
      <c r="R745" s="34">
        <v>45</v>
      </c>
      <c r="S745" s="112"/>
      <c r="T745" s="58">
        <v>0</v>
      </c>
      <c r="U745" s="112"/>
      <c r="V745" s="112"/>
      <c r="W745" s="112"/>
      <c r="X745" s="112"/>
    </row>
    <row r="746" spans="1:24" ht="15" thickBot="1">
      <c r="A746" s="131" t="s">
        <v>25</v>
      </c>
      <c r="B746" s="131" t="s">
        <v>26</v>
      </c>
      <c r="C746" s="131" t="s">
        <v>27</v>
      </c>
      <c r="D746" s="131" t="s">
        <v>28</v>
      </c>
      <c r="E746" s="131" t="s">
        <v>29</v>
      </c>
      <c r="F746" s="129">
        <v>46064</v>
      </c>
      <c r="G746" s="131"/>
      <c r="H746" s="131" t="s">
        <v>3318</v>
      </c>
      <c r="I746" s="131" t="s">
        <v>3319</v>
      </c>
      <c r="J746" s="131" t="s">
        <v>165</v>
      </c>
      <c r="K746" s="131" t="s">
        <v>33</v>
      </c>
      <c r="L746" s="131" t="s">
        <v>3320</v>
      </c>
      <c r="M746" s="127" t="s">
        <v>3832</v>
      </c>
      <c r="N746" s="131" t="s">
        <v>499</v>
      </c>
      <c r="O746" s="131">
        <v>1</v>
      </c>
      <c r="P746" s="132"/>
      <c r="Q746" s="130" t="s">
        <v>3833</v>
      </c>
      <c r="R746" s="34">
        <v>45</v>
      </c>
      <c r="S746" s="112"/>
      <c r="T746" s="58">
        <v>0</v>
      </c>
      <c r="U746" s="112"/>
      <c r="V746" s="112"/>
      <c r="W746" s="112"/>
      <c r="X746" s="112"/>
    </row>
    <row r="747" spans="1:24" ht="15" thickBot="1">
      <c r="A747" s="131" t="s">
        <v>25</v>
      </c>
      <c r="B747" s="131" t="s">
        <v>26</v>
      </c>
      <c r="C747" s="131" t="s">
        <v>27</v>
      </c>
      <c r="D747" s="131" t="s">
        <v>28</v>
      </c>
      <c r="E747" s="131" t="s">
        <v>29</v>
      </c>
      <c r="F747" s="129">
        <v>46064</v>
      </c>
      <c r="G747" s="131"/>
      <c r="H747" s="131" t="s">
        <v>3321</v>
      </c>
      <c r="I747" s="131" t="s">
        <v>3322</v>
      </c>
      <c r="J747" s="131" t="s">
        <v>172</v>
      </c>
      <c r="K747" s="131" t="s">
        <v>48</v>
      </c>
      <c r="L747" s="131" t="s">
        <v>3323</v>
      </c>
      <c r="M747" s="131"/>
      <c r="N747" s="131" t="s">
        <v>499</v>
      </c>
      <c r="O747" s="131">
        <v>1</v>
      </c>
      <c r="P747" s="132"/>
      <c r="Q747" s="132"/>
      <c r="R747" s="34">
        <v>45</v>
      </c>
      <c r="S747" s="112"/>
      <c r="T747" s="58">
        <v>0</v>
      </c>
      <c r="U747" s="112"/>
      <c r="V747" s="112"/>
      <c r="W747" s="112"/>
      <c r="X747" s="112"/>
    </row>
    <row r="748" spans="1:24" ht="15" thickBot="1">
      <c r="A748" s="131" t="s">
        <v>25</v>
      </c>
      <c r="B748" s="131" t="s">
        <v>26</v>
      </c>
      <c r="C748" s="131" t="s">
        <v>27</v>
      </c>
      <c r="D748" s="131" t="s">
        <v>28</v>
      </c>
      <c r="E748" s="131" t="s">
        <v>29</v>
      </c>
      <c r="F748" s="129">
        <v>46064</v>
      </c>
      <c r="G748" s="131"/>
      <c r="H748" s="131" t="s">
        <v>1986</v>
      </c>
      <c r="I748" s="131" t="s">
        <v>1987</v>
      </c>
      <c r="J748" s="131" t="s">
        <v>192</v>
      </c>
      <c r="K748" s="131" t="s">
        <v>33</v>
      </c>
      <c r="L748" s="131" t="s">
        <v>3324</v>
      </c>
      <c r="M748" s="131"/>
      <c r="N748" s="131" t="s">
        <v>499</v>
      </c>
      <c r="O748" s="131">
        <v>1</v>
      </c>
      <c r="P748" s="132"/>
      <c r="Q748" s="132"/>
      <c r="R748" s="34">
        <v>45</v>
      </c>
      <c r="S748" s="112"/>
      <c r="T748" s="58">
        <v>0</v>
      </c>
      <c r="U748" s="112"/>
      <c r="V748" s="112"/>
      <c r="W748" s="112"/>
      <c r="X748" s="112"/>
    </row>
    <row r="749" spans="1:24" ht="15" thickBot="1">
      <c r="A749" s="131" t="s">
        <v>25</v>
      </c>
      <c r="B749" s="131" t="s">
        <v>26</v>
      </c>
      <c r="C749" s="131" t="s">
        <v>27</v>
      </c>
      <c r="D749" s="131" t="s">
        <v>28</v>
      </c>
      <c r="E749" s="131" t="s">
        <v>29</v>
      </c>
      <c r="F749" s="129">
        <v>46064</v>
      </c>
      <c r="G749" s="131"/>
      <c r="H749" s="131" t="s">
        <v>3325</v>
      </c>
      <c r="I749" s="131" t="s">
        <v>3326</v>
      </c>
      <c r="J749" s="131" t="s">
        <v>165</v>
      </c>
      <c r="K749" s="131" t="s">
        <v>33</v>
      </c>
      <c r="L749" s="131" t="s">
        <v>3327</v>
      </c>
      <c r="M749" s="127" t="s">
        <v>457</v>
      </c>
      <c r="N749" s="131" t="s">
        <v>499</v>
      </c>
      <c r="O749" s="131">
        <v>1</v>
      </c>
      <c r="P749" s="132"/>
      <c r="Q749" s="130" t="s">
        <v>168</v>
      </c>
      <c r="R749" s="34">
        <v>45</v>
      </c>
      <c r="S749" s="112"/>
      <c r="T749" s="58">
        <v>0</v>
      </c>
      <c r="U749" s="112"/>
      <c r="V749" s="112"/>
      <c r="W749" s="112"/>
      <c r="X749" s="112"/>
    </row>
    <row r="750" spans="1:24" ht="15" thickBot="1">
      <c r="A750" s="131" t="s">
        <v>25</v>
      </c>
      <c r="B750" s="131" t="s">
        <v>26</v>
      </c>
      <c r="C750" s="131" t="s">
        <v>27</v>
      </c>
      <c r="D750" s="131" t="s">
        <v>28</v>
      </c>
      <c r="E750" s="131" t="s">
        <v>29</v>
      </c>
      <c r="F750" s="129">
        <v>46064</v>
      </c>
      <c r="G750" s="131"/>
      <c r="H750" s="131" t="s">
        <v>3328</v>
      </c>
      <c r="I750" s="131" t="s">
        <v>3329</v>
      </c>
      <c r="J750" s="131" t="s">
        <v>192</v>
      </c>
      <c r="K750" s="131" t="s">
        <v>33</v>
      </c>
      <c r="L750" s="131" t="s">
        <v>3330</v>
      </c>
      <c r="M750" s="132" t="s">
        <v>3331</v>
      </c>
      <c r="N750" s="4" t="s">
        <v>36</v>
      </c>
      <c r="O750" s="131">
        <v>1</v>
      </c>
      <c r="P750" s="132"/>
      <c r="Q750" s="132" t="s">
        <v>3331</v>
      </c>
      <c r="R750" s="34">
        <v>45</v>
      </c>
      <c r="S750" s="58">
        <v>483.75</v>
      </c>
      <c r="T750" s="58">
        <f>SUM(R750:S750)</f>
        <v>528.75</v>
      </c>
      <c r="U750" s="36">
        <v>46122</v>
      </c>
      <c r="V750" s="112"/>
      <c r="W750" s="112"/>
      <c r="X750" s="112"/>
    </row>
    <row r="751" spans="1:24" ht="15" thickBot="1">
      <c r="A751" s="131" t="s">
        <v>25</v>
      </c>
      <c r="B751" s="131" t="s">
        <v>26</v>
      </c>
      <c r="C751" s="131" t="s">
        <v>27</v>
      </c>
      <c r="D751" s="131" t="s">
        <v>28</v>
      </c>
      <c r="E751" s="131" t="s">
        <v>29</v>
      </c>
      <c r="F751" s="129">
        <v>46064</v>
      </c>
      <c r="G751" s="131"/>
      <c r="H751" s="131" t="s">
        <v>3332</v>
      </c>
      <c r="I751" s="131" t="s">
        <v>3333</v>
      </c>
      <c r="J751" s="131" t="s">
        <v>192</v>
      </c>
      <c r="K751" s="131" t="s">
        <v>33</v>
      </c>
      <c r="L751" s="131" t="s">
        <v>3334</v>
      </c>
      <c r="M751" s="131"/>
      <c r="N751" s="131" t="s">
        <v>499</v>
      </c>
      <c r="O751" s="131">
        <v>1</v>
      </c>
      <c r="P751" s="132"/>
      <c r="Q751" s="132"/>
      <c r="R751" s="34">
        <v>45</v>
      </c>
      <c r="S751" s="112"/>
      <c r="T751" s="58">
        <v>0</v>
      </c>
      <c r="U751" s="112"/>
      <c r="V751" s="112"/>
      <c r="W751" s="112"/>
      <c r="X751" s="112"/>
    </row>
    <row r="752" spans="1:24" ht="15" thickBot="1">
      <c r="A752" s="131" t="s">
        <v>25</v>
      </c>
      <c r="B752" s="131" t="s">
        <v>26</v>
      </c>
      <c r="C752" s="131" t="s">
        <v>27</v>
      </c>
      <c r="D752" s="131" t="s">
        <v>28</v>
      </c>
      <c r="E752" s="131" t="s">
        <v>29</v>
      </c>
      <c r="F752" s="129">
        <v>46064</v>
      </c>
      <c r="G752" s="131"/>
      <c r="H752" s="131" t="s">
        <v>1143</v>
      </c>
      <c r="I752" s="131" t="s">
        <v>1144</v>
      </c>
      <c r="J752" s="131" t="s">
        <v>165</v>
      </c>
      <c r="K752" s="131" t="s">
        <v>33</v>
      </c>
      <c r="L752" s="131" t="s">
        <v>3335</v>
      </c>
      <c r="M752" s="131"/>
      <c r="N752" s="131" t="s">
        <v>499</v>
      </c>
      <c r="O752" s="131">
        <v>1</v>
      </c>
      <c r="P752" s="132"/>
      <c r="Q752" s="132"/>
      <c r="R752" s="34">
        <v>45</v>
      </c>
      <c r="S752" s="112"/>
      <c r="T752" s="58">
        <v>0</v>
      </c>
      <c r="U752" s="112"/>
      <c r="V752" s="112"/>
      <c r="W752" s="112"/>
      <c r="X752" s="112"/>
    </row>
    <row r="753" spans="1:24" ht="15" thickBot="1">
      <c r="A753" s="131" t="s">
        <v>25</v>
      </c>
      <c r="B753" s="131" t="s">
        <v>26</v>
      </c>
      <c r="C753" s="131" t="s">
        <v>27</v>
      </c>
      <c r="D753" s="131" t="s">
        <v>28</v>
      </c>
      <c r="E753" s="131" t="s">
        <v>29</v>
      </c>
      <c r="F753" s="129">
        <v>46064</v>
      </c>
      <c r="G753" s="131"/>
      <c r="H753" s="131" t="s">
        <v>703</v>
      </c>
      <c r="I753" s="131" t="s">
        <v>704</v>
      </c>
      <c r="J753" s="131" t="s">
        <v>172</v>
      </c>
      <c r="K753" s="131" t="s">
        <v>48</v>
      </c>
      <c r="L753" s="131" t="s">
        <v>1958</v>
      </c>
      <c r="M753" s="131"/>
      <c r="N753" s="131" t="s">
        <v>499</v>
      </c>
      <c r="O753" s="131">
        <v>1</v>
      </c>
      <c r="P753" s="132" t="s">
        <v>3689</v>
      </c>
      <c r="Q753" s="132"/>
      <c r="R753" s="34">
        <v>45</v>
      </c>
      <c r="S753" s="112"/>
      <c r="T753" s="58">
        <v>0</v>
      </c>
      <c r="U753" s="112"/>
      <c r="V753" s="112"/>
      <c r="W753" s="112"/>
      <c r="X753" s="112"/>
    </row>
    <row r="754" spans="1:24" ht="15" thickBot="1">
      <c r="A754" s="131" t="s">
        <v>25</v>
      </c>
      <c r="B754" s="131" t="s">
        <v>26</v>
      </c>
      <c r="C754" s="131" t="s">
        <v>27</v>
      </c>
      <c r="D754" s="131" t="s">
        <v>28</v>
      </c>
      <c r="E754" s="131" t="s">
        <v>29</v>
      </c>
      <c r="F754" s="129">
        <v>46064</v>
      </c>
      <c r="G754" s="131"/>
      <c r="H754" s="131" t="s">
        <v>3336</v>
      </c>
      <c r="I754" s="131" t="s">
        <v>3337</v>
      </c>
      <c r="J754" s="131" t="s">
        <v>165</v>
      </c>
      <c r="K754" s="131" t="s">
        <v>33</v>
      </c>
      <c r="L754" s="131" t="s">
        <v>3338</v>
      </c>
      <c r="M754" s="131"/>
      <c r="N754" s="131" t="s">
        <v>499</v>
      </c>
      <c r="O754" s="131">
        <v>1</v>
      </c>
      <c r="P754" s="132"/>
      <c r="Q754" s="132"/>
      <c r="R754" s="34">
        <v>45</v>
      </c>
      <c r="S754" s="112"/>
      <c r="T754" s="58">
        <v>0</v>
      </c>
      <c r="U754" s="112"/>
      <c r="V754" s="112"/>
      <c r="W754" s="112"/>
      <c r="X754" s="112"/>
    </row>
    <row r="755" spans="1:24" ht="15" thickBot="1">
      <c r="A755" s="131" t="s">
        <v>25</v>
      </c>
      <c r="B755" s="131" t="s">
        <v>26</v>
      </c>
      <c r="C755" s="131" t="s">
        <v>27</v>
      </c>
      <c r="D755" s="131" t="s">
        <v>28</v>
      </c>
      <c r="E755" s="131" t="s">
        <v>29</v>
      </c>
      <c r="F755" s="129">
        <v>46064</v>
      </c>
      <c r="G755" s="131"/>
      <c r="H755" s="131" t="s">
        <v>3339</v>
      </c>
      <c r="I755" s="131" t="s">
        <v>3340</v>
      </c>
      <c r="J755" s="131" t="s">
        <v>192</v>
      </c>
      <c r="K755" s="131" t="s">
        <v>33</v>
      </c>
      <c r="L755" s="131" t="s">
        <v>3341</v>
      </c>
      <c r="M755" s="131"/>
      <c r="N755" s="131" t="s">
        <v>499</v>
      </c>
      <c r="O755" s="131">
        <v>1</v>
      </c>
      <c r="P755" s="132"/>
      <c r="Q755" s="132"/>
      <c r="R755" s="34">
        <v>45</v>
      </c>
      <c r="S755" s="112"/>
      <c r="T755" s="58">
        <v>0</v>
      </c>
      <c r="U755" s="112"/>
      <c r="V755" s="112"/>
      <c r="W755" s="112"/>
      <c r="X755" s="112"/>
    </row>
    <row r="756" spans="1:24" ht="15" thickBot="1">
      <c r="A756" s="131" t="s">
        <v>25</v>
      </c>
      <c r="B756" s="131" t="s">
        <v>26</v>
      </c>
      <c r="C756" s="131" t="s">
        <v>27</v>
      </c>
      <c r="D756" s="131" t="s">
        <v>28</v>
      </c>
      <c r="E756" s="131" t="s">
        <v>29</v>
      </c>
      <c r="F756" s="129">
        <v>46064</v>
      </c>
      <c r="G756" s="131"/>
      <c r="H756" s="131" t="s">
        <v>3342</v>
      </c>
      <c r="I756" s="131" t="s">
        <v>3343</v>
      </c>
      <c r="J756" s="131" t="s">
        <v>165</v>
      </c>
      <c r="K756" s="131" t="s">
        <v>33</v>
      </c>
      <c r="L756" s="131" t="s">
        <v>3344</v>
      </c>
      <c r="M756" s="131"/>
      <c r="N756" s="131" t="s">
        <v>499</v>
      </c>
      <c r="O756" s="131">
        <v>1</v>
      </c>
      <c r="P756" s="132"/>
      <c r="Q756" s="132"/>
      <c r="R756" s="34">
        <v>45</v>
      </c>
      <c r="S756" s="112"/>
      <c r="T756" s="58">
        <v>0</v>
      </c>
      <c r="U756" s="112"/>
      <c r="V756" s="112"/>
      <c r="W756" s="112"/>
      <c r="X756" s="112"/>
    </row>
    <row r="757" spans="1:24" ht="15" thickBot="1">
      <c r="A757" s="131" t="s">
        <v>25</v>
      </c>
      <c r="B757" s="131" t="s">
        <v>26</v>
      </c>
      <c r="C757" s="131" t="s">
        <v>27</v>
      </c>
      <c r="D757" s="131" t="s">
        <v>28</v>
      </c>
      <c r="E757" s="131" t="s">
        <v>29</v>
      </c>
      <c r="F757" s="129">
        <v>46064</v>
      </c>
      <c r="G757" s="131"/>
      <c r="H757" s="131" t="s">
        <v>1372</v>
      </c>
      <c r="I757" s="131" t="s">
        <v>1373</v>
      </c>
      <c r="J757" s="131" t="s">
        <v>3288</v>
      </c>
      <c r="K757" s="131" t="s">
        <v>33</v>
      </c>
      <c r="L757" s="131" t="s">
        <v>3345</v>
      </c>
      <c r="M757" s="131"/>
      <c r="N757" s="131" t="s">
        <v>499</v>
      </c>
      <c r="O757" s="131">
        <v>1</v>
      </c>
      <c r="P757" s="132"/>
      <c r="Q757" s="132"/>
      <c r="R757" s="34">
        <v>45</v>
      </c>
      <c r="S757" s="112"/>
      <c r="T757" s="58">
        <v>0</v>
      </c>
      <c r="U757" s="112"/>
      <c r="V757" s="112"/>
      <c r="W757" s="112"/>
      <c r="X757" s="112"/>
    </row>
    <row r="758" spans="1:24" ht="15" thickBot="1">
      <c r="A758" s="131" t="s">
        <v>25</v>
      </c>
      <c r="B758" s="131" t="s">
        <v>26</v>
      </c>
      <c r="C758" s="131" t="s">
        <v>27</v>
      </c>
      <c r="D758" s="131" t="s">
        <v>28</v>
      </c>
      <c r="E758" s="131" t="s">
        <v>29</v>
      </c>
      <c r="F758" s="129">
        <v>46064</v>
      </c>
      <c r="G758" s="131"/>
      <c r="H758" s="131" t="s">
        <v>3346</v>
      </c>
      <c r="I758" s="131" t="s">
        <v>3347</v>
      </c>
      <c r="J758" s="127" t="s">
        <v>172</v>
      </c>
      <c r="K758" s="127" t="s">
        <v>48</v>
      </c>
      <c r="L758" s="131" t="s">
        <v>3348</v>
      </c>
      <c r="M758" s="127" t="s">
        <v>457</v>
      </c>
      <c r="N758" s="131" t="s">
        <v>499</v>
      </c>
      <c r="O758" s="131">
        <v>1</v>
      </c>
      <c r="P758" s="132"/>
      <c r="Q758" s="130" t="s">
        <v>4005</v>
      </c>
      <c r="R758" s="34">
        <v>45</v>
      </c>
      <c r="S758" s="112"/>
      <c r="T758" s="58">
        <v>0</v>
      </c>
      <c r="U758" s="112"/>
      <c r="V758" s="112"/>
      <c r="W758" s="112"/>
      <c r="X758" s="112"/>
    </row>
    <row r="759" spans="1:24" ht="19.5" customHeight="1" thickBot="1">
      <c r="A759" s="131" t="s">
        <v>25</v>
      </c>
      <c r="B759" s="131" t="s">
        <v>26</v>
      </c>
      <c r="C759" s="131" t="s">
        <v>27</v>
      </c>
      <c r="D759" s="131" t="s">
        <v>28</v>
      </c>
      <c r="E759" s="131" t="s">
        <v>29</v>
      </c>
      <c r="F759" s="129">
        <v>46064</v>
      </c>
      <c r="G759" s="131"/>
      <c r="H759" s="131" t="s">
        <v>1457</v>
      </c>
      <c r="I759" s="131" t="s">
        <v>1458</v>
      </c>
      <c r="J759" s="131" t="s">
        <v>165</v>
      </c>
      <c r="K759" s="131" t="s">
        <v>33</v>
      </c>
      <c r="L759" s="131" t="s">
        <v>3683</v>
      </c>
      <c r="M759" s="127" t="s">
        <v>3739</v>
      </c>
      <c r="N759" s="4" t="s">
        <v>36</v>
      </c>
      <c r="O759" s="131">
        <v>1</v>
      </c>
      <c r="P759" s="132" t="s">
        <v>3349</v>
      </c>
      <c r="Q759" s="130" t="s">
        <v>3739</v>
      </c>
      <c r="R759" s="34">
        <v>45</v>
      </c>
      <c r="S759" s="58">
        <v>115</v>
      </c>
      <c r="T759" s="58">
        <f>SUM(R759:S759)</f>
        <v>160</v>
      </c>
      <c r="U759" s="36">
        <v>46122</v>
      </c>
      <c r="V759" s="112"/>
      <c r="W759" s="112"/>
      <c r="X759" s="112"/>
    </row>
    <row r="760" spans="1:24" ht="15" thickBot="1">
      <c r="A760" s="131" t="s">
        <v>25</v>
      </c>
      <c r="B760" s="131" t="s">
        <v>26</v>
      </c>
      <c r="C760" s="131" t="s">
        <v>27</v>
      </c>
      <c r="D760" s="131" t="s">
        <v>28</v>
      </c>
      <c r="E760" s="131" t="s">
        <v>29</v>
      </c>
      <c r="F760" s="129">
        <v>46064</v>
      </c>
      <c r="G760" s="131"/>
      <c r="H760" s="131" t="s">
        <v>3350</v>
      </c>
      <c r="I760" s="131" t="s">
        <v>1490</v>
      </c>
      <c r="J760" s="131" t="s">
        <v>165</v>
      </c>
      <c r="K760" s="131" t="s">
        <v>33</v>
      </c>
      <c r="L760" s="131" t="s">
        <v>3351</v>
      </c>
      <c r="M760" s="131"/>
      <c r="N760" s="131" t="s">
        <v>499</v>
      </c>
      <c r="O760" s="131">
        <v>1</v>
      </c>
      <c r="P760" s="132"/>
      <c r="Q760" s="132"/>
      <c r="R760" s="34">
        <v>45</v>
      </c>
      <c r="S760" s="112"/>
      <c r="T760" s="58">
        <v>0</v>
      </c>
      <c r="U760" s="112"/>
      <c r="V760" s="112"/>
      <c r="W760" s="112"/>
      <c r="X760" s="112"/>
    </row>
    <row r="761" spans="1:24" ht="15" thickBot="1">
      <c r="A761" s="131" t="s">
        <v>25</v>
      </c>
      <c r="B761" s="131" t="s">
        <v>26</v>
      </c>
      <c r="C761" s="131" t="s">
        <v>27</v>
      </c>
      <c r="D761" s="131" t="s">
        <v>28</v>
      </c>
      <c r="E761" s="131" t="s">
        <v>29</v>
      </c>
      <c r="F761" s="129">
        <v>46064</v>
      </c>
      <c r="G761" s="131"/>
      <c r="H761" s="131" t="s">
        <v>738</v>
      </c>
      <c r="I761" s="131" t="s">
        <v>739</v>
      </c>
      <c r="J761" s="131" t="s">
        <v>165</v>
      </c>
      <c r="K761" s="131" t="s">
        <v>33</v>
      </c>
      <c r="L761" s="131" t="s">
        <v>3351</v>
      </c>
      <c r="M761" s="131"/>
      <c r="N761" s="131" t="s">
        <v>499</v>
      </c>
      <c r="O761" s="131">
        <v>1</v>
      </c>
      <c r="P761" s="132"/>
      <c r="Q761" s="132"/>
      <c r="R761" s="34">
        <v>45</v>
      </c>
      <c r="S761" s="112"/>
      <c r="T761" s="58">
        <v>0</v>
      </c>
      <c r="U761" s="112"/>
      <c r="V761" s="112"/>
      <c r="W761" s="112"/>
      <c r="X761" s="112"/>
    </row>
    <row r="762" spans="1:24" ht="15" thickBot="1">
      <c r="A762" s="131" t="s">
        <v>25</v>
      </c>
      <c r="B762" s="131" t="s">
        <v>26</v>
      </c>
      <c r="C762" s="131" t="s">
        <v>27</v>
      </c>
      <c r="D762" s="131" t="s">
        <v>28</v>
      </c>
      <c r="E762" s="131" t="s">
        <v>29</v>
      </c>
      <c r="F762" s="129">
        <v>46064</v>
      </c>
      <c r="G762" s="131"/>
      <c r="H762" s="131" t="s">
        <v>914</v>
      </c>
      <c r="I762" s="131" t="s">
        <v>472</v>
      </c>
      <c r="J762" s="131" t="s">
        <v>165</v>
      </c>
      <c r="K762" s="131" t="s">
        <v>33</v>
      </c>
      <c r="L762" s="131" t="s">
        <v>3352</v>
      </c>
      <c r="M762" s="127" t="s">
        <v>4012</v>
      </c>
      <c r="N762" s="131" t="s">
        <v>499</v>
      </c>
      <c r="O762" s="131">
        <v>1</v>
      </c>
      <c r="P762" s="130" t="s">
        <v>4013</v>
      </c>
      <c r="Q762" s="130" t="s">
        <v>4014</v>
      </c>
      <c r="R762" s="34">
        <v>45</v>
      </c>
      <c r="S762" s="112"/>
      <c r="T762" s="58">
        <v>0</v>
      </c>
      <c r="U762" s="112"/>
      <c r="V762" s="112"/>
      <c r="W762" s="112"/>
      <c r="X762" s="112"/>
    </row>
    <row r="763" spans="1:24" ht="15" thickBot="1">
      <c r="A763" s="131" t="s">
        <v>25</v>
      </c>
      <c r="B763" s="131" t="s">
        <v>26</v>
      </c>
      <c r="C763" s="131" t="s">
        <v>27</v>
      </c>
      <c r="D763" s="131" t="s">
        <v>28</v>
      </c>
      <c r="E763" s="131" t="s">
        <v>29</v>
      </c>
      <c r="F763" s="129">
        <v>46064</v>
      </c>
      <c r="G763" s="131"/>
      <c r="H763" s="131" t="s">
        <v>3353</v>
      </c>
      <c r="I763" s="131" t="s">
        <v>3354</v>
      </c>
      <c r="J763" s="131" t="s">
        <v>192</v>
      </c>
      <c r="K763" s="131" t="s">
        <v>33</v>
      </c>
      <c r="L763" s="131" t="s">
        <v>1972</v>
      </c>
      <c r="M763" s="131"/>
      <c r="N763" s="131" t="s">
        <v>499</v>
      </c>
      <c r="O763" s="131">
        <v>1</v>
      </c>
      <c r="P763" s="132"/>
      <c r="Q763" s="132"/>
      <c r="R763" s="34">
        <v>45</v>
      </c>
      <c r="S763" s="112"/>
      <c r="T763" s="58">
        <v>0</v>
      </c>
      <c r="U763" s="112"/>
      <c r="V763" s="112"/>
      <c r="W763" s="112"/>
      <c r="X763" s="112"/>
    </row>
    <row r="764" spans="1:24" ht="15" thickBot="1">
      <c r="A764" s="131" t="s">
        <v>25</v>
      </c>
      <c r="B764" s="131" t="s">
        <v>26</v>
      </c>
      <c r="C764" s="131" t="s">
        <v>27</v>
      </c>
      <c r="D764" s="131" t="s">
        <v>28</v>
      </c>
      <c r="E764" s="131" t="s">
        <v>29</v>
      </c>
      <c r="F764" s="129">
        <v>46064</v>
      </c>
      <c r="G764" s="131"/>
      <c r="H764" s="131" t="s">
        <v>3355</v>
      </c>
      <c r="I764" s="131" t="s">
        <v>3356</v>
      </c>
      <c r="J764" s="131" t="s">
        <v>172</v>
      </c>
      <c r="K764" s="131" t="s">
        <v>48</v>
      </c>
      <c r="L764" s="131" t="s">
        <v>3357</v>
      </c>
      <c r="M764" s="131"/>
      <c r="N764" s="131" t="s">
        <v>499</v>
      </c>
      <c r="O764" s="131">
        <v>1</v>
      </c>
      <c r="P764" s="132"/>
      <c r="Q764" s="132"/>
      <c r="R764" s="34">
        <v>45</v>
      </c>
      <c r="S764" s="112"/>
      <c r="T764" s="58">
        <v>0</v>
      </c>
      <c r="U764" s="112"/>
      <c r="V764" s="112"/>
      <c r="W764" s="112"/>
      <c r="X764" s="112"/>
    </row>
    <row r="765" spans="1:24" ht="15" thickBot="1">
      <c r="A765" s="4" t="s">
        <v>154</v>
      </c>
      <c r="B765" s="4" t="s">
        <v>155</v>
      </c>
      <c r="C765" s="4">
        <v>616866669</v>
      </c>
      <c r="D765" s="4" t="s">
        <v>156</v>
      </c>
      <c r="E765" s="4" t="s">
        <v>599</v>
      </c>
      <c r="F765" s="129" t="s">
        <v>3366</v>
      </c>
      <c r="G765" s="131"/>
      <c r="H765" s="131" t="s">
        <v>1230</v>
      </c>
      <c r="I765" s="131" t="s">
        <v>1231</v>
      </c>
      <c r="J765" s="131" t="s">
        <v>165</v>
      </c>
      <c r="K765" s="131" t="s">
        <v>33</v>
      </c>
      <c r="L765" s="131" t="s">
        <v>1232</v>
      </c>
      <c r="M765" s="127" t="s">
        <v>457</v>
      </c>
      <c r="N765" s="131" t="s">
        <v>499</v>
      </c>
      <c r="O765" s="131">
        <v>1</v>
      </c>
      <c r="P765" s="131"/>
      <c r="Q765" s="127" t="s">
        <v>457</v>
      </c>
      <c r="R765" s="34">
        <v>45</v>
      </c>
      <c r="S765" s="131"/>
      <c r="T765" s="58">
        <v>0</v>
      </c>
      <c r="U765" s="131"/>
      <c r="V765" s="131"/>
      <c r="W765" s="131"/>
      <c r="X765" s="112"/>
    </row>
    <row r="766" spans="1:24" ht="15" thickBot="1">
      <c r="A766" s="4" t="s">
        <v>154</v>
      </c>
      <c r="B766" s="4" t="s">
        <v>155</v>
      </c>
      <c r="C766" s="4">
        <v>616866669</v>
      </c>
      <c r="D766" s="4" t="s">
        <v>156</v>
      </c>
      <c r="E766" s="4" t="s">
        <v>599</v>
      </c>
      <c r="F766" s="129" t="s">
        <v>3366</v>
      </c>
      <c r="G766" s="131"/>
      <c r="H766" s="131" t="s">
        <v>1483</v>
      </c>
      <c r="I766" s="131" t="s">
        <v>630</v>
      </c>
      <c r="J766" s="131" t="s">
        <v>3387</v>
      </c>
      <c r="K766" s="131" t="s">
        <v>48</v>
      </c>
      <c r="L766" s="131" t="s">
        <v>1484</v>
      </c>
      <c r="M766" s="131"/>
      <c r="N766" s="131" t="s">
        <v>499</v>
      </c>
      <c r="O766" s="131">
        <v>1</v>
      </c>
      <c r="P766" s="131"/>
      <c r="Q766" s="131"/>
      <c r="R766" s="34">
        <v>45</v>
      </c>
      <c r="S766" s="131"/>
      <c r="T766" s="58">
        <v>0</v>
      </c>
      <c r="U766" s="131"/>
      <c r="V766" s="131"/>
      <c r="W766" s="131"/>
      <c r="X766" s="112"/>
    </row>
    <row r="767" spans="1:24" ht="15" thickBot="1">
      <c r="A767" s="4" t="s">
        <v>154</v>
      </c>
      <c r="B767" s="4" t="s">
        <v>155</v>
      </c>
      <c r="C767" s="4">
        <v>616866669</v>
      </c>
      <c r="D767" s="4" t="s">
        <v>156</v>
      </c>
      <c r="E767" s="4" t="s">
        <v>599</v>
      </c>
      <c r="F767" s="129" t="s">
        <v>3366</v>
      </c>
      <c r="G767" s="131"/>
      <c r="H767" s="131" t="s">
        <v>3399</v>
      </c>
      <c r="I767" s="131" t="s">
        <v>1027</v>
      </c>
      <c r="J767" s="131" t="s">
        <v>192</v>
      </c>
      <c r="K767" s="131" t="s">
        <v>33</v>
      </c>
      <c r="L767" s="131" t="s">
        <v>3389</v>
      </c>
      <c r="M767" s="131"/>
      <c r="N767" s="131" t="s">
        <v>499</v>
      </c>
      <c r="O767" s="131">
        <v>1</v>
      </c>
      <c r="P767" s="131"/>
      <c r="Q767" s="131"/>
      <c r="R767" s="34">
        <v>45</v>
      </c>
      <c r="S767" s="131"/>
      <c r="T767" s="58">
        <v>0</v>
      </c>
      <c r="U767" s="131"/>
      <c r="V767" s="131"/>
      <c r="W767" s="131"/>
      <c r="X767" s="112"/>
    </row>
    <row r="768" spans="1:24" ht="15" thickBot="1">
      <c r="A768" s="4" t="s">
        <v>154</v>
      </c>
      <c r="B768" s="4" t="s">
        <v>155</v>
      </c>
      <c r="C768" s="4">
        <v>616866669</v>
      </c>
      <c r="D768" s="4" t="s">
        <v>156</v>
      </c>
      <c r="E768" s="4" t="s">
        <v>599</v>
      </c>
      <c r="F768" s="129" t="s">
        <v>3366</v>
      </c>
      <c r="G768" s="131"/>
      <c r="H768" s="131" t="s">
        <v>3400</v>
      </c>
      <c r="I768" s="131" t="s">
        <v>300</v>
      </c>
      <c r="J768" s="131" t="s">
        <v>165</v>
      </c>
      <c r="K768" s="131" t="s">
        <v>33</v>
      </c>
      <c r="L768" s="131" t="s">
        <v>631</v>
      </c>
      <c r="M768" s="127" t="s">
        <v>66</v>
      </c>
      <c r="N768" s="131" t="s">
        <v>499</v>
      </c>
      <c r="O768" s="131">
        <v>1</v>
      </c>
      <c r="P768" s="127" t="s">
        <v>4002</v>
      </c>
      <c r="Q768" s="127" t="s">
        <v>4003</v>
      </c>
      <c r="R768" s="34">
        <v>45</v>
      </c>
      <c r="S768" s="131"/>
      <c r="T768" s="58">
        <v>0</v>
      </c>
      <c r="U768" s="131"/>
      <c r="V768" s="131"/>
      <c r="W768" s="131"/>
      <c r="X768" s="112"/>
    </row>
    <row r="769" spans="1:24" ht="15" thickBot="1">
      <c r="A769" s="4" t="s">
        <v>154</v>
      </c>
      <c r="B769" s="4" t="s">
        <v>155</v>
      </c>
      <c r="C769" s="4">
        <v>616866669</v>
      </c>
      <c r="D769" s="4" t="s">
        <v>156</v>
      </c>
      <c r="E769" s="4" t="s">
        <v>599</v>
      </c>
      <c r="F769" s="129" t="s">
        <v>3366</v>
      </c>
      <c r="G769" s="131"/>
      <c r="H769" s="131" t="s">
        <v>990</v>
      </c>
      <c r="I769" s="131" t="s">
        <v>991</v>
      </c>
      <c r="J769" s="131" t="s">
        <v>192</v>
      </c>
      <c r="K769" s="131" t="s">
        <v>33</v>
      </c>
      <c r="L769" s="131" t="s">
        <v>1246</v>
      </c>
      <c r="M769" s="131"/>
      <c r="N769" s="131" t="s">
        <v>499</v>
      </c>
      <c r="O769" s="131">
        <v>1</v>
      </c>
      <c r="P769" s="131"/>
      <c r="Q769" s="131"/>
      <c r="R769" s="34">
        <v>45</v>
      </c>
      <c r="S769" s="131"/>
      <c r="T769" s="58">
        <v>0</v>
      </c>
      <c r="U769" s="131"/>
      <c r="V769" s="131"/>
      <c r="W769" s="131"/>
      <c r="X769" s="112"/>
    </row>
    <row r="770" spans="1:24" ht="15" thickBot="1">
      <c r="A770" s="4" t="s">
        <v>154</v>
      </c>
      <c r="B770" s="4" t="s">
        <v>155</v>
      </c>
      <c r="C770" s="4">
        <v>616866669</v>
      </c>
      <c r="D770" s="4" t="s">
        <v>156</v>
      </c>
      <c r="E770" s="4" t="s">
        <v>599</v>
      </c>
      <c r="F770" s="129" t="s">
        <v>3366</v>
      </c>
      <c r="G770" s="131"/>
      <c r="H770" s="131" t="s">
        <v>3401</v>
      </c>
      <c r="I770" s="131" t="s">
        <v>622</v>
      </c>
      <c r="J770" s="131" t="s">
        <v>165</v>
      </c>
      <c r="K770" s="131" t="s">
        <v>33</v>
      </c>
      <c r="L770" s="131" t="s">
        <v>623</v>
      </c>
      <c r="M770" s="127" t="s">
        <v>139</v>
      </c>
      <c r="N770" s="131" t="s">
        <v>499</v>
      </c>
      <c r="O770" s="131">
        <v>1</v>
      </c>
      <c r="P770" s="131"/>
      <c r="Q770" s="131" t="s">
        <v>139</v>
      </c>
      <c r="R770" s="34">
        <v>45</v>
      </c>
      <c r="S770" s="131"/>
      <c r="T770" s="58">
        <v>0</v>
      </c>
      <c r="U770" s="131"/>
      <c r="V770" s="131"/>
      <c r="W770" s="131"/>
      <c r="X770" s="112"/>
    </row>
    <row r="771" spans="1:24" ht="15" thickBot="1">
      <c r="A771" s="4" t="s">
        <v>154</v>
      </c>
      <c r="B771" s="4" t="s">
        <v>155</v>
      </c>
      <c r="C771" s="4">
        <v>616866669</v>
      </c>
      <c r="D771" s="4" t="s">
        <v>156</v>
      </c>
      <c r="E771" s="4" t="s">
        <v>599</v>
      </c>
      <c r="F771" s="129" t="s">
        <v>3366</v>
      </c>
      <c r="G771" s="131"/>
      <c r="H771" s="131" t="s">
        <v>1233</v>
      </c>
      <c r="I771" s="131" t="s">
        <v>1234</v>
      </c>
      <c r="J771" s="131" t="s">
        <v>165</v>
      </c>
      <c r="K771" s="131" t="s">
        <v>33</v>
      </c>
      <c r="L771" s="131" t="s">
        <v>478</v>
      </c>
      <c r="M771" s="131"/>
      <c r="N771" s="131" t="s">
        <v>499</v>
      </c>
      <c r="O771" s="131">
        <v>1</v>
      </c>
      <c r="P771" s="131"/>
      <c r="Q771" s="131"/>
      <c r="R771" s="34">
        <v>45</v>
      </c>
      <c r="S771" s="131"/>
      <c r="T771" s="58">
        <v>0</v>
      </c>
      <c r="U771" s="131"/>
      <c r="V771" s="131"/>
      <c r="W771" s="131"/>
      <c r="X771" s="112"/>
    </row>
    <row r="772" spans="1:24" ht="15" thickBot="1">
      <c r="A772" s="4" t="s">
        <v>154</v>
      </c>
      <c r="B772" s="4" t="s">
        <v>155</v>
      </c>
      <c r="C772" s="4">
        <v>616866669</v>
      </c>
      <c r="D772" s="4" t="s">
        <v>156</v>
      </c>
      <c r="E772" s="4" t="s">
        <v>599</v>
      </c>
      <c r="F772" s="129" t="s">
        <v>3366</v>
      </c>
      <c r="G772" s="131"/>
      <c r="H772" s="131" t="s">
        <v>3402</v>
      </c>
      <c r="I772" s="131" t="s">
        <v>1190</v>
      </c>
      <c r="J772" s="131" t="s">
        <v>165</v>
      </c>
      <c r="K772" s="131" t="s">
        <v>33</v>
      </c>
      <c r="L772" s="131" t="s">
        <v>323</v>
      </c>
      <c r="M772" s="131"/>
      <c r="N772" s="131" t="s">
        <v>499</v>
      </c>
      <c r="O772" s="131">
        <v>1</v>
      </c>
      <c r="P772" s="131"/>
      <c r="Q772" s="131"/>
      <c r="R772" s="34">
        <v>45</v>
      </c>
      <c r="S772" s="131"/>
      <c r="T772" s="58">
        <v>0</v>
      </c>
      <c r="U772" s="131"/>
      <c r="V772" s="131"/>
      <c r="W772" s="131"/>
      <c r="X772" s="112"/>
    </row>
    <row r="773" spans="1:24" ht="15" thickBot="1">
      <c r="A773" s="4" t="s">
        <v>154</v>
      </c>
      <c r="B773" s="4" t="s">
        <v>155</v>
      </c>
      <c r="C773" s="4">
        <v>616866669</v>
      </c>
      <c r="D773" s="4" t="s">
        <v>156</v>
      </c>
      <c r="E773" s="4" t="s">
        <v>599</v>
      </c>
      <c r="F773" s="129" t="s">
        <v>3366</v>
      </c>
      <c r="G773" s="131"/>
      <c r="H773" s="131" t="s">
        <v>3403</v>
      </c>
      <c r="I773" s="131" t="s">
        <v>1229</v>
      </c>
      <c r="J773" s="131" t="s">
        <v>165</v>
      </c>
      <c r="K773" s="131" t="s">
        <v>33</v>
      </c>
      <c r="L773" s="131" t="s">
        <v>631</v>
      </c>
      <c r="M773" s="131"/>
      <c r="N773" s="131" t="s">
        <v>499</v>
      </c>
      <c r="O773" s="131">
        <v>1</v>
      </c>
      <c r="P773" s="131"/>
      <c r="Q773" s="131"/>
      <c r="R773" s="34">
        <v>45</v>
      </c>
      <c r="S773" s="131"/>
      <c r="T773" s="58">
        <v>0</v>
      </c>
      <c r="U773" s="131"/>
      <c r="V773" s="131"/>
      <c r="W773" s="131"/>
      <c r="X773" s="112"/>
    </row>
    <row r="774" spans="1:24" ht="15" thickBot="1">
      <c r="A774" s="4" t="s">
        <v>154</v>
      </c>
      <c r="B774" s="4" t="s">
        <v>155</v>
      </c>
      <c r="C774" s="4">
        <v>616866669</v>
      </c>
      <c r="D774" s="4" t="s">
        <v>156</v>
      </c>
      <c r="E774" s="4" t="s">
        <v>599</v>
      </c>
      <c r="F774" s="129" t="s">
        <v>3366</v>
      </c>
      <c r="G774" s="131"/>
      <c r="H774" s="131" t="s">
        <v>3404</v>
      </c>
      <c r="I774" s="131" t="s">
        <v>3367</v>
      </c>
      <c r="J774" s="131" t="s">
        <v>165</v>
      </c>
      <c r="K774" s="131" t="s">
        <v>33</v>
      </c>
      <c r="L774" s="131" t="s">
        <v>857</v>
      </c>
      <c r="M774" s="127" t="s">
        <v>457</v>
      </c>
      <c r="N774" s="131" t="s">
        <v>499</v>
      </c>
      <c r="O774" s="131">
        <v>1</v>
      </c>
      <c r="P774" s="131"/>
      <c r="Q774" s="127" t="s">
        <v>457</v>
      </c>
      <c r="R774" s="34">
        <v>45</v>
      </c>
      <c r="S774" s="131"/>
      <c r="T774" s="58">
        <v>0</v>
      </c>
      <c r="U774" s="131"/>
      <c r="V774" s="131"/>
      <c r="W774" s="131"/>
      <c r="X774" s="112"/>
    </row>
    <row r="775" spans="1:24" ht="15" thickBot="1">
      <c r="A775" s="4" t="s">
        <v>154</v>
      </c>
      <c r="B775" s="4" t="s">
        <v>155</v>
      </c>
      <c r="C775" s="4">
        <v>616866669</v>
      </c>
      <c r="D775" s="4" t="s">
        <v>156</v>
      </c>
      <c r="E775" s="4" t="s">
        <v>599</v>
      </c>
      <c r="F775" s="129" t="s">
        <v>3366</v>
      </c>
      <c r="G775" s="131"/>
      <c r="H775" s="131" t="s">
        <v>3405</v>
      </c>
      <c r="I775" s="131" t="s">
        <v>3368</v>
      </c>
      <c r="J775" s="131" t="s">
        <v>172</v>
      </c>
      <c r="K775" s="131" t="s">
        <v>48</v>
      </c>
      <c r="L775" s="131" t="s">
        <v>241</v>
      </c>
      <c r="M775" s="131"/>
      <c r="N775" s="131" t="s">
        <v>499</v>
      </c>
      <c r="O775" s="131">
        <v>1</v>
      </c>
      <c r="P775" s="131"/>
      <c r="Q775" s="131"/>
      <c r="R775" s="34">
        <v>45</v>
      </c>
      <c r="S775" s="131"/>
      <c r="T775" s="58">
        <v>0</v>
      </c>
      <c r="U775" s="131"/>
      <c r="V775" s="131"/>
      <c r="W775" s="131"/>
      <c r="X775" s="112"/>
    </row>
    <row r="776" spans="1:24" ht="15" thickBot="1">
      <c r="A776" s="4" t="s">
        <v>154</v>
      </c>
      <c r="B776" s="4" t="s">
        <v>155</v>
      </c>
      <c r="C776" s="4">
        <v>616866669</v>
      </c>
      <c r="D776" s="4" t="s">
        <v>156</v>
      </c>
      <c r="E776" s="4" t="s">
        <v>599</v>
      </c>
      <c r="F776" s="129" t="s">
        <v>3366</v>
      </c>
      <c r="G776" s="131"/>
      <c r="H776" s="131" t="s">
        <v>3406</v>
      </c>
      <c r="I776" s="131" t="s">
        <v>3369</v>
      </c>
      <c r="J776" s="131" t="s">
        <v>192</v>
      </c>
      <c r="K776" s="131" t="s">
        <v>33</v>
      </c>
      <c r="L776" s="131" t="s">
        <v>3390</v>
      </c>
      <c r="M776" s="131"/>
      <c r="N776" s="131" t="s">
        <v>499</v>
      </c>
      <c r="O776" s="131">
        <v>1</v>
      </c>
      <c r="P776" s="131"/>
      <c r="Q776" s="131"/>
      <c r="R776" s="34">
        <v>45</v>
      </c>
      <c r="S776" s="131"/>
      <c r="T776" s="58">
        <v>0</v>
      </c>
      <c r="U776" s="131"/>
      <c r="V776" s="131"/>
      <c r="W776" s="131"/>
      <c r="X776" s="112"/>
    </row>
    <row r="777" spans="1:24" ht="15" thickBot="1">
      <c r="A777" s="4" t="s">
        <v>154</v>
      </c>
      <c r="B777" s="4" t="s">
        <v>155</v>
      </c>
      <c r="C777" s="4">
        <v>616866669</v>
      </c>
      <c r="D777" s="4" t="s">
        <v>156</v>
      </c>
      <c r="E777" s="4" t="s">
        <v>599</v>
      </c>
      <c r="F777" s="129" t="s">
        <v>3366</v>
      </c>
      <c r="G777" s="131"/>
      <c r="H777" s="131" t="s">
        <v>3407</v>
      </c>
      <c r="I777" s="131" t="s">
        <v>3370</v>
      </c>
      <c r="J777" s="127" t="s">
        <v>3424</v>
      </c>
      <c r="K777" s="131" t="s">
        <v>33</v>
      </c>
      <c r="L777" s="131" t="s">
        <v>3391</v>
      </c>
      <c r="M777" s="131"/>
      <c r="N777" s="131" t="s">
        <v>499</v>
      </c>
      <c r="O777" s="131">
        <v>1</v>
      </c>
      <c r="P777" s="131"/>
      <c r="Q777" s="131"/>
      <c r="R777" s="34">
        <v>45</v>
      </c>
      <c r="S777" s="131"/>
      <c r="T777" s="58">
        <v>0</v>
      </c>
      <c r="U777" s="131"/>
      <c r="V777" s="131"/>
      <c r="W777" s="131"/>
      <c r="X777" s="112"/>
    </row>
    <row r="778" spans="1:24" ht="15" thickBot="1">
      <c r="A778" s="4" t="s">
        <v>154</v>
      </c>
      <c r="B778" s="4" t="s">
        <v>155</v>
      </c>
      <c r="C778" s="4">
        <v>616866669</v>
      </c>
      <c r="D778" s="4" t="s">
        <v>156</v>
      </c>
      <c r="E778" s="4" t="s">
        <v>599</v>
      </c>
      <c r="F778" s="129" t="s">
        <v>3366</v>
      </c>
      <c r="G778" s="131"/>
      <c r="H778" s="131" t="s">
        <v>3408</v>
      </c>
      <c r="I778" s="131" t="s">
        <v>3371</v>
      </c>
      <c r="J778" s="131" t="s">
        <v>298</v>
      </c>
      <c r="K778" s="131" t="s">
        <v>33</v>
      </c>
      <c r="L778" s="131" t="s">
        <v>631</v>
      </c>
      <c r="M778" s="131"/>
      <c r="N778" s="131" t="s">
        <v>499</v>
      </c>
      <c r="O778" s="131">
        <v>1</v>
      </c>
      <c r="P778" s="131"/>
      <c r="Q778" s="131"/>
      <c r="R778" s="34">
        <v>45</v>
      </c>
      <c r="S778" s="131"/>
      <c r="T778" s="58">
        <v>0</v>
      </c>
      <c r="U778" s="131"/>
      <c r="V778" s="131"/>
      <c r="W778" s="131"/>
      <c r="X778" s="112"/>
    </row>
    <row r="779" spans="1:24" ht="15" thickBot="1">
      <c r="A779" s="4" t="s">
        <v>154</v>
      </c>
      <c r="B779" s="4" t="s">
        <v>155</v>
      </c>
      <c r="C779" s="4">
        <v>616866669</v>
      </c>
      <c r="D779" s="4" t="s">
        <v>156</v>
      </c>
      <c r="E779" s="4" t="s">
        <v>599</v>
      </c>
      <c r="F779" s="129" t="s">
        <v>3366</v>
      </c>
      <c r="G779" s="131"/>
      <c r="H779" s="131" t="s">
        <v>3409</v>
      </c>
      <c r="I779" s="131" t="s">
        <v>3372</v>
      </c>
      <c r="J779" s="131" t="s">
        <v>172</v>
      </c>
      <c r="K779" s="131" t="s">
        <v>48</v>
      </c>
      <c r="L779" s="131" t="s">
        <v>351</v>
      </c>
      <c r="M779" s="131"/>
      <c r="N779" s="131" t="s">
        <v>499</v>
      </c>
      <c r="O779" s="131">
        <v>1</v>
      </c>
      <c r="P779" s="131"/>
      <c r="Q779" s="131"/>
      <c r="R779" s="34">
        <v>45</v>
      </c>
      <c r="S779" s="131"/>
      <c r="T779" s="58">
        <v>0</v>
      </c>
      <c r="U779" s="131"/>
      <c r="V779" s="131"/>
      <c r="W779" s="131"/>
      <c r="X779" s="112"/>
    </row>
    <row r="780" spans="1:24" ht="15" thickBot="1">
      <c r="A780" s="4" t="s">
        <v>154</v>
      </c>
      <c r="B780" s="4" t="s">
        <v>155</v>
      </c>
      <c r="C780" s="4">
        <v>616866669</v>
      </c>
      <c r="D780" s="4" t="s">
        <v>156</v>
      </c>
      <c r="E780" s="4" t="s">
        <v>599</v>
      </c>
      <c r="F780" s="129" t="s">
        <v>3366</v>
      </c>
      <c r="G780" s="131"/>
      <c r="H780" s="131" t="s">
        <v>3410</v>
      </c>
      <c r="I780" s="131" t="s">
        <v>3373</v>
      </c>
      <c r="J780" s="131" t="s">
        <v>172</v>
      </c>
      <c r="K780" s="131" t="s">
        <v>48</v>
      </c>
      <c r="L780" s="131" t="s">
        <v>351</v>
      </c>
      <c r="M780" s="131"/>
      <c r="N780" s="131" t="s">
        <v>499</v>
      </c>
      <c r="O780" s="131">
        <v>1</v>
      </c>
      <c r="P780" s="131"/>
      <c r="Q780" s="131"/>
      <c r="R780" s="34">
        <v>45</v>
      </c>
      <c r="S780" s="131"/>
      <c r="T780" s="58">
        <v>0</v>
      </c>
      <c r="U780" s="131"/>
      <c r="V780" s="131"/>
      <c r="W780" s="131"/>
      <c r="X780" s="112"/>
    </row>
    <row r="781" spans="1:24" ht="15" thickBot="1">
      <c r="A781" s="4" t="s">
        <v>154</v>
      </c>
      <c r="B781" s="4" t="s">
        <v>155</v>
      </c>
      <c r="C781" s="4">
        <v>616866669</v>
      </c>
      <c r="D781" s="4" t="s">
        <v>156</v>
      </c>
      <c r="E781" s="4" t="s">
        <v>599</v>
      </c>
      <c r="F781" s="129" t="s">
        <v>3366</v>
      </c>
      <c r="G781" s="131"/>
      <c r="H781" s="131" t="s">
        <v>1463</v>
      </c>
      <c r="I781" s="131" t="s">
        <v>1464</v>
      </c>
      <c r="J781" s="131" t="s">
        <v>165</v>
      </c>
      <c r="K781" s="131" t="s">
        <v>33</v>
      </c>
      <c r="L781" s="131" t="s">
        <v>3392</v>
      </c>
      <c r="M781" s="127" t="s">
        <v>3999</v>
      </c>
      <c r="N781" s="131" t="s">
        <v>499</v>
      </c>
      <c r="O781" s="131">
        <v>1</v>
      </c>
      <c r="P781" s="127" t="s">
        <v>4000</v>
      </c>
      <c r="Q781" s="127" t="s">
        <v>4001</v>
      </c>
      <c r="R781" s="34">
        <v>45</v>
      </c>
      <c r="S781" s="131"/>
      <c r="T781" s="58">
        <v>0</v>
      </c>
      <c r="U781" s="131"/>
      <c r="V781" s="131"/>
      <c r="W781" s="131"/>
      <c r="X781" s="112"/>
    </row>
    <row r="782" spans="1:24" ht="15" thickBot="1">
      <c r="A782" s="4" t="s">
        <v>154</v>
      </c>
      <c r="B782" s="4" t="s">
        <v>155</v>
      </c>
      <c r="C782" s="4">
        <v>616866669</v>
      </c>
      <c r="D782" s="4" t="s">
        <v>156</v>
      </c>
      <c r="E782" s="4" t="s">
        <v>599</v>
      </c>
      <c r="F782" s="129" t="s">
        <v>3366</v>
      </c>
      <c r="G782" s="131"/>
      <c r="H782" s="131" t="s">
        <v>624</v>
      </c>
      <c r="I782" s="131" t="s">
        <v>625</v>
      </c>
      <c r="J782" s="131" t="s">
        <v>165</v>
      </c>
      <c r="K782" s="131" t="s">
        <v>33</v>
      </c>
      <c r="L782" s="131" t="s">
        <v>631</v>
      </c>
      <c r="M782" s="131"/>
      <c r="N782" s="131" t="s">
        <v>499</v>
      </c>
      <c r="O782" s="131">
        <v>1</v>
      </c>
      <c r="P782" s="131"/>
      <c r="Q782" s="131"/>
      <c r="R782" s="34">
        <v>45</v>
      </c>
      <c r="S782" s="131"/>
      <c r="T782" s="58">
        <v>0</v>
      </c>
      <c r="U782" s="131"/>
      <c r="V782" s="131"/>
      <c r="W782" s="131"/>
      <c r="X782" s="112"/>
    </row>
    <row r="783" spans="1:24" ht="15" thickBot="1">
      <c r="A783" s="4" t="s">
        <v>154</v>
      </c>
      <c r="B783" s="4" t="s">
        <v>155</v>
      </c>
      <c r="C783" s="4">
        <v>616866669</v>
      </c>
      <c r="D783" s="4" t="s">
        <v>156</v>
      </c>
      <c r="E783" s="4" t="s">
        <v>599</v>
      </c>
      <c r="F783" s="129" t="s">
        <v>3366</v>
      </c>
      <c r="G783" s="131"/>
      <c r="H783" s="131" t="s">
        <v>3411</v>
      </c>
      <c r="I783" s="131" t="s">
        <v>3374</v>
      </c>
      <c r="J783" s="131" t="s">
        <v>165</v>
      </c>
      <c r="K783" s="131" t="s">
        <v>33</v>
      </c>
      <c r="L783" s="131" t="s">
        <v>213</v>
      </c>
      <c r="M783" s="131" t="s">
        <v>3745</v>
      </c>
      <c r="N783" s="131" t="s">
        <v>499</v>
      </c>
      <c r="O783" s="131">
        <v>1</v>
      </c>
      <c r="P783" s="131"/>
      <c r="Q783" s="131" t="s">
        <v>3745</v>
      </c>
      <c r="R783" s="34">
        <v>45</v>
      </c>
      <c r="S783" s="58">
        <v>275.5</v>
      </c>
      <c r="T783" s="58">
        <f>SUM(R783:S783)</f>
        <v>320.5</v>
      </c>
      <c r="U783" s="131"/>
      <c r="V783" s="131"/>
      <c r="W783" s="131"/>
      <c r="X783" s="112"/>
    </row>
    <row r="784" spans="1:24" ht="15" thickBot="1">
      <c r="A784" s="4" t="s">
        <v>154</v>
      </c>
      <c r="B784" s="4" t="s">
        <v>155</v>
      </c>
      <c r="C784" s="4">
        <v>616866669</v>
      </c>
      <c r="D784" s="4" t="s">
        <v>156</v>
      </c>
      <c r="E784" s="4" t="s">
        <v>599</v>
      </c>
      <c r="F784" s="129" t="s">
        <v>3366</v>
      </c>
      <c r="G784" s="131"/>
      <c r="H784" s="131" t="s">
        <v>3412</v>
      </c>
      <c r="I784" s="131" t="s">
        <v>3375</v>
      </c>
      <c r="J784" s="131" t="s">
        <v>180</v>
      </c>
      <c r="K784" s="131" t="s">
        <v>48</v>
      </c>
      <c r="L784" s="131" t="s">
        <v>241</v>
      </c>
      <c r="M784" s="131"/>
      <c r="N784" s="131" t="s">
        <v>499</v>
      </c>
      <c r="O784" s="131">
        <v>1</v>
      </c>
      <c r="P784" s="131"/>
      <c r="Q784" s="131"/>
      <c r="R784" s="34">
        <v>45</v>
      </c>
      <c r="S784" s="131"/>
      <c r="T784" s="58">
        <v>0</v>
      </c>
      <c r="U784" s="131"/>
      <c r="V784" s="131"/>
      <c r="W784" s="131"/>
      <c r="X784" s="112"/>
    </row>
    <row r="785" spans="1:24" ht="15" thickBot="1">
      <c r="A785" s="4" t="s">
        <v>154</v>
      </c>
      <c r="B785" s="4" t="s">
        <v>155</v>
      </c>
      <c r="C785" s="4">
        <v>616866669</v>
      </c>
      <c r="D785" s="4" t="s">
        <v>156</v>
      </c>
      <c r="E785" s="4" t="s">
        <v>599</v>
      </c>
      <c r="F785" s="129" t="s">
        <v>3366</v>
      </c>
      <c r="G785" s="131"/>
      <c r="H785" s="131" t="s">
        <v>3413</v>
      </c>
      <c r="I785" s="131" t="s">
        <v>3376</v>
      </c>
      <c r="J785" s="131" t="s">
        <v>3387</v>
      </c>
      <c r="K785" s="131" t="s">
        <v>48</v>
      </c>
      <c r="L785" s="131" t="s">
        <v>351</v>
      </c>
      <c r="M785" s="131"/>
      <c r="N785" s="131" t="s">
        <v>499</v>
      </c>
      <c r="O785" s="131">
        <v>1</v>
      </c>
      <c r="P785" s="131"/>
      <c r="Q785" s="131"/>
      <c r="R785" s="34">
        <v>45</v>
      </c>
      <c r="S785" s="131"/>
      <c r="T785" s="58">
        <v>0</v>
      </c>
      <c r="U785" s="131"/>
      <c r="V785" s="131"/>
      <c r="W785" s="131"/>
      <c r="X785" s="112"/>
    </row>
    <row r="786" spans="1:24" ht="15" thickBot="1">
      <c r="A786" s="4" t="s">
        <v>154</v>
      </c>
      <c r="B786" s="4" t="s">
        <v>155</v>
      </c>
      <c r="C786" s="4">
        <v>616866669</v>
      </c>
      <c r="D786" s="4" t="s">
        <v>156</v>
      </c>
      <c r="E786" s="4" t="s">
        <v>599</v>
      </c>
      <c r="F786" s="129" t="s">
        <v>3366</v>
      </c>
      <c r="G786" s="131"/>
      <c r="H786" s="131" t="s">
        <v>3414</v>
      </c>
      <c r="I786" s="131" t="s">
        <v>3377</v>
      </c>
      <c r="J786" s="131" t="s">
        <v>172</v>
      </c>
      <c r="K786" s="131" t="s">
        <v>48</v>
      </c>
      <c r="L786" s="131" t="s">
        <v>319</v>
      </c>
      <c r="M786" s="131"/>
      <c r="N786" s="131" t="s">
        <v>499</v>
      </c>
      <c r="O786" s="131">
        <v>1</v>
      </c>
      <c r="P786" s="131"/>
      <c r="Q786" s="131"/>
      <c r="R786" s="34">
        <v>45</v>
      </c>
      <c r="S786" s="131"/>
      <c r="T786" s="58">
        <v>0</v>
      </c>
      <c r="U786" s="131"/>
      <c r="V786" s="131"/>
      <c r="W786" s="131"/>
      <c r="X786" s="112"/>
    </row>
    <row r="787" spans="1:24" ht="15" thickBot="1">
      <c r="A787" s="4" t="s">
        <v>154</v>
      </c>
      <c r="B787" s="4" t="s">
        <v>155</v>
      </c>
      <c r="C787" s="4">
        <v>616866669</v>
      </c>
      <c r="D787" s="4" t="s">
        <v>156</v>
      </c>
      <c r="E787" s="4" t="s">
        <v>599</v>
      </c>
      <c r="F787" s="129" t="s">
        <v>3366</v>
      </c>
      <c r="G787" s="131"/>
      <c r="H787" s="131" t="s">
        <v>3415</v>
      </c>
      <c r="I787" s="131" t="s">
        <v>3378</v>
      </c>
      <c r="J787" s="131" t="s">
        <v>165</v>
      </c>
      <c r="K787" s="131" t="s">
        <v>33</v>
      </c>
      <c r="L787" s="131" t="s">
        <v>3393</v>
      </c>
      <c r="M787" s="131"/>
      <c r="N787" s="131" t="s">
        <v>499</v>
      </c>
      <c r="O787" s="131">
        <v>1</v>
      </c>
      <c r="P787" s="131"/>
      <c r="Q787" s="131"/>
      <c r="R787" s="34">
        <v>45</v>
      </c>
      <c r="S787" s="131"/>
      <c r="T787" s="58">
        <v>0</v>
      </c>
      <c r="U787" s="131"/>
      <c r="V787" s="131"/>
      <c r="W787" s="131"/>
      <c r="X787" s="112"/>
    </row>
    <row r="788" spans="1:24" ht="15" thickBot="1">
      <c r="A788" s="4" t="s">
        <v>154</v>
      </c>
      <c r="B788" s="4" t="s">
        <v>155</v>
      </c>
      <c r="C788" s="4">
        <v>616866669</v>
      </c>
      <c r="D788" s="4" t="s">
        <v>156</v>
      </c>
      <c r="E788" s="4" t="s">
        <v>599</v>
      </c>
      <c r="F788" s="129" t="s">
        <v>3366</v>
      </c>
      <c r="G788" s="131"/>
      <c r="H788" s="131" t="s">
        <v>3416</v>
      </c>
      <c r="I788" s="131" t="s">
        <v>3379</v>
      </c>
      <c r="J788" s="131" t="s">
        <v>165</v>
      </c>
      <c r="K788" s="131" t="s">
        <v>33</v>
      </c>
      <c r="L788" s="131" t="s">
        <v>3394</v>
      </c>
      <c r="M788" s="131"/>
      <c r="N788" s="131" t="s">
        <v>499</v>
      </c>
      <c r="O788" s="131">
        <v>1</v>
      </c>
      <c r="P788" s="127" t="s">
        <v>3744</v>
      </c>
      <c r="Q788" s="131"/>
      <c r="R788" s="34">
        <v>45</v>
      </c>
      <c r="S788" s="131"/>
      <c r="T788" s="58">
        <v>0</v>
      </c>
      <c r="U788" s="131"/>
      <c r="V788" s="131"/>
      <c r="W788" s="131"/>
      <c r="X788" s="112"/>
    </row>
    <row r="789" spans="1:24" ht="15" thickBot="1">
      <c r="A789" s="4" t="s">
        <v>154</v>
      </c>
      <c r="B789" s="4" t="s">
        <v>155</v>
      </c>
      <c r="C789" s="4">
        <v>616866669</v>
      </c>
      <c r="D789" s="4" t="s">
        <v>156</v>
      </c>
      <c r="E789" s="4" t="s">
        <v>599</v>
      </c>
      <c r="F789" s="129" t="s">
        <v>3366</v>
      </c>
      <c r="G789" s="131"/>
      <c r="H789" s="131" t="s">
        <v>3417</v>
      </c>
      <c r="I789" s="131" t="s">
        <v>3380</v>
      </c>
      <c r="J789" s="131" t="s">
        <v>192</v>
      </c>
      <c r="K789" s="131" t="s">
        <v>33</v>
      </c>
      <c r="L789" s="131" t="s">
        <v>3395</v>
      </c>
      <c r="M789" s="131"/>
      <c r="N789" s="131" t="s">
        <v>499</v>
      </c>
      <c r="O789" s="131">
        <v>1</v>
      </c>
      <c r="P789" s="131"/>
      <c r="Q789" s="131"/>
      <c r="R789" s="34">
        <v>45</v>
      </c>
      <c r="S789" s="131"/>
      <c r="T789" s="58">
        <v>0</v>
      </c>
      <c r="U789" s="131"/>
      <c r="V789" s="131"/>
      <c r="W789" s="131"/>
      <c r="X789" s="112"/>
    </row>
    <row r="790" spans="1:24" ht="15" thickBot="1">
      <c r="A790" s="4" t="s">
        <v>154</v>
      </c>
      <c r="B790" s="4" t="s">
        <v>155</v>
      </c>
      <c r="C790" s="4">
        <v>616866669</v>
      </c>
      <c r="D790" s="4" t="s">
        <v>156</v>
      </c>
      <c r="E790" s="4" t="s">
        <v>599</v>
      </c>
      <c r="F790" s="129" t="s">
        <v>3366</v>
      </c>
      <c r="G790" s="131"/>
      <c r="H790" s="131" t="s">
        <v>3418</v>
      </c>
      <c r="I790" s="131" t="s">
        <v>3381</v>
      </c>
      <c r="J790" s="131" t="s">
        <v>165</v>
      </c>
      <c r="K790" s="131" t="s">
        <v>33</v>
      </c>
      <c r="L790" s="131" t="s">
        <v>301</v>
      </c>
      <c r="M790" s="131"/>
      <c r="N790" s="131" t="s">
        <v>499</v>
      </c>
      <c r="O790" s="131">
        <v>1</v>
      </c>
      <c r="P790" s="131"/>
      <c r="Q790" s="131"/>
      <c r="R790" s="34">
        <v>45</v>
      </c>
      <c r="S790" s="131"/>
      <c r="T790" s="58">
        <v>0</v>
      </c>
      <c r="U790" s="131"/>
      <c r="V790" s="131"/>
      <c r="W790" s="131"/>
      <c r="X790" s="112"/>
    </row>
    <row r="791" spans="1:24" ht="15" thickBot="1">
      <c r="A791" s="4" t="s">
        <v>154</v>
      </c>
      <c r="B791" s="4" t="s">
        <v>155</v>
      </c>
      <c r="C791" s="4">
        <v>616866669</v>
      </c>
      <c r="D791" s="4" t="s">
        <v>156</v>
      </c>
      <c r="E791" s="4" t="s">
        <v>599</v>
      </c>
      <c r="F791" s="129" t="s">
        <v>3366</v>
      </c>
      <c r="G791" s="131"/>
      <c r="H791" s="131" t="s">
        <v>3419</v>
      </c>
      <c r="I791" s="131" t="s">
        <v>3382</v>
      </c>
      <c r="J791" s="131" t="s">
        <v>165</v>
      </c>
      <c r="K791" s="131" t="s">
        <v>33</v>
      </c>
      <c r="L791" s="131" t="s">
        <v>3396</v>
      </c>
      <c r="M791" s="131"/>
      <c r="N791" s="131" t="s">
        <v>499</v>
      </c>
      <c r="O791" s="131">
        <v>1</v>
      </c>
      <c r="P791" s="131"/>
      <c r="Q791" s="131"/>
      <c r="R791" s="34">
        <v>45</v>
      </c>
      <c r="S791" s="131"/>
      <c r="T791" s="58">
        <v>0</v>
      </c>
      <c r="U791" s="131"/>
      <c r="V791" s="131"/>
      <c r="W791" s="131"/>
      <c r="X791" s="112"/>
    </row>
    <row r="792" spans="1:24" ht="15" thickBot="1">
      <c r="A792" s="4" t="s">
        <v>154</v>
      </c>
      <c r="B792" s="4" t="s">
        <v>155</v>
      </c>
      <c r="C792" s="4">
        <v>616866669</v>
      </c>
      <c r="D792" s="4" t="s">
        <v>156</v>
      </c>
      <c r="E792" s="4" t="s">
        <v>599</v>
      </c>
      <c r="F792" s="129" t="s">
        <v>3366</v>
      </c>
      <c r="G792" s="131"/>
      <c r="H792" s="131" t="s">
        <v>3420</v>
      </c>
      <c r="I792" s="131" t="s">
        <v>3383</v>
      </c>
      <c r="J792" s="131" t="s">
        <v>165</v>
      </c>
      <c r="K792" s="131" t="s">
        <v>33</v>
      </c>
      <c r="L792" s="131" t="s">
        <v>241</v>
      </c>
      <c r="M792" s="131"/>
      <c r="N792" s="131" t="s">
        <v>499</v>
      </c>
      <c r="O792" s="131">
        <v>1</v>
      </c>
      <c r="P792" s="131"/>
      <c r="Q792" s="131"/>
      <c r="R792" s="34">
        <v>45</v>
      </c>
      <c r="S792" s="131"/>
      <c r="T792" s="58">
        <v>0</v>
      </c>
      <c r="U792" s="131"/>
      <c r="V792" s="131"/>
      <c r="W792" s="131"/>
      <c r="X792" s="112"/>
    </row>
    <row r="793" spans="1:24" ht="15" thickBot="1">
      <c r="A793" s="4" t="s">
        <v>154</v>
      </c>
      <c r="B793" s="4" t="s">
        <v>155</v>
      </c>
      <c r="C793" s="4">
        <v>616866669</v>
      </c>
      <c r="D793" s="4" t="s">
        <v>156</v>
      </c>
      <c r="E793" s="4" t="s">
        <v>599</v>
      </c>
      <c r="F793" s="129" t="s">
        <v>3366</v>
      </c>
      <c r="G793" s="131"/>
      <c r="H793" s="131" t="s">
        <v>3421</v>
      </c>
      <c r="I793" s="131" t="s">
        <v>3384</v>
      </c>
      <c r="J793" s="131" t="s">
        <v>172</v>
      </c>
      <c r="K793" s="131" t="s">
        <v>48</v>
      </c>
      <c r="L793" s="131" t="s">
        <v>241</v>
      </c>
      <c r="M793" s="131"/>
      <c r="N793" s="131" t="s">
        <v>499</v>
      </c>
      <c r="O793" s="131">
        <v>1</v>
      </c>
      <c r="P793" s="131"/>
      <c r="Q793" s="131"/>
      <c r="R793" s="34">
        <v>45</v>
      </c>
      <c r="S793" s="131"/>
      <c r="T793" s="58">
        <v>0</v>
      </c>
      <c r="U793" s="131"/>
      <c r="V793" s="131"/>
      <c r="W793" s="131"/>
      <c r="X793" s="112"/>
    </row>
    <row r="794" spans="1:24" ht="15" thickBot="1">
      <c r="A794" s="4" t="s">
        <v>154</v>
      </c>
      <c r="B794" s="4" t="s">
        <v>155</v>
      </c>
      <c r="C794" s="4">
        <v>616866669</v>
      </c>
      <c r="D794" s="4" t="s">
        <v>156</v>
      </c>
      <c r="E794" s="4" t="s">
        <v>599</v>
      </c>
      <c r="F794" s="129" t="s">
        <v>3366</v>
      </c>
      <c r="G794" s="131"/>
      <c r="H794" s="131" t="s">
        <v>1034</v>
      </c>
      <c r="I794" s="131" t="s">
        <v>1035</v>
      </c>
      <c r="J794" s="131" t="s">
        <v>180</v>
      </c>
      <c r="K794" s="131" t="s">
        <v>48</v>
      </c>
      <c r="L794" s="131" t="s">
        <v>3397</v>
      </c>
      <c r="M794" s="131"/>
      <c r="N794" s="131" t="s">
        <v>499</v>
      </c>
      <c r="O794" s="131">
        <v>1</v>
      </c>
      <c r="P794" s="131"/>
      <c r="Q794" s="131"/>
      <c r="R794" s="34">
        <v>45</v>
      </c>
      <c r="S794" s="131"/>
      <c r="T794" s="58">
        <v>0</v>
      </c>
      <c r="U794" s="131"/>
      <c r="V794" s="131"/>
      <c r="W794" s="131"/>
      <c r="X794" s="112"/>
    </row>
    <row r="795" spans="1:24" ht="15" thickBot="1">
      <c r="A795" s="4" t="s">
        <v>154</v>
      </c>
      <c r="B795" s="4" t="s">
        <v>155</v>
      </c>
      <c r="C795" s="4">
        <v>616866669</v>
      </c>
      <c r="D795" s="4" t="s">
        <v>156</v>
      </c>
      <c r="E795" s="4" t="s">
        <v>599</v>
      </c>
      <c r="F795" s="129" t="s">
        <v>3366</v>
      </c>
      <c r="G795" s="131"/>
      <c r="H795" s="131" t="s">
        <v>3422</v>
      </c>
      <c r="I795" s="131" t="s">
        <v>3385</v>
      </c>
      <c r="J795" s="131" t="s">
        <v>192</v>
      </c>
      <c r="K795" s="131" t="s">
        <v>33</v>
      </c>
      <c r="L795" s="131" t="s">
        <v>3398</v>
      </c>
      <c r="M795" s="131"/>
      <c r="N795" s="131" t="s">
        <v>499</v>
      </c>
      <c r="O795" s="131">
        <v>1</v>
      </c>
      <c r="P795" s="131"/>
      <c r="Q795" s="131"/>
      <c r="R795" s="34">
        <v>45</v>
      </c>
      <c r="S795" s="131"/>
      <c r="T795" s="58">
        <v>0</v>
      </c>
      <c r="U795" s="131"/>
      <c r="V795" s="131"/>
      <c r="W795" s="131"/>
      <c r="X795" s="112"/>
    </row>
    <row r="796" spans="1:24" ht="15" thickBot="1">
      <c r="A796" s="4" t="s">
        <v>154</v>
      </c>
      <c r="B796" s="4" t="s">
        <v>155</v>
      </c>
      <c r="C796" s="4">
        <v>616866669</v>
      </c>
      <c r="D796" s="4" t="s">
        <v>156</v>
      </c>
      <c r="E796" s="4" t="s">
        <v>599</v>
      </c>
      <c r="F796" s="129" t="s">
        <v>3366</v>
      </c>
      <c r="G796" s="131"/>
      <c r="H796" s="131" t="s">
        <v>3423</v>
      </c>
      <c r="I796" s="131" t="s">
        <v>3386</v>
      </c>
      <c r="J796" s="131" t="s">
        <v>165</v>
      </c>
      <c r="K796" s="131" t="s">
        <v>33</v>
      </c>
      <c r="L796" s="131" t="s">
        <v>241</v>
      </c>
      <c r="M796" s="131"/>
      <c r="N796" s="131" t="s">
        <v>499</v>
      </c>
      <c r="O796" s="131">
        <v>1</v>
      </c>
      <c r="P796" s="131"/>
      <c r="Q796" s="131"/>
      <c r="R796" s="34">
        <v>45</v>
      </c>
      <c r="S796" s="131"/>
      <c r="T796" s="58">
        <v>0</v>
      </c>
      <c r="U796" s="131"/>
      <c r="V796" s="131"/>
      <c r="W796" s="131"/>
      <c r="X796" s="112"/>
    </row>
    <row r="797" spans="1:24" ht="15" thickBot="1">
      <c r="A797" s="131" t="s">
        <v>25</v>
      </c>
      <c r="B797" s="131" t="s">
        <v>26</v>
      </c>
      <c r="C797" s="131" t="s">
        <v>27</v>
      </c>
      <c r="D797" s="131" t="s">
        <v>28</v>
      </c>
      <c r="E797" s="131" t="s">
        <v>29</v>
      </c>
      <c r="F797" s="129">
        <v>46084</v>
      </c>
      <c r="G797" s="131"/>
      <c r="H797" s="131" t="s">
        <v>3465</v>
      </c>
      <c r="I797" s="131" t="s">
        <v>3426</v>
      </c>
      <c r="J797" s="131" t="s">
        <v>172</v>
      </c>
      <c r="K797" s="131" t="s">
        <v>48</v>
      </c>
      <c r="L797" s="131" t="s">
        <v>3444</v>
      </c>
      <c r="M797" s="131"/>
      <c r="N797" s="131" t="s">
        <v>499</v>
      </c>
      <c r="O797" s="131">
        <v>1</v>
      </c>
      <c r="P797" s="131"/>
      <c r="Q797" s="131"/>
      <c r="R797" s="34">
        <v>45</v>
      </c>
      <c r="S797" s="131"/>
      <c r="T797" s="58">
        <v>0</v>
      </c>
      <c r="U797" s="131"/>
      <c r="V797" s="131"/>
      <c r="W797" s="131"/>
      <c r="X797" s="112"/>
    </row>
    <row r="798" spans="1:24" ht="15" thickBot="1">
      <c r="A798" s="131" t="s">
        <v>25</v>
      </c>
      <c r="B798" s="131" t="s">
        <v>26</v>
      </c>
      <c r="C798" s="131" t="s">
        <v>27</v>
      </c>
      <c r="D798" s="131" t="s">
        <v>28</v>
      </c>
      <c r="E798" s="131" t="s">
        <v>29</v>
      </c>
      <c r="F798" s="129">
        <v>46084</v>
      </c>
      <c r="G798" s="131"/>
      <c r="H798" s="131" t="s">
        <v>3466</v>
      </c>
      <c r="I798" s="131" t="s">
        <v>3427</v>
      </c>
      <c r="J798" s="131" t="s">
        <v>3281</v>
      </c>
      <c r="K798" s="131" t="s">
        <v>48</v>
      </c>
      <c r="L798" s="131" t="s">
        <v>1958</v>
      </c>
      <c r="M798" s="131"/>
      <c r="N798" s="131" t="s">
        <v>499</v>
      </c>
      <c r="O798" s="131">
        <v>1</v>
      </c>
      <c r="P798" s="131"/>
      <c r="Q798" s="131"/>
      <c r="R798" s="34">
        <v>45</v>
      </c>
      <c r="S798" s="131"/>
      <c r="T798" s="58">
        <v>0</v>
      </c>
      <c r="U798" s="131"/>
      <c r="V798" s="131"/>
      <c r="W798" s="131"/>
      <c r="X798" s="112"/>
    </row>
    <row r="799" spans="1:24" ht="15" thickBot="1">
      <c r="A799" s="131" t="s">
        <v>25</v>
      </c>
      <c r="B799" s="131" t="s">
        <v>26</v>
      </c>
      <c r="C799" s="131" t="s">
        <v>27</v>
      </c>
      <c r="D799" s="131" t="s">
        <v>28</v>
      </c>
      <c r="E799" s="131" t="s">
        <v>29</v>
      </c>
      <c r="F799" s="129">
        <v>46084</v>
      </c>
      <c r="G799" s="131"/>
      <c r="H799" s="131" t="s">
        <v>3467</v>
      </c>
      <c r="I799" s="131" t="s">
        <v>1582</v>
      </c>
      <c r="J799" s="127" t="s">
        <v>3487</v>
      </c>
      <c r="K799" s="131" t="s">
        <v>48</v>
      </c>
      <c r="L799" s="131" t="s">
        <v>3445</v>
      </c>
      <c r="M799" s="131"/>
      <c r="N799" s="131" t="s">
        <v>499</v>
      </c>
      <c r="O799" s="131">
        <v>1</v>
      </c>
      <c r="P799" s="131"/>
      <c r="Q799" s="131"/>
      <c r="R799" s="34">
        <v>45</v>
      </c>
      <c r="S799" s="131"/>
      <c r="T799" s="58">
        <v>0</v>
      </c>
      <c r="U799" s="131"/>
      <c r="V799" s="131"/>
      <c r="W799" s="131"/>
      <c r="X799" s="112"/>
    </row>
    <row r="800" spans="1:24" ht="15" thickBot="1">
      <c r="A800" s="131" t="s">
        <v>25</v>
      </c>
      <c r="B800" s="131" t="s">
        <v>26</v>
      </c>
      <c r="C800" s="131" t="s">
        <v>27</v>
      </c>
      <c r="D800" s="131" t="s">
        <v>28</v>
      </c>
      <c r="E800" s="131" t="s">
        <v>29</v>
      </c>
      <c r="F800" s="129">
        <v>46084</v>
      </c>
      <c r="G800" s="131"/>
      <c r="H800" s="131" t="s">
        <v>3468</v>
      </c>
      <c r="I800" s="131" t="s">
        <v>3428</v>
      </c>
      <c r="J800" s="131" t="s">
        <v>165</v>
      </c>
      <c r="K800" s="131" t="s">
        <v>33</v>
      </c>
      <c r="L800" s="131" t="s">
        <v>3446</v>
      </c>
      <c r="M800" s="131"/>
      <c r="N800" s="131" t="s">
        <v>499</v>
      </c>
      <c r="O800" s="131">
        <v>1</v>
      </c>
      <c r="P800" s="131"/>
      <c r="Q800" s="131"/>
      <c r="R800" s="34">
        <v>45</v>
      </c>
      <c r="S800" s="131"/>
      <c r="T800" s="58">
        <v>0</v>
      </c>
      <c r="U800" s="131"/>
      <c r="V800" s="131"/>
      <c r="W800" s="131"/>
      <c r="X800" s="131"/>
    </row>
    <row r="801" spans="1:24" ht="15" thickBot="1">
      <c r="A801" s="131" t="s">
        <v>25</v>
      </c>
      <c r="B801" s="131" t="s">
        <v>26</v>
      </c>
      <c r="C801" s="131" t="s">
        <v>27</v>
      </c>
      <c r="D801" s="131" t="s">
        <v>28</v>
      </c>
      <c r="E801" s="131" t="s">
        <v>29</v>
      </c>
      <c r="F801" s="129">
        <v>46084</v>
      </c>
      <c r="G801" s="131"/>
      <c r="H801" s="131" t="s">
        <v>1613</v>
      </c>
      <c r="I801" s="131" t="s">
        <v>1614</v>
      </c>
      <c r="J801" s="131" t="s">
        <v>165</v>
      </c>
      <c r="K801" s="131" t="s">
        <v>33</v>
      </c>
      <c r="L801" s="131" t="s">
        <v>3447</v>
      </c>
      <c r="M801" s="131"/>
      <c r="N801" s="131" t="s">
        <v>499</v>
      </c>
      <c r="O801" s="131">
        <v>1</v>
      </c>
      <c r="P801" s="131"/>
      <c r="Q801" s="131"/>
      <c r="R801" s="34">
        <v>45</v>
      </c>
      <c r="S801" s="131"/>
      <c r="T801" s="58">
        <v>0</v>
      </c>
      <c r="U801" s="131"/>
      <c r="V801" s="131"/>
      <c r="W801" s="131"/>
      <c r="X801" s="131"/>
    </row>
    <row r="802" spans="1:24" ht="15" thickBot="1">
      <c r="A802" s="131" t="s">
        <v>25</v>
      </c>
      <c r="B802" s="131" t="s">
        <v>26</v>
      </c>
      <c r="C802" s="131" t="s">
        <v>27</v>
      </c>
      <c r="D802" s="131" t="s">
        <v>28</v>
      </c>
      <c r="E802" s="131" t="s">
        <v>29</v>
      </c>
      <c r="F802" s="129">
        <v>46084</v>
      </c>
      <c r="G802" s="131"/>
      <c r="H802" s="131" t="s">
        <v>3469</v>
      </c>
      <c r="I802" s="131" t="s">
        <v>3429</v>
      </c>
      <c r="J802" s="131" t="s">
        <v>172</v>
      </c>
      <c r="K802" s="131" t="s">
        <v>48</v>
      </c>
      <c r="L802" s="131" t="s">
        <v>547</v>
      </c>
      <c r="M802" s="131"/>
      <c r="N802" s="131" t="s">
        <v>499</v>
      </c>
      <c r="O802" s="131">
        <v>1</v>
      </c>
      <c r="P802" s="131"/>
      <c r="Q802" s="131"/>
      <c r="R802" s="34">
        <v>45</v>
      </c>
      <c r="S802" s="131"/>
      <c r="T802" s="58">
        <v>0</v>
      </c>
      <c r="U802" s="131"/>
      <c r="V802" s="131"/>
      <c r="W802" s="131"/>
      <c r="X802" s="131"/>
    </row>
    <row r="803" spans="1:24" ht="15" thickBot="1">
      <c r="A803" s="131" t="s">
        <v>25</v>
      </c>
      <c r="B803" s="131" t="s">
        <v>26</v>
      </c>
      <c r="C803" s="131" t="s">
        <v>27</v>
      </c>
      <c r="D803" s="131" t="s">
        <v>28</v>
      </c>
      <c r="E803" s="131" t="s">
        <v>29</v>
      </c>
      <c r="F803" s="129">
        <v>46084</v>
      </c>
      <c r="G803" s="131"/>
      <c r="H803" s="131" t="s">
        <v>3470</v>
      </c>
      <c r="I803" s="131" t="s">
        <v>1092</v>
      </c>
      <c r="J803" s="131" t="s">
        <v>165</v>
      </c>
      <c r="K803" s="131" t="s">
        <v>33</v>
      </c>
      <c r="L803" s="131" t="s">
        <v>3448</v>
      </c>
      <c r="M803" s="131"/>
      <c r="N803" s="131" t="s">
        <v>499</v>
      </c>
      <c r="O803" s="131">
        <v>1</v>
      </c>
      <c r="P803" s="131"/>
      <c r="Q803" s="131"/>
      <c r="R803" s="34">
        <v>45</v>
      </c>
      <c r="S803" s="131"/>
      <c r="T803" s="58">
        <v>0</v>
      </c>
      <c r="U803" s="131"/>
      <c r="V803" s="131"/>
      <c r="W803" s="131"/>
      <c r="X803" s="131"/>
    </row>
    <row r="804" spans="1:24" ht="15" thickBot="1">
      <c r="A804" s="131" t="s">
        <v>25</v>
      </c>
      <c r="B804" s="131" t="s">
        <v>26</v>
      </c>
      <c r="C804" s="131" t="s">
        <v>27</v>
      </c>
      <c r="D804" s="131" t="s">
        <v>28</v>
      </c>
      <c r="E804" s="131" t="s">
        <v>29</v>
      </c>
      <c r="F804" s="129">
        <v>46084</v>
      </c>
      <c r="G804" s="131"/>
      <c r="H804" s="131" t="s">
        <v>73</v>
      </c>
      <c r="I804" s="131" t="s">
        <v>74</v>
      </c>
      <c r="J804" s="131" t="s">
        <v>172</v>
      </c>
      <c r="K804" s="131" t="s">
        <v>48</v>
      </c>
      <c r="L804" s="131" t="s">
        <v>3449</v>
      </c>
      <c r="M804" s="131"/>
      <c r="N804" s="131" t="s">
        <v>499</v>
      </c>
      <c r="O804" s="131">
        <v>1</v>
      </c>
      <c r="P804" s="131"/>
      <c r="Q804" s="131"/>
      <c r="R804" s="34">
        <v>45</v>
      </c>
      <c r="S804" s="131"/>
      <c r="T804" s="58">
        <v>0</v>
      </c>
      <c r="U804" s="131"/>
      <c r="V804" s="131"/>
      <c r="W804" s="131"/>
      <c r="X804" s="131"/>
    </row>
    <row r="805" spans="1:24" ht="15" thickBot="1">
      <c r="A805" s="131" t="s">
        <v>25</v>
      </c>
      <c r="B805" s="131" t="s">
        <v>26</v>
      </c>
      <c r="C805" s="131" t="s">
        <v>27</v>
      </c>
      <c r="D805" s="131" t="s">
        <v>28</v>
      </c>
      <c r="E805" s="131" t="s">
        <v>29</v>
      </c>
      <c r="F805" s="129">
        <v>46084</v>
      </c>
      <c r="G805" s="131"/>
      <c r="H805" s="131" t="s">
        <v>3471</v>
      </c>
      <c r="I805" s="131" t="s">
        <v>3430</v>
      </c>
      <c r="J805" s="131" t="s">
        <v>172</v>
      </c>
      <c r="K805" s="131" t="s">
        <v>48</v>
      </c>
      <c r="L805" s="131" t="s">
        <v>3450</v>
      </c>
      <c r="M805" s="131"/>
      <c r="N805" s="131" t="s">
        <v>499</v>
      </c>
      <c r="O805" s="131">
        <v>1</v>
      </c>
      <c r="P805" s="131"/>
      <c r="Q805" s="131"/>
      <c r="R805" s="34">
        <v>45</v>
      </c>
      <c r="S805" s="131"/>
      <c r="T805" s="58">
        <v>0</v>
      </c>
      <c r="U805" s="131"/>
      <c r="V805" s="131"/>
      <c r="W805" s="131"/>
      <c r="X805" s="131"/>
    </row>
    <row r="806" spans="1:24" ht="15" thickBot="1">
      <c r="A806" s="131" t="s">
        <v>25</v>
      </c>
      <c r="B806" s="131" t="s">
        <v>26</v>
      </c>
      <c r="C806" s="131" t="s">
        <v>27</v>
      </c>
      <c r="D806" s="131" t="s">
        <v>28</v>
      </c>
      <c r="E806" s="131" t="s">
        <v>29</v>
      </c>
      <c r="F806" s="129">
        <v>46084</v>
      </c>
      <c r="G806" s="131"/>
      <c r="H806" s="131" t="s">
        <v>108</v>
      </c>
      <c r="I806" s="131" t="s">
        <v>109</v>
      </c>
      <c r="J806" s="131" t="s">
        <v>172</v>
      </c>
      <c r="K806" s="131" t="s">
        <v>48</v>
      </c>
      <c r="L806" s="131" t="s">
        <v>3451</v>
      </c>
      <c r="M806" s="131"/>
      <c r="N806" s="131" t="s">
        <v>499</v>
      </c>
      <c r="O806" s="131">
        <v>1</v>
      </c>
      <c r="P806" s="131"/>
      <c r="Q806" s="131"/>
      <c r="R806" s="34">
        <v>45</v>
      </c>
      <c r="S806" s="131"/>
      <c r="T806" s="58">
        <v>0</v>
      </c>
      <c r="U806" s="131"/>
      <c r="V806" s="131"/>
      <c r="W806" s="131"/>
      <c r="X806" s="131"/>
    </row>
    <row r="807" spans="1:24" ht="15" thickBot="1">
      <c r="A807" s="131" t="s">
        <v>25</v>
      </c>
      <c r="B807" s="131" t="s">
        <v>26</v>
      </c>
      <c r="C807" s="131" t="s">
        <v>27</v>
      </c>
      <c r="D807" s="131" t="s">
        <v>28</v>
      </c>
      <c r="E807" s="131" t="s">
        <v>29</v>
      </c>
      <c r="F807" s="129">
        <v>46084</v>
      </c>
      <c r="G807" s="131"/>
      <c r="H807" s="131" t="s">
        <v>3472</v>
      </c>
      <c r="I807" s="131" t="s">
        <v>3431</v>
      </c>
      <c r="J807" s="131" t="s">
        <v>3388</v>
      </c>
      <c r="K807" s="131" t="s">
        <v>33</v>
      </c>
      <c r="L807" s="131" t="s">
        <v>3452</v>
      </c>
      <c r="M807" s="131"/>
      <c r="N807" s="131" t="s">
        <v>499</v>
      </c>
      <c r="O807" s="131">
        <v>1</v>
      </c>
      <c r="P807" s="131"/>
      <c r="Q807" s="131"/>
      <c r="R807" s="34">
        <v>45</v>
      </c>
      <c r="S807" s="131"/>
      <c r="T807" s="58">
        <v>0</v>
      </c>
      <c r="U807" s="131"/>
      <c r="V807" s="131"/>
      <c r="W807" s="131"/>
      <c r="X807" s="131"/>
    </row>
    <row r="808" spans="1:24" ht="15" thickBot="1">
      <c r="A808" s="131" t="s">
        <v>25</v>
      </c>
      <c r="B808" s="131" t="s">
        <v>26</v>
      </c>
      <c r="C808" s="131" t="s">
        <v>27</v>
      </c>
      <c r="D808" s="131" t="s">
        <v>28</v>
      </c>
      <c r="E808" s="131" t="s">
        <v>29</v>
      </c>
      <c r="F808" s="129">
        <v>46084</v>
      </c>
      <c r="G808" s="131"/>
      <c r="H808" s="131" t="s">
        <v>3473</v>
      </c>
      <c r="I808" s="131" t="s">
        <v>3432</v>
      </c>
      <c r="J808" s="127" t="s">
        <v>3424</v>
      </c>
      <c r="K808" s="131" t="s">
        <v>33</v>
      </c>
      <c r="L808" s="131" t="s">
        <v>3453</v>
      </c>
      <c r="M808" s="131"/>
      <c r="N808" s="131" t="s">
        <v>499</v>
      </c>
      <c r="O808" s="131">
        <v>1</v>
      </c>
      <c r="P808" s="131"/>
      <c r="Q808" s="131"/>
      <c r="R808" s="34">
        <v>45</v>
      </c>
      <c r="S808" s="131"/>
      <c r="T808" s="58">
        <v>0</v>
      </c>
      <c r="U808" s="131"/>
      <c r="V808" s="131"/>
      <c r="W808" s="131"/>
      <c r="X808" s="131"/>
    </row>
    <row r="809" spans="1:24" ht="15" thickBot="1">
      <c r="A809" s="131" t="s">
        <v>25</v>
      </c>
      <c r="B809" s="131" t="s">
        <v>26</v>
      </c>
      <c r="C809" s="131" t="s">
        <v>27</v>
      </c>
      <c r="D809" s="131" t="s">
        <v>28</v>
      </c>
      <c r="E809" s="131" t="s">
        <v>29</v>
      </c>
      <c r="F809" s="129">
        <v>46084</v>
      </c>
      <c r="G809" s="131"/>
      <c r="H809" s="131" t="s">
        <v>3474</v>
      </c>
      <c r="I809" s="131" t="s">
        <v>3433</v>
      </c>
      <c r="J809" s="131" t="s">
        <v>165</v>
      </c>
      <c r="K809" s="131" t="s">
        <v>33</v>
      </c>
      <c r="L809" s="131" t="s">
        <v>3454</v>
      </c>
      <c r="M809" s="131"/>
      <c r="N809" s="131" t="s">
        <v>499</v>
      </c>
      <c r="O809" s="131">
        <v>1</v>
      </c>
      <c r="P809" s="131"/>
      <c r="Q809" s="131"/>
      <c r="R809" s="34">
        <v>45</v>
      </c>
      <c r="S809" s="131"/>
      <c r="T809" s="58">
        <v>0</v>
      </c>
      <c r="U809" s="131"/>
      <c r="V809" s="131"/>
      <c r="W809" s="131"/>
      <c r="X809" s="131"/>
    </row>
    <row r="810" spans="1:24" ht="15" thickBot="1">
      <c r="A810" s="131" t="s">
        <v>25</v>
      </c>
      <c r="B810" s="131" t="s">
        <v>26</v>
      </c>
      <c r="C810" s="131" t="s">
        <v>27</v>
      </c>
      <c r="D810" s="131" t="s">
        <v>28</v>
      </c>
      <c r="E810" s="131" t="s">
        <v>29</v>
      </c>
      <c r="F810" s="129">
        <v>46084</v>
      </c>
      <c r="G810" s="131"/>
      <c r="H810" s="131" t="s">
        <v>3475</v>
      </c>
      <c r="I810" s="131" t="s">
        <v>3434</v>
      </c>
      <c r="J810" s="127" t="s">
        <v>3485</v>
      </c>
      <c r="K810" s="131" t="s">
        <v>33</v>
      </c>
      <c r="L810" s="131" t="s">
        <v>3455</v>
      </c>
      <c r="M810" s="131"/>
      <c r="N810" s="131" t="s">
        <v>499</v>
      </c>
      <c r="O810" s="131">
        <v>1</v>
      </c>
      <c r="P810" s="131"/>
      <c r="Q810" s="131"/>
      <c r="R810" s="34">
        <v>45</v>
      </c>
      <c r="S810" s="131"/>
      <c r="T810" s="58">
        <v>0</v>
      </c>
      <c r="U810" s="131"/>
      <c r="V810" s="131"/>
      <c r="W810" s="131"/>
      <c r="X810" s="131"/>
    </row>
    <row r="811" spans="1:24" ht="15" thickBot="1">
      <c r="A811" s="131" t="s">
        <v>25</v>
      </c>
      <c r="B811" s="131" t="s">
        <v>26</v>
      </c>
      <c r="C811" s="131" t="s">
        <v>27</v>
      </c>
      <c r="D811" s="131" t="s">
        <v>28</v>
      </c>
      <c r="E811" s="131" t="s">
        <v>29</v>
      </c>
      <c r="F811" s="129">
        <v>46084</v>
      </c>
      <c r="G811" s="131"/>
      <c r="H811" s="131" t="s">
        <v>3476</v>
      </c>
      <c r="I811" s="131" t="s">
        <v>3435</v>
      </c>
      <c r="J811" s="131" t="s">
        <v>3288</v>
      </c>
      <c r="K811" s="131" t="s">
        <v>33</v>
      </c>
      <c r="L811" s="131" t="s">
        <v>3456</v>
      </c>
      <c r="M811" s="127" t="s">
        <v>3486</v>
      </c>
      <c r="N811" s="131" t="s">
        <v>499</v>
      </c>
      <c r="O811" s="131">
        <v>1</v>
      </c>
      <c r="P811" s="131"/>
      <c r="Q811" s="131"/>
      <c r="R811" s="34">
        <v>45</v>
      </c>
      <c r="S811" s="131"/>
      <c r="T811" s="58">
        <v>0</v>
      </c>
      <c r="U811" s="131"/>
      <c r="V811" s="131"/>
      <c r="W811" s="131"/>
      <c r="X811" s="131"/>
    </row>
    <row r="812" spans="1:24" ht="15" thickBot="1">
      <c r="A812" s="131" t="s">
        <v>25</v>
      </c>
      <c r="B812" s="131" t="s">
        <v>26</v>
      </c>
      <c r="C812" s="131" t="s">
        <v>27</v>
      </c>
      <c r="D812" s="131" t="s">
        <v>28</v>
      </c>
      <c r="E812" s="131" t="s">
        <v>29</v>
      </c>
      <c r="F812" s="129">
        <v>46084</v>
      </c>
      <c r="G812" s="131"/>
      <c r="H812" s="131" t="s">
        <v>3477</v>
      </c>
      <c r="I812" s="131" t="s">
        <v>3436</v>
      </c>
      <c r="J812" s="131" t="s">
        <v>180</v>
      </c>
      <c r="K812" s="131" t="s">
        <v>48</v>
      </c>
      <c r="L812" s="131" t="s">
        <v>3457</v>
      </c>
      <c r="M812" s="131"/>
      <c r="N812" s="131" t="s">
        <v>499</v>
      </c>
      <c r="O812" s="131">
        <v>1</v>
      </c>
      <c r="P812" s="131"/>
      <c r="Q812" s="131"/>
      <c r="R812" s="34">
        <v>45</v>
      </c>
      <c r="S812" s="131"/>
      <c r="T812" s="58">
        <v>0</v>
      </c>
      <c r="U812" s="131"/>
      <c r="V812" s="131"/>
      <c r="W812" s="131"/>
      <c r="X812" s="131"/>
    </row>
    <row r="813" spans="1:24" ht="15" thickBot="1">
      <c r="A813" s="131" t="s">
        <v>25</v>
      </c>
      <c r="B813" s="131" t="s">
        <v>26</v>
      </c>
      <c r="C813" s="131" t="s">
        <v>27</v>
      </c>
      <c r="D813" s="131" t="s">
        <v>28</v>
      </c>
      <c r="E813" s="131" t="s">
        <v>29</v>
      </c>
      <c r="F813" s="129">
        <v>46084</v>
      </c>
      <c r="G813" s="131"/>
      <c r="H813" s="131" t="s">
        <v>3478</v>
      </c>
      <c r="I813" s="131" t="s">
        <v>3437</v>
      </c>
      <c r="J813" s="131" t="s">
        <v>180</v>
      </c>
      <c r="K813" s="131" t="s">
        <v>48</v>
      </c>
      <c r="L813" s="131" t="s">
        <v>701</v>
      </c>
      <c r="M813" s="131"/>
      <c r="N813" s="131" t="s">
        <v>499</v>
      </c>
      <c r="O813" s="131">
        <v>1</v>
      </c>
      <c r="P813" s="131"/>
      <c r="Q813" s="131"/>
      <c r="R813" s="34">
        <v>45</v>
      </c>
      <c r="S813" s="131"/>
      <c r="T813" s="58">
        <v>0</v>
      </c>
      <c r="U813" s="131"/>
      <c r="V813" s="131"/>
      <c r="W813" s="131"/>
      <c r="X813" s="131"/>
    </row>
    <row r="814" spans="1:24" ht="15" thickBot="1">
      <c r="A814" s="131" t="s">
        <v>25</v>
      </c>
      <c r="B814" s="131" t="s">
        <v>26</v>
      </c>
      <c r="C814" s="131" t="s">
        <v>27</v>
      </c>
      <c r="D814" s="131" t="s">
        <v>28</v>
      </c>
      <c r="E814" s="131" t="s">
        <v>29</v>
      </c>
      <c r="F814" s="129">
        <v>46084</v>
      </c>
      <c r="G814" s="131"/>
      <c r="H814" s="131" t="s">
        <v>1685</v>
      </c>
      <c r="I814" s="131" t="s">
        <v>1686</v>
      </c>
      <c r="J814" s="131" t="s">
        <v>165</v>
      </c>
      <c r="K814" s="131" t="s">
        <v>33</v>
      </c>
      <c r="L814" s="131" t="s">
        <v>3338</v>
      </c>
      <c r="M814" s="131"/>
      <c r="N814" s="131" t="s">
        <v>499</v>
      </c>
      <c r="O814" s="131">
        <v>1</v>
      </c>
      <c r="P814" s="131"/>
      <c r="Q814" s="131"/>
      <c r="R814" s="34">
        <v>45</v>
      </c>
      <c r="S814" s="131"/>
      <c r="T814" s="58">
        <v>0</v>
      </c>
      <c r="U814" s="131"/>
      <c r="V814" s="131"/>
      <c r="W814" s="131"/>
      <c r="X814" s="131"/>
    </row>
    <row r="815" spans="1:24" ht="15" thickBot="1">
      <c r="A815" s="131" t="s">
        <v>25</v>
      </c>
      <c r="B815" s="131" t="s">
        <v>26</v>
      </c>
      <c r="C815" s="131" t="s">
        <v>27</v>
      </c>
      <c r="D815" s="131" t="s">
        <v>28</v>
      </c>
      <c r="E815" s="131" t="s">
        <v>29</v>
      </c>
      <c r="F815" s="129">
        <v>46084</v>
      </c>
      <c r="G815" s="131"/>
      <c r="H815" s="131" t="s">
        <v>934</v>
      </c>
      <c r="I815" s="131" t="s">
        <v>935</v>
      </c>
      <c r="J815" s="131" t="s">
        <v>172</v>
      </c>
      <c r="K815" s="131" t="s">
        <v>48</v>
      </c>
      <c r="L815" s="131" t="s">
        <v>3458</v>
      </c>
      <c r="M815" s="131"/>
      <c r="N815" s="131" t="s">
        <v>499</v>
      </c>
      <c r="O815" s="131">
        <v>1</v>
      </c>
      <c r="P815" s="131"/>
      <c r="Q815" s="131"/>
      <c r="R815" s="34">
        <v>45</v>
      </c>
      <c r="S815" s="131"/>
      <c r="T815" s="58">
        <v>0</v>
      </c>
      <c r="U815" s="131"/>
      <c r="V815" s="131"/>
      <c r="W815" s="131"/>
      <c r="X815" s="131"/>
    </row>
    <row r="816" spans="1:24" ht="15" thickBot="1">
      <c r="A816" s="131" t="s">
        <v>25</v>
      </c>
      <c r="B816" s="131" t="s">
        <v>26</v>
      </c>
      <c r="C816" s="131" t="s">
        <v>27</v>
      </c>
      <c r="D816" s="131" t="s">
        <v>28</v>
      </c>
      <c r="E816" s="131" t="s">
        <v>29</v>
      </c>
      <c r="F816" s="129">
        <v>46084</v>
      </c>
      <c r="G816" s="131"/>
      <c r="H816" s="131" t="s">
        <v>3479</v>
      </c>
      <c r="I816" s="131" t="s">
        <v>3438</v>
      </c>
      <c r="J816" s="131" t="s">
        <v>172</v>
      </c>
      <c r="K816" s="131" t="s">
        <v>48</v>
      </c>
      <c r="L816" s="131" t="s">
        <v>3459</v>
      </c>
      <c r="M816" s="131"/>
      <c r="N816" s="131" t="s">
        <v>499</v>
      </c>
      <c r="O816" s="131">
        <v>1</v>
      </c>
      <c r="P816" s="131"/>
      <c r="Q816" s="131"/>
      <c r="R816" s="34">
        <v>45</v>
      </c>
      <c r="S816" s="131"/>
      <c r="T816" s="58">
        <v>0</v>
      </c>
      <c r="U816" s="131"/>
      <c r="V816" s="131"/>
      <c r="W816" s="131"/>
      <c r="X816" s="131"/>
    </row>
    <row r="817" spans="1:24" ht="15" thickBot="1">
      <c r="A817" s="131" t="s">
        <v>25</v>
      </c>
      <c r="B817" s="131" t="s">
        <v>26</v>
      </c>
      <c r="C817" s="131" t="s">
        <v>27</v>
      </c>
      <c r="D817" s="131" t="s">
        <v>28</v>
      </c>
      <c r="E817" s="131" t="s">
        <v>29</v>
      </c>
      <c r="F817" s="129">
        <v>46084</v>
      </c>
      <c r="G817" s="131"/>
      <c r="H817" s="131" t="s">
        <v>1803</v>
      </c>
      <c r="I817" s="131" t="s">
        <v>1804</v>
      </c>
      <c r="J817" s="131" t="s">
        <v>172</v>
      </c>
      <c r="K817" s="131" t="s">
        <v>48</v>
      </c>
      <c r="L817" s="131" t="s">
        <v>3445</v>
      </c>
      <c r="M817" s="131"/>
      <c r="N817" s="131" t="s">
        <v>499</v>
      </c>
      <c r="O817" s="131">
        <v>1</v>
      </c>
      <c r="P817" s="131"/>
      <c r="Q817" s="131"/>
      <c r="R817" s="34">
        <v>45</v>
      </c>
      <c r="S817" s="131"/>
      <c r="T817" s="58">
        <v>0</v>
      </c>
      <c r="U817" s="131"/>
      <c r="V817" s="131"/>
      <c r="W817" s="131"/>
      <c r="X817" s="131"/>
    </row>
    <row r="818" spans="1:24" ht="15" thickBot="1">
      <c r="A818" s="131" t="s">
        <v>25</v>
      </c>
      <c r="B818" s="131" t="s">
        <v>26</v>
      </c>
      <c r="C818" s="131" t="s">
        <v>27</v>
      </c>
      <c r="D818" s="131" t="s">
        <v>28</v>
      </c>
      <c r="E818" s="131" t="s">
        <v>29</v>
      </c>
      <c r="F818" s="129">
        <v>46084</v>
      </c>
      <c r="G818" s="131"/>
      <c r="H818" s="131" t="s">
        <v>3480</v>
      </c>
      <c r="I818" s="131" t="s">
        <v>3439</v>
      </c>
      <c r="J818" s="131" t="s">
        <v>172</v>
      </c>
      <c r="K818" s="131" t="s">
        <v>48</v>
      </c>
      <c r="L818" s="131" t="s">
        <v>3460</v>
      </c>
      <c r="M818" s="131"/>
      <c r="N818" s="131" t="s">
        <v>499</v>
      </c>
      <c r="O818" s="131">
        <v>1</v>
      </c>
      <c r="P818" s="131"/>
      <c r="Q818" s="131"/>
      <c r="R818" s="34">
        <v>45</v>
      </c>
      <c r="S818" s="131"/>
      <c r="T818" s="58">
        <v>0</v>
      </c>
      <c r="U818" s="131"/>
      <c r="V818" s="131"/>
      <c r="W818" s="131"/>
      <c r="X818" s="131"/>
    </row>
    <row r="819" spans="1:24" ht="15" thickBot="1">
      <c r="A819" s="131" t="s">
        <v>25</v>
      </c>
      <c r="B819" s="131" t="s">
        <v>26</v>
      </c>
      <c r="C819" s="131" t="s">
        <v>27</v>
      </c>
      <c r="D819" s="131" t="s">
        <v>28</v>
      </c>
      <c r="E819" s="131" t="s">
        <v>29</v>
      </c>
      <c r="F819" s="129">
        <v>46084</v>
      </c>
      <c r="G819" s="131"/>
      <c r="H819" s="131" t="s">
        <v>1534</v>
      </c>
      <c r="I819" s="131" t="s">
        <v>1535</v>
      </c>
      <c r="J819" s="131" t="s">
        <v>165</v>
      </c>
      <c r="K819" s="131" t="s">
        <v>33</v>
      </c>
      <c r="L819" s="131" t="s">
        <v>3335</v>
      </c>
      <c r="M819" s="131"/>
      <c r="N819" s="131" t="s">
        <v>499</v>
      </c>
      <c r="O819" s="131">
        <v>1</v>
      </c>
      <c r="P819" s="131"/>
      <c r="Q819" s="131"/>
      <c r="R819" s="34">
        <v>45</v>
      </c>
      <c r="S819" s="131"/>
      <c r="T819" s="58">
        <v>0</v>
      </c>
      <c r="U819" s="131"/>
      <c r="V819" s="131"/>
      <c r="W819" s="131"/>
      <c r="X819" s="131"/>
    </row>
    <row r="820" spans="1:24" ht="15" thickBot="1">
      <c r="A820" s="131" t="s">
        <v>25</v>
      </c>
      <c r="B820" s="131" t="s">
        <v>26</v>
      </c>
      <c r="C820" s="131" t="s">
        <v>27</v>
      </c>
      <c r="D820" s="131" t="s">
        <v>28</v>
      </c>
      <c r="E820" s="131" t="s">
        <v>29</v>
      </c>
      <c r="F820" s="129">
        <v>46084</v>
      </c>
      <c r="G820" s="131"/>
      <c r="H820" s="131" t="s">
        <v>3481</v>
      </c>
      <c r="I820" s="131" t="s">
        <v>3440</v>
      </c>
      <c r="J820" s="127" t="s">
        <v>3485</v>
      </c>
      <c r="K820" s="131" t="s">
        <v>33</v>
      </c>
      <c r="L820" s="131" t="s">
        <v>3461</v>
      </c>
      <c r="M820" s="131"/>
      <c r="N820" s="131" t="s">
        <v>499</v>
      </c>
      <c r="O820" s="131">
        <v>1</v>
      </c>
      <c r="P820" s="131"/>
      <c r="Q820" s="131"/>
      <c r="R820" s="34">
        <v>45</v>
      </c>
      <c r="S820" s="131"/>
      <c r="T820" s="58">
        <v>0</v>
      </c>
      <c r="U820" s="131"/>
      <c r="V820" s="131"/>
      <c r="W820" s="131"/>
      <c r="X820" s="131"/>
    </row>
    <row r="821" spans="1:24" ht="15" thickBot="1">
      <c r="A821" s="131" t="s">
        <v>25</v>
      </c>
      <c r="B821" s="131" t="s">
        <v>26</v>
      </c>
      <c r="C821" s="131" t="s">
        <v>27</v>
      </c>
      <c r="D821" s="131" t="s">
        <v>28</v>
      </c>
      <c r="E821" s="131" t="s">
        <v>29</v>
      </c>
      <c r="F821" s="129">
        <v>46084</v>
      </c>
      <c r="G821" s="131"/>
      <c r="H821" s="131" t="s">
        <v>3482</v>
      </c>
      <c r="I821" s="131" t="s">
        <v>3441</v>
      </c>
      <c r="J821" s="131" t="s">
        <v>3288</v>
      </c>
      <c r="K821" s="131" t="s">
        <v>33</v>
      </c>
      <c r="L821" s="131" t="s">
        <v>3462</v>
      </c>
      <c r="M821" s="131"/>
      <c r="N821" s="131" t="s">
        <v>499</v>
      </c>
      <c r="O821" s="131">
        <v>1</v>
      </c>
      <c r="P821" s="131"/>
      <c r="Q821" s="131"/>
      <c r="R821" s="34">
        <v>45</v>
      </c>
      <c r="S821" s="131"/>
      <c r="T821" s="58">
        <v>0</v>
      </c>
      <c r="U821" s="131"/>
      <c r="V821" s="131"/>
      <c r="W821" s="131"/>
      <c r="X821" s="131"/>
    </row>
    <row r="822" spans="1:24" ht="15" thickBot="1">
      <c r="A822" s="131" t="s">
        <v>25</v>
      </c>
      <c r="B822" s="131" t="s">
        <v>26</v>
      </c>
      <c r="C822" s="131" t="s">
        <v>27</v>
      </c>
      <c r="D822" s="131" t="s">
        <v>28</v>
      </c>
      <c r="E822" s="131" t="s">
        <v>29</v>
      </c>
      <c r="F822" s="129">
        <v>46084</v>
      </c>
      <c r="G822" s="131"/>
      <c r="H822" s="131" t="s">
        <v>3483</v>
      </c>
      <c r="I822" s="131" t="s">
        <v>3442</v>
      </c>
      <c r="J822" s="131" t="s">
        <v>3288</v>
      </c>
      <c r="K822" s="131" t="s">
        <v>33</v>
      </c>
      <c r="L822" s="131" t="s">
        <v>3463</v>
      </c>
      <c r="M822" s="131"/>
      <c r="N822" s="131" t="s">
        <v>499</v>
      </c>
      <c r="O822" s="131">
        <v>1</v>
      </c>
      <c r="P822" s="131"/>
      <c r="Q822" s="131"/>
      <c r="R822" s="34">
        <v>45</v>
      </c>
      <c r="S822" s="131"/>
      <c r="T822" s="58">
        <v>0</v>
      </c>
      <c r="U822" s="131"/>
      <c r="V822" s="131"/>
      <c r="W822" s="131"/>
      <c r="X822" s="131"/>
    </row>
    <row r="823" spans="1:24" ht="15" thickBot="1">
      <c r="A823" s="131" t="s">
        <v>25</v>
      </c>
      <c r="B823" s="131" t="s">
        <v>26</v>
      </c>
      <c r="C823" s="131" t="s">
        <v>27</v>
      </c>
      <c r="D823" s="131" t="s">
        <v>28</v>
      </c>
      <c r="E823" s="131" t="s">
        <v>29</v>
      </c>
      <c r="F823" s="129">
        <v>46084</v>
      </c>
      <c r="G823" s="131"/>
      <c r="H823" s="131" t="s">
        <v>925</v>
      </c>
      <c r="I823" s="131" t="s">
        <v>926</v>
      </c>
      <c r="J823" s="131" t="s">
        <v>172</v>
      </c>
      <c r="K823" s="131" t="s">
        <v>48</v>
      </c>
      <c r="L823" s="131" t="s">
        <v>1540</v>
      </c>
      <c r="M823" s="131"/>
      <c r="N823" s="131" t="s">
        <v>499</v>
      </c>
      <c r="O823" s="131">
        <v>1</v>
      </c>
      <c r="P823" s="131"/>
      <c r="Q823" s="131"/>
      <c r="R823" s="34">
        <v>45</v>
      </c>
      <c r="S823" s="131"/>
      <c r="T823" s="58">
        <v>0</v>
      </c>
      <c r="U823" s="131"/>
      <c r="V823" s="131"/>
      <c r="W823" s="131"/>
      <c r="X823" s="131"/>
    </row>
    <row r="824" spans="1:24" ht="15" thickBot="1">
      <c r="A824" s="131" t="s">
        <v>25</v>
      </c>
      <c r="B824" s="131" t="s">
        <v>26</v>
      </c>
      <c r="C824" s="131" t="s">
        <v>27</v>
      </c>
      <c r="D824" s="131" t="s">
        <v>28</v>
      </c>
      <c r="E824" s="131" t="s">
        <v>29</v>
      </c>
      <c r="F824" s="129">
        <v>46084</v>
      </c>
      <c r="G824" s="131"/>
      <c r="H824" s="131" t="s">
        <v>3484</v>
      </c>
      <c r="I824" s="131" t="s">
        <v>3443</v>
      </c>
      <c r="J824" s="131" t="s">
        <v>3281</v>
      </c>
      <c r="K824" s="131" t="s">
        <v>48</v>
      </c>
      <c r="L824" s="131" t="s">
        <v>3464</v>
      </c>
      <c r="M824" s="131"/>
      <c r="N824" s="131" t="s">
        <v>499</v>
      </c>
      <c r="O824" s="131">
        <v>1</v>
      </c>
      <c r="P824" s="131"/>
      <c r="Q824" s="131"/>
      <c r="R824" s="34">
        <v>45</v>
      </c>
      <c r="S824" s="131"/>
      <c r="T824" s="58">
        <v>0</v>
      </c>
      <c r="U824" s="131"/>
      <c r="V824" s="131"/>
      <c r="W824" s="131"/>
      <c r="X824" s="131"/>
    </row>
    <row r="825" spans="1:24" ht="15" thickBot="1">
      <c r="A825" s="131" t="s">
        <v>25</v>
      </c>
      <c r="B825" s="131" t="s">
        <v>26</v>
      </c>
      <c r="C825" s="131" t="s">
        <v>27</v>
      </c>
      <c r="D825" s="131" t="s">
        <v>28</v>
      </c>
      <c r="E825" s="131" t="s">
        <v>29</v>
      </c>
      <c r="F825" s="129">
        <v>46084</v>
      </c>
      <c r="G825" s="131"/>
      <c r="H825" s="131" t="s">
        <v>2272</v>
      </c>
      <c r="I825" s="131" t="s">
        <v>2273</v>
      </c>
      <c r="J825" s="131" t="s">
        <v>165</v>
      </c>
      <c r="K825" s="131" t="s">
        <v>33</v>
      </c>
      <c r="L825" s="131" t="s">
        <v>2000</v>
      </c>
      <c r="M825" s="131"/>
      <c r="N825" s="131" t="s">
        <v>499</v>
      </c>
      <c r="O825" s="131">
        <v>1</v>
      </c>
      <c r="P825" s="131"/>
      <c r="Q825" s="131"/>
      <c r="R825" s="34">
        <v>45</v>
      </c>
      <c r="S825" s="131"/>
      <c r="T825" s="58">
        <v>0</v>
      </c>
      <c r="U825" s="131"/>
      <c r="V825" s="131"/>
      <c r="W825" s="131"/>
      <c r="X825" s="131"/>
    </row>
    <row r="826" spans="1:24" ht="15" thickBot="1">
      <c r="A826" s="4" t="s">
        <v>25</v>
      </c>
      <c r="B826" s="4" t="s">
        <v>26</v>
      </c>
      <c r="C826" s="4">
        <v>682687160</v>
      </c>
      <c r="D826" s="4" t="s">
        <v>1164</v>
      </c>
      <c r="E826" s="4" t="s">
        <v>1268</v>
      </c>
      <c r="F826" s="129">
        <v>46085</v>
      </c>
      <c r="G826" s="131"/>
      <c r="H826" s="131" t="s">
        <v>3488</v>
      </c>
      <c r="I826" s="131" t="s">
        <v>3496</v>
      </c>
      <c r="J826" s="131" t="s">
        <v>485</v>
      </c>
      <c r="K826" s="131" t="s">
        <v>48</v>
      </c>
      <c r="L826" s="131" t="s">
        <v>3504</v>
      </c>
      <c r="M826" s="131"/>
      <c r="N826" s="131" t="s">
        <v>499</v>
      </c>
      <c r="O826" s="131">
        <v>1</v>
      </c>
      <c r="P826" s="131"/>
      <c r="Q826" s="131"/>
      <c r="R826" s="34">
        <v>45</v>
      </c>
      <c r="S826" s="131"/>
      <c r="T826" s="58">
        <v>0</v>
      </c>
      <c r="U826" s="131"/>
      <c r="V826" s="131"/>
      <c r="W826" s="131"/>
      <c r="X826" s="131"/>
    </row>
    <row r="827" spans="1:24" ht="15" thickBot="1">
      <c r="A827" s="4" t="s">
        <v>25</v>
      </c>
      <c r="B827" s="4" t="s">
        <v>26</v>
      </c>
      <c r="C827" s="4">
        <v>682687160</v>
      </c>
      <c r="D827" s="4" t="s">
        <v>1164</v>
      </c>
      <c r="E827" s="4" t="s">
        <v>1268</v>
      </c>
      <c r="F827" s="129">
        <v>46085</v>
      </c>
      <c r="G827" s="131"/>
      <c r="H827" s="131" t="s">
        <v>3489</v>
      </c>
      <c r="I827" s="131" t="s">
        <v>3497</v>
      </c>
      <c r="J827" s="131" t="s">
        <v>397</v>
      </c>
      <c r="K827" s="131" t="s">
        <v>48</v>
      </c>
      <c r="L827" s="131" t="s">
        <v>3505</v>
      </c>
      <c r="M827" s="131"/>
      <c r="N827" s="131" t="s">
        <v>499</v>
      </c>
      <c r="O827" s="131">
        <v>1</v>
      </c>
      <c r="P827" s="131"/>
      <c r="Q827" s="131"/>
      <c r="R827" s="34">
        <v>45</v>
      </c>
      <c r="S827" s="131"/>
      <c r="T827" s="58">
        <v>0</v>
      </c>
      <c r="U827" s="131"/>
      <c r="V827" s="131"/>
      <c r="W827" s="131"/>
      <c r="X827" s="131"/>
    </row>
    <row r="828" spans="1:24" ht="15" thickBot="1">
      <c r="A828" s="4" t="s">
        <v>25</v>
      </c>
      <c r="B828" s="4" t="s">
        <v>26</v>
      </c>
      <c r="C828" s="4">
        <v>682687160</v>
      </c>
      <c r="D828" s="4" t="s">
        <v>1164</v>
      </c>
      <c r="E828" s="4" t="s">
        <v>1268</v>
      </c>
      <c r="F828" s="129">
        <v>46085</v>
      </c>
      <c r="G828" s="131"/>
      <c r="H828" s="131" t="s">
        <v>3490</v>
      </c>
      <c r="I828" s="131" t="s">
        <v>3498</v>
      </c>
      <c r="J828" s="131" t="s">
        <v>160</v>
      </c>
      <c r="K828" s="131" t="s">
        <v>33</v>
      </c>
      <c r="L828" s="131" t="s">
        <v>213</v>
      </c>
      <c r="M828" s="131"/>
      <c r="N828" s="131" t="s">
        <v>499</v>
      </c>
      <c r="O828" s="131">
        <v>1</v>
      </c>
      <c r="P828" s="131"/>
      <c r="Q828" s="131"/>
      <c r="R828" s="34">
        <v>45</v>
      </c>
      <c r="S828" s="131"/>
      <c r="T828" s="58">
        <v>0</v>
      </c>
      <c r="U828" s="131"/>
      <c r="V828" s="131"/>
      <c r="W828" s="131"/>
      <c r="X828" s="131"/>
    </row>
    <row r="829" spans="1:24" ht="15" thickBot="1">
      <c r="A829" s="4" t="s">
        <v>25</v>
      </c>
      <c r="B829" s="4" t="s">
        <v>26</v>
      </c>
      <c r="C829" s="4">
        <v>682687160</v>
      </c>
      <c r="D829" s="4" t="s">
        <v>1164</v>
      </c>
      <c r="E829" s="4" t="s">
        <v>1268</v>
      </c>
      <c r="F829" s="129">
        <v>46085</v>
      </c>
      <c r="G829" s="131"/>
      <c r="H829" s="131" t="s">
        <v>3491</v>
      </c>
      <c r="I829" s="131" t="s">
        <v>3499</v>
      </c>
      <c r="J829" s="131" t="s">
        <v>382</v>
      </c>
      <c r="K829" s="131" t="s">
        <v>33</v>
      </c>
      <c r="L829" s="131" t="s">
        <v>213</v>
      </c>
      <c r="M829" s="131"/>
      <c r="N829" s="131" t="s">
        <v>499</v>
      </c>
      <c r="O829" s="131">
        <v>1</v>
      </c>
      <c r="P829" s="131"/>
      <c r="Q829" s="131"/>
      <c r="R829" s="34">
        <v>45</v>
      </c>
      <c r="S829" s="131"/>
      <c r="T829" s="58">
        <v>0</v>
      </c>
      <c r="U829" s="131"/>
      <c r="V829" s="131"/>
      <c r="W829" s="131"/>
      <c r="X829" s="131"/>
    </row>
    <row r="830" spans="1:24" ht="15" thickBot="1">
      <c r="A830" s="4" t="s">
        <v>25</v>
      </c>
      <c r="B830" s="4" t="s">
        <v>26</v>
      </c>
      <c r="C830" s="4">
        <v>682687160</v>
      </c>
      <c r="D830" s="4" t="s">
        <v>1164</v>
      </c>
      <c r="E830" s="4" t="s">
        <v>1268</v>
      </c>
      <c r="F830" s="129">
        <v>46085</v>
      </c>
      <c r="G830" s="131"/>
      <c r="H830" s="131" t="s">
        <v>3492</v>
      </c>
      <c r="I830" s="131" t="s">
        <v>3500</v>
      </c>
      <c r="J830" s="131" t="s">
        <v>201</v>
      </c>
      <c r="K830" s="131" t="s">
        <v>48</v>
      </c>
      <c r="L830" s="131" t="s">
        <v>3506</v>
      </c>
      <c r="M830" s="131"/>
      <c r="N830" s="131" t="s">
        <v>499</v>
      </c>
      <c r="O830" s="131">
        <v>1</v>
      </c>
      <c r="P830" s="131"/>
      <c r="Q830" s="131"/>
      <c r="R830" s="34">
        <v>45</v>
      </c>
      <c r="S830" s="131"/>
      <c r="T830" s="58">
        <v>0</v>
      </c>
      <c r="U830" s="131"/>
      <c r="V830" s="131"/>
      <c r="W830" s="131"/>
      <c r="X830" s="131"/>
    </row>
    <row r="831" spans="1:24" ht="15" thickBot="1">
      <c r="A831" s="4" t="s">
        <v>25</v>
      </c>
      <c r="B831" s="4" t="s">
        <v>26</v>
      </c>
      <c r="C831" s="4">
        <v>682687160</v>
      </c>
      <c r="D831" s="4" t="s">
        <v>1164</v>
      </c>
      <c r="E831" s="4" t="s">
        <v>1268</v>
      </c>
      <c r="F831" s="129">
        <v>46085</v>
      </c>
      <c r="G831" s="131"/>
      <c r="H831" s="131" t="s">
        <v>3493</v>
      </c>
      <c r="I831" s="131" t="s">
        <v>3501</v>
      </c>
      <c r="J831" s="131" t="s">
        <v>502</v>
      </c>
      <c r="K831" s="131" t="s">
        <v>33</v>
      </c>
      <c r="L831" s="131" t="s">
        <v>3507</v>
      </c>
      <c r="M831" s="131"/>
      <c r="N831" s="131" t="s">
        <v>499</v>
      </c>
      <c r="O831" s="131">
        <v>1</v>
      </c>
      <c r="P831" s="131"/>
      <c r="Q831" s="131"/>
      <c r="R831" s="34">
        <v>45</v>
      </c>
      <c r="S831" s="131"/>
      <c r="T831" s="58">
        <v>0</v>
      </c>
      <c r="U831" s="131"/>
      <c r="V831" s="131"/>
      <c r="W831" s="131"/>
      <c r="X831" s="131"/>
    </row>
    <row r="832" spans="1:24" ht="15" thickBot="1">
      <c r="A832" s="4" t="s">
        <v>25</v>
      </c>
      <c r="B832" s="4" t="s">
        <v>26</v>
      </c>
      <c r="C832" s="4">
        <v>682687160</v>
      </c>
      <c r="D832" s="4" t="s">
        <v>1164</v>
      </c>
      <c r="E832" s="4" t="s">
        <v>1268</v>
      </c>
      <c r="F832" s="129">
        <v>46085</v>
      </c>
      <c r="G832" s="131"/>
      <c r="H832" s="131" t="s">
        <v>3494</v>
      </c>
      <c r="I832" s="131" t="s">
        <v>3502</v>
      </c>
      <c r="J832" s="131" t="s">
        <v>201</v>
      </c>
      <c r="K832" s="131" t="s">
        <v>48</v>
      </c>
      <c r="L832" s="131" t="s">
        <v>3508</v>
      </c>
      <c r="M832" s="131"/>
      <c r="N832" s="131" t="s">
        <v>499</v>
      </c>
      <c r="O832" s="131">
        <v>1</v>
      </c>
      <c r="P832" s="131"/>
      <c r="Q832" s="131"/>
      <c r="R832" s="34">
        <v>45</v>
      </c>
      <c r="S832" s="131"/>
      <c r="T832" s="58">
        <v>0</v>
      </c>
      <c r="U832" s="131"/>
      <c r="V832" s="131"/>
      <c r="W832" s="131"/>
      <c r="X832" s="131"/>
    </row>
    <row r="833" spans="1:24" ht="15" thickBot="1">
      <c r="A833" s="4" t="s">
        <v>25</v>
      </c>
      <c r="B833" s="4" t="s">
        <v>26</v>
      </c>
      <c r="C833" s="4">
        <v>682687160</v>
      </c>
      <c r="D833" s="4" t="s">
        <v>1164</v>
      </c>
      <c r="E833" s="4" t="s">
        <v>1268</v>
      </c>
      <c r="F833" s="129">
        <v>46085</v>
      </c>
      <c r="G833" s="131"/>
      <c r="H833" s="131" t="s">
        <v>3495</v>
      </c>
      <c r="I833" s="131" t="s">
        <v>3503</v>
      </c>
      <c r="J833" s="131" t="s">
        <v>201</v>
      </c>
      <c r="K833" s="131" t="s">
        <v>48</v>
      </c>
      <c r="L833" s="131" t="s">
        <v>3509</v>
      </c>
      <c r="M833" s="131"/>
      <c r="N833" s="131" t="s">
        <v>499</v>
      </c>
      <c r="O833" s="131">
        <v>1</v>
      </c>
      <c r="P833" s="131"/>
      <c r="Q833" s="131"/>
      <c r="R833" s="34">
        <v>45</v>
      </c>
      <c r="S833" s="131"/>
      <c r="T833" s="58">
        <v>0</v>
      </c>
      <c r="U833" s="131"/>
      <c r="V833" s="131"/>
      <c r="W833" s="131"/>
      <c r="X833" s="131"/>
    </row>
    <row r="834" spans="1:24" ht="15" thickBot="1">
      <c r="A834" s="4" t="s">
        <v>154</v>
      </c>
      <c r="B834" s="4" t="s">
        <v>155</v>
      </c>
      <c r="C834" s="4">
        <v>616866669</v>
      </c>
      <c r="D834" s="4" t="s">
        <v>156</v>
      </c>
      <c r="E834" s="4" t="s">
        <v>599</v>
      </c>
      <c r="F834" s="129">
        <v>46099</v>
      </c>
      <c r="G834" s="131"/>
      <c r="H834" s="131" t="s">
        <v>1846</v>
      </c>
      <c r="I834" s="131" t="s">
        <v>3525</v>
      </c>
      <c r="J834" s="131" t="s">
        <v>165</v>
      </c>
      <c r="K834" s="131" t="s">
        <v>33</v>
      </c>
      <c r="L834" s="131" t="s">
        <v>351</v>
      </c>
      <c r="M834" s="127" t="s">
        <v>1847</v>
      </c>
      <c r="N834" s="131" t="s">
        <v>499</v>
      </c>
      <c r="O834" s="131">
        <v>1</v>
      </c>
      <c r="P834" s="131"/>
      <c r="Q834" s="131"/>
      <c r="R834" s="34">
        <v>45</v>
      </c>
      <c r="S834" s="131"/>
      <c r="T834" s="58">
        <v>0</v>
      </c>
      <c r="U834" s="131"/>
      <c r="V834" s="131"/>
      <c r="W834" s="131"/>
      <c r="X834" s="131"/>
    </row>
    <row r="835" spans="1:24" ht="15" thickBot="1">
      <c r="A835" s="4" t="s">
        <v>154</v>
      </c>
      <c r="B835" s="4" t="s">
        <v>155</v>
      </c>
      <c r="C835" s="4">
        <v>616866669</v>
      </c>
      <c r="D835" s="4" t="s">
        <v>156</v>
      </c>
      <c r="E835" s="4" t="s">
        <v>599</v>
      </c>
      <c r="F835" s="129">
        <v>46099</v>
      </c>
      <c r="G835" s="131"/>
      <c r="H835" s="131" t="s">
        <v>3510</v>
      </c>
      <c r="I835" s="127" t="s">
        <v>3539</v>
      </c>
      <c r="J835" s="131" t="s">
        <v>3526</v>
      </c>
      <c r="K835" s="131" t="s">
        <v>33</v>
      </c>
      <c r="L835" s="131" t="s">
        <v>241</v>
      </c>
      <c r="M835" s="131"/>
      <c r="N835" s="131" t="s">
        <v>499</v>
      </c>
      <c r="O835" s="131">
        <v>1</v>
      </c>
      <c r="P835" s="131"/>
      <c r="Q835" s="131"/>
      <c r="R835" s="34">
        <v>45</v>
      </c>
      <c r="S835" s="131"/>
      <c r="T835" s="58">
        <v>0</v>
      </c>
      <c r="U835" s="131"/>
      <c r="V835" s="131"/>
      <c r="W835" s="131"/>
      <c r="X835" s="131"/>
    </row>
    <row r="836" spans="1:24" ht="15" thickBot="1">
      <c r="A836" s="4" t="s">
        <v>154</v>
      </c>
      <c r="B836" s="4" t="s">
        <v>155</v>
      </c>
      <c r="C836" s="4">
        <v>616866669</v>
      </c>
      <c r="D836" s="4" t="s">
        <v>156</v>
      </c>
      <c r="E836" s="4" t="s">
        <v>599</v>
      </c>
      <c r="F836" s="129">
        <v>46099</v>
      </c>
      <c r="G836" s="131"/>
      <c r="H836" s="131" t="s">
        <v>3511</v>
      </c>
      <c r="I836" s="127" t="s">
        <v>3540</v>
      </c>
      <c r="J836" s="131" t="s">
        <v>3526</v>
      </c>
      <c r="K836" s="131" t="s">
        <v>33</v>
      </c>
      <c r="L836" s="131" t="s">
        <v>3528</v>
      </c>
      <c r="M836" s="131"/>
      <c r="N836" s="131" t="s">
        <v>499</v>
      </c>
      <c r="O836" s="131">
        <v>1</v>
      </c>
      <c r="P836" s="131"/>
      <c r="Q836" s="131"/>
      <c r="R836" s="34">
        <v>45</v>
      </c>
      <c r="S836" s="131"/>
      <c r="T836" s="58">
        <v>0</v>
      </c>
      <c r="U836" s="131"/>
      <c r="V836" s="131"/>
      <c r="W836" s="131"/>
      <c r="X836" s="131"/>
    </row>
    <row r="837" spans="1:24" ht="15" thickBot="1">
      <c r="A837" s="4" t="s">
        <v>154</v>
      </c>
      <c r="B837" s="4" t="s">
        <v>155</v>
      </c>
      <c r="C837" s="4">
        <v>616866669</v>
      </c>
      <c r="D837" s="4" t="s">
        <v>156</v>
      </c>
      <c r="E837" s="4" t="s">
        <v>599</v>
      </c>
      <c r="F837" s="129">
        <v>46099</v>
      </c>
      <c r="G837" s="131"/>
      <c r="H837" s="131" t="s">
        <v>3512</v>
      </c>
      <c r="I837" s="127" t="s">
        <v>3541</v>
      </c>
      <c r="J837" s="131" t="s">
        <v>3527</v>
      </c>
      <c r="K837" s="131" t="s">
        <v>33</v>
      </c>
      <c r="L837" s="131" t="s">
        <v>173</v>
      </c>
      <c r="M837" s="131"/>
      <c r="N837" s="131" t="s">
        <v>499</v>
      </c>
      <c r="O837" s="131">
        <v>1</v>
      </c>
      <c r="P837" s="131"/>
      <c r="Q837" s="131"/>
      <c r="R837" s="34">
        <v>45</v>
      </c>
      <c r="S837" s="131"/>
      <c r="T837" s="58">
        <v>0</v>
      </c>
      <c r="U837" s="131"/>
      <c r="V837" s="131"/>
      <c r="W837" s="131"/>
      <c r="X837" s="131"/>
    </row>
    <row r="838" spans="1:24" ht="15" thickBot="1">
      <c r="A838" s="4" t="s">
        <v>154</v>
      </c>
      <c r="B838" s="4" t="s">
        <v>155</v>
      </c>
      <c r="C838" s="4">
        <v>616866669</v>
      </c>
      <c r="D838" s="4" t="s">
        <v>156</v>
      </c>
      <c r="E838" s="4" t="s">
        <v>599</v>
      </c>
      <c r="F838" s="129">
        <v>46099</v>
      </c>
      <c r="G838" s="131"/>
      <c r="H838" s="131" t="s">
        <v>1905</v>
      </c>
      <c r="I838" s="127" t="s">
        <v>3542</v>
      </c>
      <c r="J838" s="131" t="s">
        <v>3527</v>
      </c>
      <c r="K838" s="131" t="s">
        <v>33</v>
      </c>
      <c r="L838" s="131" t="s">
        <v>3529</v>
      </c>
      <c r="M838" s="131"/>
      <c r="N838" s="131" t="s">
        <v>499</v>
      </c>
      <c r="O838" s="131">
        <v>1</v>
      </c>
      <c r="P838" s="131"/>
      <c r="Q838" s="131"/>
      <c r="R838" s="34">
        <v>45</v>
      </c>
      <c r="S838" s="131"/>
      <c r="T838" s="58">
        <v>0</v>
      </c>
      <c r="U838" s="131"/>
      <c r="V838" s="131"/>
      <c r="W838" s="131"/>
      <c r="X838" s="131"/>
    </row>
    <row r="839" spans="1:24" ht="15" thickBot="1">
      <c r="A839" s="4" t="s">
        <v>154</v>
      </c>
      <c r="B839" s="4" t="s">
        <v>155</v>
      </c>
      <c r="C839" s="4">
        <v>616866669</v>
      </c>
      <c r="D839" s="4" t="s">
        <v>156</v>
      </c>
      <c r="E839" s="4" t="s">
        <v>599</v>
      </c>
      <c r="F839" s="129">
        <v>46099</v>
      </c>
      <c r="G839" s="131"/>
      <c r="H839" s="131" t="s">
        <v>3513</v>
      </c>
      <c r="I839" s="127" t="s">
        <v>3543</v>
      </c>
      <c r="J839" s="131" t="s">
        <v>165</v>
      </c>
      <c r="K839" s="131" t="s">
        <v>33</v>
      </c>
      <c r="L839" s="131" t="s">
        <v>3530</v>
      </c>
      <c r="M839" s="131"/>
      <c r="N839" s="131" t="s">
        <v>499</v>
      </c>
      <c r="O839" s="131">
        <v>1</v>
      </c>
      <c r="P839" s="131"/>
      <c r="Q839" s="131"/>
      <c r="R839" s="34">
        <v>45</v>
      </c>
      <c r="S839" s="131"/>
      <c r="T839" s="58">
        <v>0</v>
      </c>
      <c r="U839" s="131"/>
      <c r="V839" s="131"/>
      <c r="W839" s="131"/>
      <c r="X839" s="131"/>
    </row>
    <row r="840" spans="1:24" ht="15" thickBot="1">
      <c r="A840" s="4" t="s">
        <v>154</v>
      </c>
      <c r="B840" s="4" t="s">
        <v>155</v>
      </c>
      <c r="C840" s="4">
        <v>616866669</v>
      </c>
      <c r="D840" s="4" t="s">
        <v>156</v>
      </c>
      <c r="E840" s="4" t="s">
        <v>599</v>
      </c>
      <c r="F840" s="129">
        <v>46099</v>
      </c>
      <c r="G840" s="131"/>
      <c r="H840" s="131" t="s">
        <v>3514</v>
      </c>
      <c r="I840" s="127" t="s">
        <v>3544</v>
      </c>
      <c r="J840" s="131" t="s">
        <v>3527</v>
      </c>
      <c r="K840" s="131" t="s">
        <v>33</v>
      </c>
      <c r="L840" s="131" t="s">
        <v>3531</v>
      </c>
      <c r="M840" s="131"/>
      <c r="N840" s="131" t="s">
        <v>499</v>
      </c>
      <c r="O840" s="131">
        <v>1</v>
      </c>
      <c r="P840" s="131"/>
      <c r="Q840" s="131"/>
      <c r="R840" s="34">
        <v>45</v>
      </c>
      <c r="S840" s="131"/>
      <c r="T840" s="58">
        <v>0</v>
      </c>
      <c r="U840" s="131"/>
      <c r="V840" s="131"/>
      <c r="W840" s="131"/>
      <c r="X840" s="131"/>
    </row>
    <row r="841" spans="1:24" ht="15" thickBot="1">
      <c r="A841" s="4" t="s">
        <v>154</v>
      </c>
      <c r="B841" s="4" t="s">
        <v>155</v>
      </c>
      <c r="C841" s="4">
        <v>616866669</v>
      </c>
      <c r="D841" s="4" t="s">
        <v>156</v>
      </c>
      <c r="E841" s="4" t="s">
        <v>599</v>
      </c>
      <c r="F841" s="129">
        <v>46099</v>
      </c>
      <c r="G841" s="131"/>
      <c r="H841" s="131" t="s">
        <v>3515</v>
      </c>
      <c r="I841" s="127" t="s">
        <v>3545</v>
      </c>
      <c r="J841" s="131" t="s">
        <v>172</v>
      </c>
      <c r="K841" s="131" t="s">
        <v>48</v>
      </c>
      <c r="L841" s="131" t="s">
        <v>3532</v>
      </c>
      <c r="M841" s="131"/>
      <c r="N841" s="131" t="s">
        <v>499</v>
      </c>
      <c r="O841" s="131">
        <v>1</v>
      </c>
      <c r="P841" s="131"/>
      <c r="Q841" s="131"/>
      <c r="R841" s="34">
        <v>45</v>
      </c>
      <c r="S841" s="131"/>
      <c r="T841" s="58">
        <v>0</v>
      </c>
      <c r="U841" s="131"/>
      <c r="V841" s="131"/>
      <c r="W841" s="131"/>
      <c r="X841" s="131"/>
    </row>
    <row r="842" spans="1:24" ht="15" thickBot="1">
      <c r="A842" s="4" t="s">
        <v>154</v>
      </c>
      <c r="B842" s="4" t="s">
        <v>155</v>
      </c>
      <c r="C842" s="4">
        <v>616866669</v>
      </c>
      <c r="D842" s="4" t="s">
        <v>156</v>
      </c>
      <c r="E842" s="4" t="s">
        <v>599</v>
      </c>
      <c r="F842" s="129">
        <v>46099</v>
      </c>
      <c r="G842" s="131"/>
      <c r="H842" s="131" t="s">
        <v>3516</v>
      </c>
      <c r="I842" s="127" t="s">
        <v>3546</v>
      </c>
      <c r="J842" s="131" t="s">
        <v>180</v>
      </c>
      <c r="K842" s="131" t="s">
        <v>48</v>
      </c>
      <c r="L842" s="131" t="s">
        <v>3533</v>
      </c>
      <c r="M842" s="131"/>
      <c r="N842" s="131" t="s">
        <v>499</v>
      </c>
      <c r="O842" s="131">
        <v>1</v>
      </c>
      <c r="P842" s="131"/>
      <c r="Q842" s="131"/>
      <c r="R842" s="34">
        <v>45</v>
      </c>
      <c r="S842" s="131"/>
      <c r="T842" s="58">
        <v>0</v>
      </c>
      <c r="U842" s="131"/>
      <c r="V842" s="131"/>
      <c r="W842" s="131"/>
      <c r="X842" s="131"/>
    </row>
    <row r="843" spans="1:24" ht="15" thickBot="1">
      <c r="A843" s="4" t="s">
        <v>154</v>
      </c>
      <c r="B843" s="4" t="s">
        <v>155</v>
      </c>
      <c r="C843" s="4">
        <v>616866669</v>
      </c>
      <c r="D843" s="4" t="s">
        <v>156</v>
      </c>
      <c r="E843" s="4" t="s">
        <v>599</v>
      </c>
      <c r="F843" s="129">
        <v>46099</v>
      </c>
      <c r="G843" s="131"/>
      <c r="H843" s="131" t="s">
        <v>3517</v>
      </c>
      <c r="I843" s="127" t="s">
        <v>3547</v>
      </c>
      <c r="J843" s="131" t="s">
        <v>3527</v>
      </c>
      <c r="K843" s="131" t="s">
        <v>33</v>
      </c>
      <c r="L843" s="131" t="s">
        <v>3529</v>
      </c>
      <c r="M843" s="131"/>
      <c r="N843" s="131" t="s">
        <v>499</v>
      </c>
      <c r="O843" s="131">
        <v>1</v>
      </c>
      <c r="P843" s="131"/>
      <c r="Q843" s="131"/>
      <c r="R843" s="34">
        <v>45</v>
      </c>
      <c r="S843" s="131"/>
      <c r="T843" s="58">
        <v>0</v>
      </c>
      <c r="U843" s="131"/>
      <c r="V843" s="131"/>
      <c r="W843" s="131"/>
      <c r="X843" s="131"/>
    </row>
    <row r="844" spans="1:24" ht="15" thickBot="1">
      <c r="A844" s="4" t="s">
        <v>154</v>
      </c>
      <c r="B844" s="4" t="s">
        <v>155</v>
      </c>
      <c r="C844" s="4">
        <v>616866669</v>
      </c>
      <c r="D844" s="4" t="s">
        <v>156</v>
      </c>
      <c r="E844" s="4" t="s">
        <v>599</v>
      </c>
      <c r="F844" s="129">
        <v>46099</v>
      </c>
      <c r="G844" s="131"/>
      <c r="H844" s="131" t="s">
        <v>3518</v>
      </c>
      <c r="I844" s="127" t="s">
        <v>3548</v>
      </c>
      <c r="J844" s="131" t="s">
        <v>3526</v>
      </c>
      <c r="K844" s="131" t="s">
        <v>33</v>
      </c>
      <c r="L844" s="131" t="s">
        <v>3534</v>
      </c>
      <c r="M844" s="131"/>
      <c r="N844" s="131" t="s">
        <v>499</v>
      </c>
      <c r="O844" s="131">
        <v>1</v>
      </c>
      <c r="P844" s="131"/>
      <c r="Q844" s="131"/>
      <c r="R844" s="34">
        <v>45</v>
      </c>
      <c r="S844" s="131"/>
      <c r="T844" s="58">
        <v>0</v>
      </c>
      <c r="U844" s="131"/>
      <c r="V844" s="131"/>
      <c r="W844" s="131"/>
      <c r="X844" s="131"/>
    </row>
    <row r="845" spans="1:24" ht="15" thickBot="1">
      <c r="A845" s="4" t="s">
        <v>154</v>
      </c>
      <c r="B845" s="4" t="s">
        <v>155</v>
      </c>
      <c r="C845" s="4">
        <v>616866669</v>
      </c>
      <c r="D845" s="4" t="s">
        <v>156</v>
      </c>
      <c r="E845" s="4" t="s">
        <v>599</v>
      </c>
      <c r="F845" s="129">
        <v>46099</v>
      </c>
      <c r="G845" s="131"/>
      <c r="H845" s="131" t="s">
        <v>3519</v>
      </c>
      <c r="I845" s="127" t="s">
        <v>3549</v>
      </c>
      <c r="J845" s="131" t="s">
        <v>165</v>
      </c>
      <c r="K845" s="131" t="s">
        <v>33</v>
      </c>
      <c r="L845" s="131" t="s">
        <v>3535</v>
      </c>
      <c r="M845" s="131"/>
      <c r="N845" s="131" t="s">
        <v>499</v>
      </c>
      <c r="O845" s="131">
        <v>1</v>
      </c>
      <c r="P845" s="131"/>
      <c r="Q845" s="131"/>
      <c r="R845" s="34">
        <v>45</v>
      </c>
      <c r="S845" s="131"/>
      <c r="T845" s="58">
        <v>0</v>
      </c>
      <c r="U845" s="131"/>
      <c r="V845" s="131"/>
      <c r="W845" s="131"/>
      <c r="X845" s="131"/>
    </row>
    <row r="846" spans="1:24" ht="15" thickBot="1">
      <c r="A846" s="4" t="s">
        <v>154</v>
      </c>
      <c r="B846" s="4" t="s">
        <v>155</v>
      </c>
      <c r="C846" s="4">
        <v>616866669</v>
      </c>
      <c r="D846" s="4" t="s">
        <v>156</v>
      </c>
      <c r="E846" s="4" t="s">
        <v>599</v>
      </c>
      <c r="F846" s="129">
        <v>46099</v>
      </c>
      <c r="G846" s="131"/>
      <c r="H846" s="131" t="s">
        <v>3520</v>
      </c>
      <c r="I846" s="127" t="s">
        <v>3550</v>
      </c>
      <c r="J846" s="131" t="s">
        <v>3527</v>
      </c>
      <c r="K846" s="131" t="s">
        <v>33</v>
      </c>
      <c r="L846" s="131" t="s">
        <v>3536</v>
      </c>
      <c r="M846" s="131"/>
      <c r="N846" s="131" t="s">
        <v>499</v>
      </c>
      <c r="O846" s="131">
        <v>1</v>
      </c>
      <c r="P846" s="131"/>
      <c r="Q846" s="131"/>
      <c r="R846" s="34">
        <v>45</v>
      </c>
      <c r="S846" s="131"/>
      <c r="T846" s="58">
        <v>0</v>
      </c>
      <c r="U846" s="131"/>
      <c r="V846" s="131"/>
      <c r="W846" s="131"/>
      <c r="X846" s="131"/>
    </row>
    <row r="847" spans="1:24" ht="15" thickBot="1">
      <c r="A847" s="4" t="s">
        <v>154</v>
      </c>
      <c r="B847" s="4" t="s">
        <v>155</v>
      </c>
      <c r="C847" s="4">
        <v>616866669</v>
      </c>
      <c r="D847" s="4" t="s">
        <v>156</v>
      </c>
      <c r="E847" s="4" t="s">
        <v>599</v>
      </c>
      <c r="F847" s="129">
        <v>46099</v>
      </c>
      <c r="G847" s="131"/>
      <c r="H847" s="131" t="s">
        <v>3521</v>
      </c>
      <c r="I847" s="127" t="s">
        <v>3551</v>
      </c>
      <c r="J847" s="131" t="s">
        <v>165</v>
      </c>
      <c r="K847" s="131" t="s">
        <v>33</v>
      </c>
      <c r="L847" s="131" t="s">
        <v>3537</v>
      </c>
      <c r="M847" s="131"/>
      <c r="N847" s="131" t="s">
        <v>499</v>
      </c>
      <c r="O847" s="131">
        <v>1</v>
      </c>
      <c r="P847" s="131"/>
      <c r="Q847" s="131"/>
      <c r="R847" s="34">
        <v>45</v>
      </c>
      <c r="S847" s="131"/>
      <c r="T847" s="58">
        <v>0</v>
      </c>
      <c r="U847" s="131"/>
      <c r="V847" s="131"/>
      <c r="W847" s="131"/>
      <c r="X847" s="131"/>
    </row>
    <row r="848" spans="1:24" ht="15" thickBot="1">
      <c r="A848" s="4" t="s">
        <v>154</v>
      </c>
      <c r="B848" s="4" t="s">
        <v>155</v>
      </c>
      <c r="C848" s="4">
        <v>616866669</v>
      </c>
      <c r="D848" s="4" t="s">
        <v>156</v>
      </c>
      <c r="E848" s="4" t="s">
        <v>599</v>
      </c>
      <c r="F848" s="129">
        <v>46099</v>
      </c>
      <c r="G848" s="131"/>
      <c r="H848" s="131" t="s">
        <v>3522</v>
      </c>
      <c r="I848" s="127" t="s">
        <v>3552</v>
      </c>
      <c r="J848" s="131" t="s">
        <v>172</v>
      </c>
      <c r="K848" s="127" t="s">
        <v>48</v>
      </c>
      <c r="L848" s="131" t="s">
        <v>3538</v>
      </c>
      <c r="M848" s="131"/>
      <c r="N848" s="131" t="s">
        <v>499</v>
      </c>
      <c r="O848" s="131">
        <v>1</v>
      </c>
      <c r="P848" s="131"/>
      <c r="Q848" s="131"/>
      <c r="R848" s="34">
        <v>45</v>
      </c>
      <c r="S848" s="131"/>
      <c r="T848" s="58">
        <v>0</v>
      </c>
      <c r="U848" s="131"/>
      <c r="V848" s="131"/>
      <c r="W848" s="131"/>
      <c r="X848" s="131"/>
    </row>
    <row r="849" spans="1:24" ht="15" thickBot="1">
      <c r="A849" s="4" t="s">
        <v>154</v>
      </c>
      <c r="B849" s="4" t="s">
        <v>155</v>
      </c>
      <c r="C849" s="4">
        <v>616866669</v>
      </c>
      <c r="D849" s="4" t="s">
        <v>156</v>
      </c>
      <c r="E849" s="4" t="s">
        <v>599</v>
      </c>
      <c r="F849" s="129">
        <v>46099</v>
      </c>
      <c r="G849" s="131"/>
      <c r="H849" s="131" t="s">
        <v>3523</v>
      </c>
      <c r="I849" s="127" t="s">
        <v>3553</v>
      </c>
      <c r="J849" s="131" t="s">
        <v>165</v>
      </c>
      <c r="K849" s="131" t="s">
        <v>33</v>
      </c>
      <c r="L849" s="131" t="s">
        <v>631</v>
      </c>
      <c r="M849" s="131"/>
      <c r="N849" s="131" t="s">
        <v>499</v>
      </c>
      <c r="O849" s="131">
        <v>1</v>
      </c>
      <c r="P849" s="131"/>
      <c r="Q849" s="131"/>
      <c r="R849" s="34">
        <v>45</v>
      </c>
      <c r="S849" s="131"/>
      <c r="T849" s="58">
        <v>0</v>
      </c>
      <c r="U849" s="131"/>
      <c r="V849" s="131"/>
      <c r="W849" s="131"/>
      <c r="X849" s="131"/>
    </row>
    <row r="850" spans="1:24" ht="15" thickBot="1">
      <c r="A850" s="4" t="s">
        <v>154</v>
      </c>
      <c r="B850" s="4" t="s">
        <v>155</v>
      </c>
      <c r="C850" s="4">
        <v>616866669</v>
      </c>
      <c r="D850" s="4" t="s">
        <v>156</v>
      </c>
      <c r="E850" s="4" t="s">
        <v>599</v>
      </c>
      <c r="F850" s="129">
        <v>46099</v>
      </c>
      <c r="G850" s="131"/>
      <c r="H850" s="131" t="s">
        <v>3524</v>
      </c>
      <c r="I850" s="127" t="s">
        <v>3554</v>
      </c>
      <c r="J850" s="131" t="s">
        <v>165</v>
      </c>
      <c r="K850" s="131" t="s">
        <v>33</v>
      </c>
      <c r="L850" s="131" t="s">
        <v>301</v>
      </c>
      <c r="M850" s="131"/>
      <c r="N850" s="131" t="s">
        <v>499</v>
      </c>
      <c r="O850" s="131">
        <v>1</v>
      </c>
      <c r="P850" s="131"/>
      <c r="Q850" s="131"/>
      <c r="R850" s="34">
        <v>45</v>
      </c>
      <c r="S850" s="131"/>
      <c r="T850" s="58">
        <v>0</v>
      </c>
      <c r="U850" s="131"/>
      <c r="V850" s="131"/>
      <c r="W850" s="131"/>
      <c r="X850" s="131"/>
    </row>
    <row r="851" spans="1:24" ht="15" thickBot="1">
      <c r="A851" s="131" t="s">
        <v>25</v>
      </c>
      <c r="B851" s="131" t="s">
        <v>26</v>
      </c>
      <c r="C851" s="131" t="s">
        <v>27</v>
      </c>
      <c r="D851" s="131" t="s">
        <v>28</v>
      </c>
      <c r="E851" s="131" t="s">
        <v>29</v>
      </c>
      <c r="F851" s="129">
        <v>46101</v>
      </c>
      <c r="G851" s="131"/>
      <c r="H851" s="131" t="s">
        <v>3555</v>
      </c>
      <c r="I851" s="127" t="s">
        <v>3579</v>
      </c>
      <c r="J851" s="127" t="s">
        <v>192</v>
      </c>
      <c r="K851" s="131" t="s">
        <v>33</v>
      </c>
      <c r="L851" s="131" t="s">
        <v>323</v>
      </c>
      <c r="M851" s="131"/>
      <c r="N851" s="131" t="s">
        <v>499</v>
      </c>
      <c r="O851" s="131">
        <v>1</v>
      </c>
      <c r="P851" s="131"/>
      <c r="Q851" s="131"/>
      <c r="R851" s="34">
        <v>45</v>
      </c>
      <c r="S851" s="131"/>
      <c r="T851" s="58">
        <v>0</v>
      </c>
      <c r="U851" s="131"/>
      <c r="V851" s="131"/>
      <c r="W851" s="131"/>
      <c r="X851" s="131"/>
    </row>
    <row r="852" spans="1:24" ht="15" thickBot="1">
      <c r="A852" s="131" t="s">
        <v>25</v>
      </c>
      <c r="B852" s="131" t="s">
        <v>26</v>
      </c>
      <c r="C852" s="131" t="s">
        <v>27</v>
      </c>
      <c r="D852" s="131" t="s">
        <v>28</v>
      </c>
      <c r="E852" s="131" t="s">
        <v>29</v>
      </c>
      <c r="F852" s="129">
        <v>46101</v>
      </c>
      <c r="G852" s="131"/>
      <c r="H852" s="131" t="s">
        <v>3556</v>
      </c>
      <c r="I852" s="127" t="s">
        <v>94</v>
      </c>
      <c r="J852" s="127" t="s">
        <v>318</v>
      </c>
      <c r="K852" s="127" t="s">
        <v>48</v>
      </c>
      <c r="L852" s="131" t="s">
        <v>1958</v>
      </c>
      <c r="M852" s="131"/>
      <c r="N852" s="131" t="s">
        <v>499</v>
      </c>
      <c r="O852" s="131">
        <v>1</v>
      </c>
      <c r="P852" s="131" t="s">
        <v>3723</v>
      </c>
      <c r="Q852" s="131"/>
      <c r="R852" s="34">
        <v>45</v>
      </c>
      <c r="S852" s="131"/>
      <c r="T852" s="58">
        <v>0</v>
      </c>
      <c r="U852" s="131"/>
      <c r="V852" s="131"/>
      <c r="W852" s="131"/>
      <c r="X852" s="131"/>
    </row>
    <row r="853" spans="1:24" ht="15" thickBot="1">
      <c r="A853" s="131" t="s">
        <v>25</v>
      </c>
      <c r="B853" s="131" t="s">
        <v>26</v>
      </c>
      <c r="C853" s="131" t="s">
        <v>27</v>
      </c>
      <c r="D853" s="131" t="s">
        <v>28</v>
      </c>
      <c r="E853" s="131" t="s">
        <v>29</v>
      </c>
      <c r="F853" s="129">
        <v>46101</v>
      </c>
      <c r="G853" s="131"/>
      <c r="H853" s="131" t="s">
        <v>3557</v>
      </c>
      <c r="I853" s="127" t="s">
        <v>3580</v>
      </c>
      <c r="J853" s="131" t="s">
        <v>165</v>
      </c>
      <c r="K853" s="131" t="s">
        <v>33</v>
      </c>
      <c r="L853" s="131" t="s">
        <v>3600</v>
      </c>
      <c r="M853" s="131"/>
      <c r="N853" s="131" t="s">
        <v>499</v>
      </c>
      <c r="O853" s="131">
        <v>1</v>
      </c>
      <c r="P853" s="131"/>
      <c r="Q853" s="131"/>
      <c r="R853" s="34">
        <v>45</v>
      </c>
      <c r="S853" s="131"/>
      <c r="T853" s="58">
        <v>0</v>
      </c>
      <c r="U853" s="131"/>
      <c r="V853" s="131"/>
      <c r="W853" s="131"/>
      <c r="X853" s="131"/>
    </row>
    <row r="854" spans="1:24" ht="15" thickBot="1">
      <c r="A854" s="131" t="s">
        <v>25</v>
      </c>
      <c r="B854" s="131" t="s">
        <v>26</v>
      </c>
      <c r="C854" s="131" t="s">
        <v>27</v>
      </c>
      <c r="D854" s="131" t="s">
        <v>28</v>
      </c>
      <c r="E854" s="131" t="s">
        <v>29</v>
      </c>
      <c r="F854" s="129">
        <v>46101</v>
      </c>
      <c r="G854" s="131"/>
      <c r="H854" s="131" t="s">
        <v>1509</v>
      </c>
      <c r="I854" s="127" t="s">
        <v>1510</v>
      </c>
      <c r="J854" s="131" t="s">
        <v>172</v>
      </c>
      <c r="K854" s="127" t="s">
        <v>48</v>
      </c>
      <c r="L854" s="131" t="s">
        <v>2000</v>
      </c>
      <c r="M854" s="131"/>
      <c r="N854" s="131" t="s">
        <v>499</v>
      </c>
      <c r="O854" s="131">
        <v>1</v>
      </c>
      <c r="P854" s="131"/>
      <c r="Q854" s="131"/>
      <c r="R854" s="34">
        <v>45</v>
      </c>
      <c r="S854" s="131"/>
      <c r="T854" s="58">
        <v>0</v>
      </c>
      <c r="U854" s="131"/>
      <c r="V854" s="131"/>
      <c r="W854" s="131"/>
      <c r="X854" s="131"/>
    </row>
    <row r="855" spans="1:24" ht="15" thickBot="1">
      <c r="A855" s="131" t="s">
        <v>25</v>
      </c>
      <c r="B855" s="131" t="s">
        <v>26</v>
      </c>
      <c r="C855" s="131" t="s">
        <v>27</v>
      </c>
      <c r="D855" s="131" t="s">
        <v>28</v>
      </c>
      <c r="E855" s="131" t="s">
        <v>29</v>
      </c>
      <c r="F855" s="129">
        <v>46101</v>
      </c>
      <c r="G855" s="131"/>
      <c r="H855" s="131" t="s">
        <v>1369</v>
      </c>
      <c r="I855" s="127" t="s">
        <v>1370</v>
      </c>
      <c r="J855" s="127" t="s">
        <v>192</v>
      </c>
      <c r="K855" s="131" t="s">
        <v>33</v>
      </c>
      <c r="L855" s="131" t="s">
        <v>3600</v>
      </c>
      <c r="M855" s="131"/>
      <c r="N855" s="131" t="s">
        <v>499</v>
      </c>
      <c r="O855" s="131">
        <v>1</v>
      </c>
      <c r="P855" s="131"/>
      <c r="Q855" s="131"/>
      <c r="R855" s="34">
        <v>45</v>
      </c>
      <c r="S855" s="131"/>
      <c r="T855" s="58">
        <v>0</v>
      </c>
      <c r="U855" s="131"/>
      <c r="V855" s="131"/>
      <c r="W855" s="131"/>
      <c r="X855" s="131"/>
    </row>
    <row r="856" spans="1:24" ht="15" thickBot="1">
      <c r="A856" s="131" t="s">
        <v>25</v>
      </c>
      <c r="B856" s="131" t="s">
        <v>26</v>
      </c>
      <c r="C856" s="131" t="s">
        <v>27</v>
      </c>
      <c r="D856" s="131" t="s">
        <v>28</v>
      </c>
      <c r="E856" s="131" t="s">
        <v>29</v>
      </c>
      <c r="F856" s="129">
        <v>46101</v>
      </c>
      <c r="G856" s="131"/>
      <c r="H856" s="131" t="s">
        <v>3558</v>
      </c>
      <c r="I856" s="127" t="s">
        <v>3581</v>
      </c>
      <c r="J856" s="131" t="s">
        <v>165</v>
      </c>
      <c r="K856" s="131" t="s">
        <v>33</v>
      </c>
      <c r="L856" s="131" t="s">
        <v>3601</v>
      </c>
      <c r="M856" s="131"/>
      <c r="N856" s="131" t="s">
        <v>499</v>
      </c>
      <c r="O856" s="131">
        <v>1</v>
      </c>
      <c r="P856" s="131"/>
      <c r="Q856" s="131"/>
      <c r="R856" s="34">
        <v>45</v>
      </c>
      <c r="S856" s="131"/>
      <c r="T856" s="58">
        <v>0</v>
      </c>
      <c r="U856" s="131"/>
      <c r="V856" s="131"/>
      <c r="W856" s="131"/>
      <c r="X856" s="131"/>
    </row>
    <row r="857" spans="1:24" ht="15" thickBot="1">
      <c r="A857" s="131" t="s">
        <v>25</v>
      </c>
      <c r="B857" s="131" t="s">
        <v>26</v>
      </c>
      <c r="C857" s="131" t="s">
        <v>27</v>
      </c>
      <c r="D857" s="131" t="s">
        <v>28</v>
      </c>
      <c r="E857" s="131" t="s">
        <v>29</v>
      </c>
      <c r="F857" s="129">
        <v>46101</v>
      </c>
      <c r="G857" s="131"/>
      <c r="H857" s="131" t="s">
        <v>3559</v>
      </c>
      <c r="I857" s="127" t="s">
        <v>3582</v>
      </c>
      <c r="J857" s="131" t="s">
        <v>172</v>
      </c>
      <c r="K857" s="127" t="s">
        <v>48</v>
      </c>
      <c r="L857" s="131" t="s">
        <v>1326</v>
      </c>
      <c r="M857" s="131"/>
      <c r="N857" s="131" t="s">
        <v>499</v>
      </c>
      <c r="O857" s="131">
        <v>1</v>
      </c>
      <c r="P857" s="131"/>
      <c r="Q857" s="131"/>
      <c r="R857" s="34">
        <v>45</v>
      </c>
      <c r="S857" s="131"/>
      <c r="T857" s="58">
        <v>0</v>
      </c>
      <c r="U857" s="131"/>
      <c r="V857" s="131"/>
      <c r="W857" s="131"/>
      <c r="X857" s="131"/>
    </row>
    <row r="858" spans="1:24" ht="15" thickBot="1">
      <c r="A858" s="131" t="s">
        <v>25</v>
      </c>
      <c r="B858" s="131" t="s">
        <v>26</v>
      </c>
      <c r="C858" s="131" t="s">
        <v>27</v>
      </c>
      <c r="D858" s="131" t="s">
        <v>28</v>
      </c>
      <c r="E858" s="131" t="s">
        <v>29</v>
      </c>
      <c r="F858" s="129">
        <v>46101</v>
      </c>
      <c r="G858" s="131"/>
      <c r="H858" s="131" t="s">
        <v>3560</v>
      </c>
      <c r="I858" s="127" t="s">
        <v>3583</v>
      </c>
      <c r="J858" s="131" t="s">
        <v>172</v>
      </c>
      <c r="K858" s="127" t="s">
        <v>48</v>
      </c>
      <c r="L858" s="131" t="s">
        <v>3460</v>
      </c>
      <c r="M858" s="131"/>
      <c r="N858" s="131" t="s">
        <v>499</v>
      </c>
      <c r="O858" s="131">
        <v>1</v>
      </c>
      <c r="P858" s="131"/>
      <c r="Q858" s="131"/>
      <c r="R858" s="34">
        <v>45</v>
      </c>
      <c r="S858" s="131"/>
      <c r="T858" s="58">
        <v>0</v>
      </c>
      <c r="U858" s="131"/>
      <c r="V858" s="131"/>
      <c r="W858" s="131"/>
      <c r="X858" s="131"/>
    </row>
    <row r="859" spans="1:24" ht="15" thickBot="1">
      <c r="A859" s="131" t="s">
        <v>25</v>
      </c>
      <c r="B859" s="131" t="s">
        <v>26</v>
      </c>
      <c r="C859" s="131" t="s">
        <v>27</v>
      </c>
      <c r="D859" s="131" t="s">
        <v>28</v>
      </c>
      <c r="E859" s="131" t="s">
        <v>29</v>
      </c>
      <c r="F859" s="129">
        <v>46101</v>
      </c>
      <c r="G859" s="131"/>
      <c r="H859" s="131" t="s">
        <v>2424</v>
      </c>
      <c r="I859" s="127" t="s">
        <v>2425</v>
      </c>
      <c r="J859" s="131" t="s">
        <v>3288</v>
      </c>
      <c r="K859" s="131" t="s">
        <v>33</v>
      </c>
      <c r="L859" s="131" t="s">
        <v>3602</v>
      </c>
      <c r="M859" s="131"/>
      <c r="N859" s="131" t="s">
        <v>499</v>
      </c>
      <c r="O859" s="131">
        <v>1</v>
      </c>
      <c r="P859" s="131"/>
      <c r="Q859" s="131"/>
      <c r="R859" s="34">
        <v>45</v>
      </c>
      <c r="S859" s="131"/>
      <c r="T859" s="58">
        <v>0</v>
      </c>
      <c r="U859" s="131"/>
      <c r="V859" s="131"/>
      <c r="W859" s="131"/>
      <c r="X859" s="131"/>
    </row>
    <row r="860" spans="1:24" ht="15" thickBot="1">
      <c r="A860" s="131" t="s">
        <v>25</v>
      </c>
      <c r="B860" s="131" t="s">
        <v>26</v>
      </c>
      <c r="C860" s="131" t="s">
        <v>27</v>
      </c>
      <c r="D860" s="131" t="s">
        <v>28</v>
      </c>
      <c r="E860" s="131" t="s">
        <v>29</v>
      </c>
      <c r="F860" s="129">
        <v>46101</v>
      </c>
      <c r="G860" s="131"/>
      <c r="H860" s="131" t="s">
        <v>3561</v>
      </c>
      <c r="I860" s="127" t="s">
        <v>3584</v>
      </c>
      <c r="J860" s="131" t="s">
        <v>180</v>
      </c>
      <c r="K860" s="127" t="s">
        <v>48</v>
      </c>
      <c r="L860" s="131" t="s">
        <v>3603</v>
      </c>
      <c r="M860" s="131"/>
      <c r="N860" s="131" t="s">
        <v>499</v>
      </c>
      <c r="O860" s="131">
        <v>1</v>
      </c>
      <c r="P860" s="131"/>
      <c r="Q860" s="131"/>
      <c r="R860" s="34">
        <v>45</v>
      </c>
      <c r="S860" s="131"/>
      <c r="T860" s="58">
        <v>0</v>
      </c>
      <c r="U860" s="131"/>
      <c r="V860" s="131"/>
      <c r="W860" s="131"/>
      <c r="X860" s="131"/>
    </row>
    <row r="861" spans="1:24" ht="15" thickBot="1">
      <c r="A861" s="131" t="s">
        <v>25</v>
      </c>
      <c r="B861" s="131" t="s">
        <v>26</v>
      </c>
      <c r="C861" s="131" t="s">
        <v>27</v>
      </c>
      <c r="D861" s="131" t="s">
        <v>28</v>
      </c>
      <c r="E861" s="131" t="s">
        <v>29</v>
      </c>
      <c r="F861" s="129">
        <v>46101</v>
      </c>
      <c r="G861" s="131"/>
      <c r="H861" s="131" t="s">
        <v>3562</v>
      </c>
      <c r="I861" s="127" t="s">
        <v>3585</v>
      </c>
      <c r="J861" s="131" t="s">
        <v>172</v>
      </c>
      <c r="K861" s="127" t="s">
        <v>48</v>
      </c>
      <c r="L861" s="131" t="s">
        <v>3604</v>
      </c>
      <c r="M861" s="131"/>
      <c r="N861" s="131" t="s">
        <v>499</v>
      </c>
      <c r="O861" s="131">
        <v>1</v>
      </c>
      <c r="P861" s="131"/>
      <c r="Q861" s="131"/>
      <c r="R861" s="34">
        <v>45</v>
      </c>
      <c r="S861" s="131"/>
      <c r="T861" s="58">
        <v>0</v>
      </c>
      <c r="U861" s="131"/>
      <c r="V861" s="131"/>
      <c r="W861" s="131"/>
      <c r="X861" s="131"/>
    </row>
    <row r="862" spans="1:24" ht="15" thickBot="1">
      <c r="A862" s="131" t="s">
        <v>25</v>
      </c>
      <c r="B862" s="131" t="s">
        <v>26</v>
      </c>
      <c r="C862" s="131" t="s">
        <v>27</v>
      </c>
      <c r="D862" s="131" t="s">
        <v>28</v>
      </c>
      <c r="E862" s="131" t="s">
        <v>29</v>
      </c>
      <c r="F862" s="129">
        <v>46101</v>
      </c>
      <c r="G862" s="131"/>
      <c r="H862" s="131" t="s">
        <v>3563</v>
      </c>
      <c r="I862" s="127" t="s">
        <v>3586</v>
      </c>
      <c r="J862" s="131" t="s">
        <v>165</v>
      </c>
      <c r="K862" s="131" t="s">
        <v>33</v>
      </c>
      <c r="L862" s="131" t="s">
        <v>3605</v>
      </c>
      <c r="M862" s="131"/>
      <c r="N862" s="131" t="s">
        <v>499</v>
      </c>
      <c r="O862" s="131">
        <v>1</v>
      </c>
      <c r="P862" s="131"/>
      <c r="Q862" s="131"/>
      <c r="R862" s="34">
        <v>45</v>
      </c>
      <c r="S862" s="131"/>
      <c r="T862" s="58">
        <v>0</v>
      </c>
      <c r="U862" s="131"/>
      <c r="V862" s="131"/>
      <c r="W862" s="131"/>
      <c r="X862" s="131"/>
    </row>
    <row r="863" spans="1:24" ht="15" thickBot="1">
      <c r="A863" s="131" t="s">
        <v>25</v>
      </c>
      <c r="B863" s="131" t="s">
        <v>26</v>
      </c>
      <c r="C863" s="131" t="s">
        <v>27</v>
      </c>
      <c r="D863" s="131" t="s">
        <v>28</v>
      </c>
      <c r="E863" s="131" t="s">
        <v>29</v>
      </c>
      <c r="F863" s="129">
        <v>46101</v>
      </c>
      <c r="G863" s="131"/>
      <c r="H863" s="131" t="s">
        <v>3564</v>
      </c>
      <c r="I863" s="127" t="s">
        <v>1085</v>
      </c>
      <c r="J863" s="131" t="s">
        <v>165</v>
      </c>
      <c r="K863" s="131" t="s">
        <v>33</v>
      </c>
      <c r="L863" s="131" t="s">
        <v>3606</v>
      </c>
      <c r="M863" s="131"/>
      <c r="N863" s="131" t="s">
        <v>499</v>
      </c>
      <c r="O863" s="131">
        <v>1</v>
      </c>
      <c r="P863" s="131"/>
      <c r="Q863" s="131"/>
      <c r="R863" s="34">
        <v>45</v>
      </c>
      <c r="S863" s="131"/>
      <c r="T863" s="58">
        <v>0</v>
      </c>
      <c r="U863" s="131"/>
      <c r="V863" s="131"/>
      <c r="W863" s="131"/>
      <c r="X863" s="131"/>
    </row>
    <row r="864" spans="1:24" ht="15" thickBot="1">
      <c r="A864" s="131" t="s">
        <v>25</v>
      </c>
      <c r="B864" s="131" t="s">
        <v>26</v>
      </c>
      <c r="C864" s="131" t="s">
        <v>27</v>
      </c>
      <c r="D864" s="131" t="s">
        <v>28</v>
      </c>
      <c r="E864" s="131" t="s">
        <v>29</v>
      </c>
      <c r="F864" s="129">
        <v>46101</v>
      </c>
      <c r="G864" s="131"/>
      <c r="H864" s="131" t="s">
        <v>3565</v>
      </c>
      <c r="I864" s="127" t="s">
        <v>3587</v>
      </c>
      <c r="J864" s="131" t="s">
        <v>441</v>
      </c>
      <c r="K864" s="131" t="s">
        <v>33</v>
      </c>
      <c r="L864" s="131" t="s">
        <v>3607</v>
      </c>
      <c r="M864" s="131"/>
      <c r="N864" s="131" t="s">
        <v>499</v>
      </c>
      <c r="O864" s="131">
        <v>1</v>
      </c>
      <c r="P864" s="131"/>
      <c r="Q864" s="131"/>
      <c r="R864" s="34">
        <v>45</v>
      </c>
      <c r="S864" s="131"/>
      <c r="T864" s="58">
        <v>0</v>
      </c>
      <c r="U864" s="131"/>
      <c r="V864" s="131"/>
      <c r="W864" s="131"/>
      <c r="X864" s="131"/>
    </row>
    <row r="865" spans="1:24" ht="15" thickBot="1">
      <c r="A865" s="131" t="s">
        <v>25</v>
      </c>
      <c r="B865" s="131" t="s">
        <v>26</v>
      </c>
      <c r="C865" s="131" t="s">
        <v>27</v>
      </c>
      <c r="D865" s="131" t="s">
        <v>28</v>
      </c>
      <c r="E865" s="131" t="s">
        <v>29</v>
      </c>
      <c r="F865" s="129">
        <v>46101</v>
      </c>
      <c r="G865" s="131"/>
      <c r="H865" s="131" t="s">
        <v>3566</v>
      </c>
      <c r="I865" s="127" t="s">
        <v>3588</v>
      </c>
      <c r="J865" s="131" t="s">
        <v>172</v>
      </c>
      <c r="K865" s="127" t="s">
        <v>48</v>
      </c>
      <c r="L865" s="131" t="s">
        <v>3608</v>
      </c>
      <c r="M865" s="131"/>
      <c r="N865" s="131" t="s">
        <v>499</v>
      </c>
      <c r="O865" s="131">
        <v>1</v>
      </c>
      <c r="P865" s="131"/>
      <c r="Q865" s="131"/>
      <c r="R865" s="34">
        <v>45</v>
      </c>
      <c r="S865" s="131"/>
      <c r="T865" s="58">
        <v>0</v>
      </c>
      <c r="U865" s="131"/>
      <c r="V865" s="131"/>
      <c r="W865" s="131"/>
      <c r="X865" s="131"/>
    </row>
    <row r="866" spans="1:24" ht="15" thickBot="1">
      <c r="A866" s="131" t="s">
        <v>25</v>
      </c>
      <c r="B866" s="131" t="s">
        <v>26</v>
      </c>
      <c r="C866" s="131" t="s">
        <v>27</v>
      </c>
      <c r="D866" s="131" t="s">
        <v>28</v>
      </c>
      <c r="E866" s="131" t="s">
        <v>29</v>
      </c>
      <c r="F866" s="129">
        <v>46101</v>
      </c>
      <c r="G866" s="131"/>
      <c r="H866" s="131" t="s">
        <v>3567</v>
      </c>
      <c r="I866" s="127" t="s">
        <v>3589</v>
      </c>
      <c r="J866" s="131" t="s">
        <v>3288</v>
      </c>
      <c r="K866" s="131" t="s">
        <v>33</v>
      </c>
      <c r="L866" s="131" t="s">
        <v>3609</v>
      </c>
      <c r="M866" s="131"/>
      <c r="N866" s="131" t="s">
        <v>499</v>
      </c>
      <c r="O866" s="131">
        <v>1</v>
      </c>
      <c r="P866" s="131"/>
      <c r="Q866" s="131"/>
      <c r="R866" s="34">
        <v>45</v>
      </c>
      <c r="S866" s="131"/>
      <c r="T866" s="58">
        <v>0</v>
      </c>
      <c r="U866" s="131"/>
      <c r="V866" s="131"/>
      <c r="W866" s="131"/>
      <c r="X866" s="131"/>
    </row>
    <row r="867" spans="1:24" s="139" customFormat="1" ht="15" thickBot="1">
      <c r="A867" s="134" t="s">
        <v>25</v>
      </c>
      <c r="B867" s="134" t="s">
        <v>26</v>
      </c>
      <c r="C867" s="134" t="s">
        <v>27</v>
      </c>
      <c r="D867" s="134" t="s">
        <v>28</v>
      </c>
      <c r="E867" s="134" t="s">
        <v>29</v>
      </c>
      <c r="F867" s="135">
        <v>46101</v>
      </c>
      <c r="G867" s="134"/>
      <c r="H867" s="134" t="s">
        <v>3568</v>
      </c>
      <c r="I867" s="136" t="s">
        <v>3590</v>
      </c>
      <c r="J867" s="134" t="s">
        <v>3288</v>
      </c>
      <c r="K867" s="134" t="s">
        <v>33</v>
      </c>
      <c r="L867" s="134" t="s">
        <v>3610</v>
      </c>
      <c r="M867" s="134"/>
      <c r="N867" s="134" t="s">
        <v>499</v>
      </c>
      <c r="O867" s="134">
        <v>0</v>
      </c>
      <c r="P867" s="136" t="s">
        <v>308</v>
      </c>
      <c r="Q867" s="134"/>
      <c r="R867" s="137"/>
      <c r="S867" s="134"/>
      <c r="T867" s="138"/>
      <c r="U867" s="134"/>
      <c r="V867" s="134"/>
      <c r="W867" s="134"/>
      <c r="X867" s="134"/>
    </row>
    <row r="868" spans="1:24" ht="15" thickBot="1">
      <c r="A868" s="131" t="s">
        <v>25</v>
      </c>
      <c r="B868" s="131" t="s">
        <v>26</v>
      </c>
      <c r="C868" s="131" t="s">
        <v>27</v>
      </c>
      <c r="D868" s="131" t="s">
        <v>28</v>
      </c>
      <c r="E868" s="131" t="s">
        <v>29</v>
      </c>
      <c r="F868" s="129">
        <v>46101</v>
      </c>
      <c r="G868" s="131"/>
      <c r="H868" s="131" t="s">
        <v>1959</v>
      </c>
      <c r="I868" s="127" t="s">
        <v>1960</v>
      </c>
      <c r="J868" s="131" t="s">
        <v>3288</v>
      </c>
      <c r="K868" s="131" t="s">
        <v>33</v>
      </c>
      <c r="L868" s="131" t="s">
        <v>173</v>
      </c>
      <c r="M868" s="131"/>
      <c r="N868" s="131" t="s">
        <v>499</v>
      </c>
      <c r="O868" s="131">
        <v>1</v>
      </c>
      <c r="P868" s="131"/>
      <c r="Q868" s="131"/>
      <c r="R868" s="34">
        <v>45</v>
      </c>
      <c r="S868" s="131"/>
      <c r="T868" s="58">
        <v>0</v>
      </c>
      <c r="U868" s="131"/>
      <c r="V868" s="131"/>
      <c r="W868" s="131"/>
      <c r="X868" s="131"/>
    </row>
    <row r="869" spans="1:24" ht="15" thickBot="1">
      <c r="A869" s="131" t="s">
        <v>25</v>
      </c>
      <c r="B869" s="131" t="s">
        <v>26</v>
      </c>
      <c r="C869" s="131" t="s">
        <v>27</v>
      </c>
      <c r="D869" s="131" t="s">
        <v>28</v>
      </c>
      <c r="E869" s="131" t="s">
        <v>29</v>
      </c>
      <c r="F869" s="129">
        <v>46101</v>
      </c>
      <c r="G869" s="131"/>
      <c r="H869" s="131" t="s">
        <v>1787</v>
      </c>
      <c r="I869" s="127" t="s">
        <v>1788</v>
      </c>
      <c r="J869" s="127" t="s">
        <v>3617</v>
      </c>
      <c r="K869" s="131" t="s">
        <v>33</v>
      </c>
      <c r="L869" s="131" t="s">
        <v>173</v>
      </c>
      <c r="M869" s="131"/>
      <c r="N869" s="131" t="s">
        <v>499</v>
      </c>
      <c r="O869" s="131">
        <v>1</v>
      </c>
      <c r="P869" s="131"/>
      <c r="Q869" s="131"/>
      <c r="R869" s="34">
        <v>45</v>
      </c>
      <c r="S869" s="131"/>
      <c r="T869" s="58">
        <v>0</v>
      </c>
      <c r="U869" s="131"/>
      <c r="V869" s="131"/>
      <c r="W869" s="131"/>
      <c r="X869" s="131"/>
    </row>
    <row r="870" spans="1:24" ht="15" thickBot="1">
      <c r="A870" s="131" t="s">
        <v>25</v>
      </c>
      <c r="B870" s="131" t="s">
        <v>26</v>
      </c>
      <c r="C870" s="131" t="s">
        <v>27</v>
      </c>
      <c r="D870" s="131" t="s">
        <v>28</v>
      </c>
      <c r="E870" s="131" t="s">
        <v>29</v>
      </c>
      <c r="F870" s="129">
        <v>46101</v>
      </c>
      <c r="G870" s="131"/>
      <c r="H870" s="131" t="s">
        <v>3569</v>
      </c>
      <c r="I870" s="127" t="s">
        <v>3591</v>
      </c>
      <c r="J870" s="131" t="s">
        <v>180</v>
      </c>
      <c r="K870" s="127" t="s">
        <v>48</v>
      </c>
      <c r="L870" s="131" t="s">
        <v>173</v>
      </c>
      <c r="M870" s="131"/>
      <c r="N870" s="131" t="s">
        <v>499</v>
      </c>
      <c r="O870" s="131">
        <v>1</v>
      </c>
      <c r="P870" s="131"/>
      <c r="Q870" s="131"/>
      <c r="R870" s="34">
        <v>45</v>
      </c>
      <c r="S870" s="131"/>
      <c r="T870" s="58">
        <v>0</v>
      </c>
      <c r="U870" s="131"/>
      <c r="V870" s="131"/>
      <c r="W870" s="131"/>
      <c r="X870" s="131"/>
    </row>
    <row r="871" spans="1:24" ht="15" thickBot="1">
      <c r="A871" s="131" t="s">
        <v>25</v>
      </c>
      <c r="B871" s="131" t="s">
        <v>26</v>
      </c>
      <c r="C871" s="131" t="s">
        <v>27</v>
      </c>
      <c r="D871" s="131" t="s">
        <v>28</v>
      </c>
      <c r="E871" s="131" t="s">
        <v>29</v>
      </c>
      <c r="F871" s="129">
        <v>46101</v>
      </c>
      <c r="G871" s="131"/>
      <c r="H871" s="131" t="s">
        <v>3570</v>
      </c>
      <c r="I871" s="127" t="s">
        <v>3592</v>
      </c>
      <c r="J871" s="127" t="s">
        <v>3617</v>
      </c>
      <c r="K871" s="131" t="s">
        <v>33</v>
      </c>
      <c r="L871" s="131" t="s">
        <v>3611</v>
      </c>
      <c r="M871" s="131"/>
      <c r="N871" s="131" t="s">
        <v>499</v>
      </c>
      <c r="O871" s="131">
        <v>1</v>
      </c>
      <c r="P871" s="131"/>
      <c r="Q871" s="131"/>
      <c r="R871" s="34">
        <v>45</v>
      </c>
      <c r="S871" s="131"/>
      <c r="T871" s="58">
        <v>0</v>
      </c>
      <c r="U871" s="131"/>
      <c r="V871" s="131"/>
      <c r="W871" s="131"/>
      <c r="X871" s="131"/>
    </row>
    <row r="872" spans="1:24" ht="15" thickBot="1">
      <c r="A872" s="131" t="s">
        <v>25</v>
      </c>
      <c r="B872" s="131" t="s">
        <v>26</v>
      </c>
      <c r="C872" s="131" t="s">
        <v>27</v>
      </c>
      <c r="D872" s="131" t="s">
        <v>28</v>
      </c>
      <c r="E872" s="131" t="s">
        <v>29</v>
      </c>
      <c r="F872" s="129">
        <v>46101</v>
      </c>
      <c r="G872" s="131"/>
      <c r="H872" s="131" t="s">
        <v>3571</v>
      </c>
      <c r="I872" s="127" t="s">
        <v>3593</v>
      </c>
      <c r="J872" s="131" t="s">
        <v>165</v>
      </c>
      <c r="K872" s="131" t="s">
        <v>33</v>
      </c>
      <c r="L872" s="131" t="s">
        <v>3612</v>
      </c>
      <c r="M872" s="131"/>
      <c r="N872" s="131" t="s">
        <v>499</v>
      </c>
      <c r="O872" s="131">
        <v>1</v>
      </c>
      <c r="P872" s="131"/>
      <c r="Q872" s="131"/>
      <c r="R872" s="34">
        <v>45</v>
      </c>
      <c r="S872" s="131"/>
      <c r="T872" s="58">
        <v>0</v>
      </c>
      <c r="U872" s="131"/>
      <c r="V872" s="131"/>
      <c r="W872" s="131"/>
      <c r="X872" s="131"/>
    </row>
    <row r="873" spans="1:24" ht="15" thickBot="1">
      <c r="A873" s="131" t="s">
        <v>25</v>
      </c>
      <c r="B873" s="131" t="s">
        <v>26</v>
      </c>
      <c r="C873" s="131" t="s">
        <v>27</v>
      </c>
      <c r="D873" s="131" t="s">
        <v>28</v>
      </c>
      <c r="E873" s="131" t="s">
        <v>29</v>
      </c>
      <c r="F873" s="129">
        <v>46101</v>
      </c>
      <c r="G873" s="131"/>
      <c r="H873" s="131" t="s">
        <v>1789</v>
      </c>
      <c r="I873" s="127" t="s">
        <v>1790</v>
      </c>
      <c r="J873" s="131" t="s">
        <v>165</v>
      </c>
      <c r="K873" s="131" t="s">
        <v>33</v>
      </c>
      <c r="L873" s="131" t="s">
        <v>3613</v>
      </c>
      <c r="M873" s="131"/>
      <c r="N873" s="131" t="s">
        <v>499</v>
      </c>
      <c r="O873" s="131">
        <v>1</v>
      </c>
      <c r="P873" s="131"/>
      <c r="Q873" s="131"/>
      <c r="R873" s="34">
        <v>45</v>
      </c>
      <c r="S873" s="131"/>
      <c r="T873" s="58">
        <v>0</v>
      </c>
      <c r="U873" s="131"/>
      <c r="V873" s="131"/>
      <c r="W873" s="131"/>
      <c r="X873" s="131"/>
    </row>
    <row r="874" spans="1:24" ht="15" thickBot="1">
      <c r="A874" s="131" t="s">
        <v>25</v>
      </c>
      <c r="B874" s="131" t="s">
        <v>26</v>
      </c>
      <c r="C874" s="131" t="s">
        <v>27</v>
      </c>
      <c r="D874" s="131" t="s">
        <v>28</v>
      </c>
      <c r="E874" s="131" t="s">
        <v>29</v>
      </c>
      <c r="F874" s="129">
        <v>46101</v>
      </c>
      <c r="G874" s="131"/>
      <c r="H874" s="131" t="s">
        <v>3572</v>
      </c>
      <c r="I874" s="127" t="s">
        <v>3594</v>
      </c>
      <c r="J874" s="131" t="s">
        <v>180</v>
      </c>
      <c r="K874" s="127" t="s">
        <v>48</v>
      </c>
      <c r="L874" s="131" t="s">
        <v>1329</v>
      </c>
      <c r="M874" s="131"/>
      <c r="N874" s="131" t="s">
        <v>499</v>
      </c>
      <c r="O874" s="131">
        <v>1</v>
      </c>
      <c r="P874" s="131"/>
      <c r="Q874" s="131"/>
      <c r="R874" s="34">
        <v>45</v>
      </c>
      <c r="S874" s="131"/>
      <c r="T874" s="58">
        <v>0</v>
      </c>
      <c r="U874" s="131"/>
      <c r="V874" s="131"/>
      <c r="W874" s="131"/>
      <c r="X874" s="131"/>
    </row>
    <row r="875" spans="1:24" ht="15" thickBot="1">
      <c r="A875" s="131" t="s">
        <v>25</v>
      </c>
      <c r="B875" s="131" t="s">
        <v>26</v>
      </c>
      <c r="C875" s="131" t="s">
        <v>27</v>
      </c>
      <c r="D875" s="131" t="s">
        <v>28</v>
      </c>
      <c r="E875" s="131" t="s">
        <v>29</v>
      </c>
      <c r="F875" s="129">
        <v>46101</v>
      </c>
      <c r="G875" s="131"/>
      <c r="H875" s="131" t="s">
        <v>3573</v>
      </c>
      <c r="I875" s="127" t="s">
        <v>3595</v>
      </c>
      <c r="J875" s="131" t="s">
        <v>172</v>
      </c>
      <c r="K875" s="127" t="s">
        <v>48</v>
      </c>
      <c r="L875" s="131" t="s">
        <v>3614</v>
      </c>
      <c r="M875" s="131"/>
      <c r="N875" s="131" t="s">
        <v>499</v>
      </c>
      <c r="O875" s="131">
        <v>1</v>
      </c>
      <c r="P875" s="131"/>
      <c r="Q875" s="131"/>
      <c r="R875" s="34">
        <v>45</v>
      </c>
      <c r="S875" s="131"/>
      <c r="T875" s="58">
        <v>0</v>
      </c>
      <c r="U875" s="131"/>
      <c r="V875" s="131"/>
      <c r="W875" s="131"/>
      <c r="X875" s="131"/>
    </row>
    <row r="876" spans="1:24" ht="15" thickBot="1">
      <c r="A876" s="131" t="s">
        <v>25</v>
      </c>
      <c r="B876" s="131" t="s">
        <v>26</v>
      </c>
      <c r="C876" s="131" t="s">
        <v>27</v>
      </c>
      <c r="D876" s="131" t="s">
        <v>28</v>
      </c>
      <c r="E876" s="131" t="s">
        <v>29</v>
      </c>
      <c r="F876" s="129">
        <v>46101</v>
      </c>
      <c r="G876" s="131"/>
      <c r="H876" s="131" t="s">
        <v>3574</v>
      </c>
      <c r="I876" s="127" t="s">
        <v>3596</v>
      </c>
      <c r="J876" s="131" t="s">
        <v>180</v>
      </c>
      <c r="K876" s="127" t="s">
        <v>48</v>
      </c>
      <c r="L876" s="131" t="s">
        <v>1511</v>
      </c>
      <c r="M876" s="131"/>
      <c r="N876" s="131" t="s">
        <v>499</v>
      </c>
      <c r="O876" s="131">
        <v>1</v>
      </c>
      <c r="P876" s="131"/>
      <c r="Q876" s="131"/>
      <c r="R876" s="34">
        <v>45</v>
      </c>
      <c r="S876" s="131"/>
      <c r="T876" s="58">
        <v>0</v>
      </c>
      <c r="U876" s="131"/>
      <c r="V876" s="131"/>
      <c r="W876" s="131"/>
      <c r="X876" s="131"/>
    </row>
    <row r="877" spans="1:24" ht="15" thickBot="1">
      <c r="A877" s="131" t="s">
        <v>25</v>
      </c>
      <c r="B877" s="131" t="s">
        <v>26</v>
      </c>
      <c r="C877" s="131" t="s">
        <v>27</v>
      </c>
      <c r="D877" s="131" t="s">
        <v>28</v>
      </c>
      <c r="E877" s="131" t="s">
        <v>29</v>
      </c>
      <c r="F877" s="129">
        <v>46101</v>
      </c>
      <c r="G877" s="131"/>
      <c r="H877" s="131" t="s">
        <v>3575</v>
      </c>
      <c r="I877" s="127" t="s">
        <v>3597</v>
      </c>
      <c r="J877" s="131" t="s">
        <v>165</v>
      </c>
      <c r="K877" s="131" t="s">
        <v>33</v>
      </c>
      <c r="L877" s="131" t="s">
        <v>547</v>
      </c>
      <c r="M877" s="131"/>
      <c r="N877" s="131" t="s">
        <v>499</v>
      </c>
      <c r="O877" s="131">
        <v>1</v>
      </c>
      <c r="P877" s="131"/>
      <c r="Q877" s="131"/>
      <c r="R877" s="34">
        <v>45</v>
      </c>
      <c r="S877" s="131"/>
      <c r="T877" s="58">
        <v>0</v>
      </c>
      <c r="U877" s="131"/>
      <c r="V877" s="131"/>
      <c r="W877" s="131"/>
      <c r="X877" s="131"/>
    </row>
    <row r="878" spans="1:24" ht="15" thickBot="1">
      <c r="A878" s="131" t="s">
        <v>25</v>
      </c>
      <c r="B878" s="131" t="s">
        <v>26</v>
      </c>
      <c r="C878" s="131" t="s">
        <v>27</v>
      </c>
      <c r="D878" s="131" t="s">
        <v>28</v>
      </c>
      <c r="E878" s="131" t="s">
        <v>29</v>
      </c>
      <c r="F878" s="129">
        <v>46101</v>
      </c>
      <c r="G878" s="131"/>
      <c r="H878" s="131" t="s">
        <v>3576</v>
      </c>
      <c r="I878" s="127" t="s">
        <v>1630</v>
      </c>
      <c r="J878" s="131" t="s">
        <v>165</v>
      </c>
      <c r="K878" s="131" t="s">
        <v>33</v>
      </c>
      <c r="L878" s="131" t="s">
        <v>3615</v>
      </c>
      <c r="M878" s="131"/>
      <c r="N878" s="131" t="s">
        <v>499</v>
      </c>
      <c r="O878" s="131">
        <v>1</v>
      </c>
      <c r="P878" s="131"/>
      <c r="Q878" s="131"/>
      <c r="R878" s="34">
        <v>45</v>
      </c>
      <c r="S878" s="131"/>
      <c r="T878" s="58">
        <v>0</v>
      </c>
      <c r="U878" s="131"/>
      <c r="V878" s="131"/>
      <c r="W878" s="131"/>
      <c r="X878" s="131"/>
    </row>
    <row r="879" spans="1:24" ht="15" thickBot="1">
      <c r="A879" s="131" t="s">
        <v>25</v>
      </c>
      <c r="B879" s="131" t="s">
        <v>26</v>
      </c>
      <c r="C879" s="131" t="s">
        <v>27</v>
      </c>
      <c r="D879" s="131" t="s">
        <v>28</v>
      </c>
      <c r="E879" s="131" t="s">
        <v>29</v>
      </c>
      <c r="F879" s="129">
        <v>46101</v>
      </c>
      <c r="G879" s="131"/>
      <c r="H879" s="131" t="s">
        <v>3577</v>
      </c>
      <c r="I879" s="127" t="s">
        <v>3598</v>
      </c>
      <c r="J879" s="131" t="s">
        <v>165</v>
      </c>
      <c r="K879" s="131" t="s">
        <v>33</v>
      </c>
      <c r="L879" s="131" t="s">
        <v>3616</v>
      </c>
      <c r="M879" s="131"/>
      <c r="N879" s="131" t="s">
        <v>499</v>
      </c>
      <c r="O879" s="131">
        <v>1</v>
      </c>
      <c r="P879" s="131"/>
      <c r="Q879" s="131"/>
      <c r="R879" s="34">
        <v>45</v>
      </c>
      <c r="S879" s="131"/>
      <c r="T879" s="58">
        <v>0</v>
      </c>
      <c r="U879" s="131"/>
      <c r="V879" s="131"/>
      <c r="W879" s="131"/>
      <c r="X879" s="131"/>
    </row>
    <row r="880" spans="1:24" ht="15" thickBot="1">
      <c r="A880" s="131" t="s">
        <v>25</v>
      </c>
      <c r="B880" s="131" t="s">
        <v>26</v>
      </c>
      <c r="C880" s="131" t="s">
        <v>27</v>
      </c>
      <c r="D880" s="131" t="s">
        <v>28</v>
      </c>
      <c r="E880" s="131" t="s">
        <v>29</v>
      </c>
      <c r="F880" s="129">
        <v>46101</v>
      </c>
      <c r="G880" s="131"/>
      <c r="H880" s="131" t="s">
        <v>3578</v>
      </c>
      <c r="I880" s="127" t="s">
        <v>3599</v>
      </c>
      <c r="J880" s="131" t="s">
        <v>172</v>
      </c>
      <c r="K880" s="127" t="s">
        <v>48</v>
      </c>
      <c r="L880" s="131" t="s">
        <v>547</v>
      </c>
      <c r="M880" s="131"/>
      <c r="N880" s="131" t="s">
        <v>499</v>
      </c>
      <c r="O880" s="131">
        <v>1</v>
      </c>
      <c r="P880" s="131"/>
      <c r="Q880" s="131"/>
      <c r="R880" s="34">
        <v>45</v>
      </c>
      <c r="S880" s="131"/>
      <c r="T880" s="58">
        <v>0</v>
      </c>
      <c r="U880" s="131"/>
      <c r="V880" s="131"/>
      <c r="W880" s="131"/>
      <c r="X880" s="131"/>
    </row>
    <row r="881" spans="1:24" ht="15" thickBot="1">
      <c r="A881" s="131" t="s">
        <v>25</v>
      </c>
      <c r="B881" s="131" t="s">
        <v>26</v>
      </c>
      <c r="C881" s="131" t="s">
        <v>27</v>
      </c>
      <c r="D881" s="131" t="s">
        <v>28</v>
      </c>
      <c r="E881" s="131" t="s">
        <v>29</v>
      </c>
      <c r="F881" s="129">
        <v>46101</v>
      </c>
      <c r="G881" s="131"/>
      <c r="H881" s="131" t="s">
        <v>3568</v>
      </c>
      <c r="I881" s="127" t="s">
        <v>3618</v>
      </c>
      <c r="J881" s="127" t="s">
        <v>172</v>
      </c>
      <c r="K881" s="127" t="s">
        <v>48</v>
      </c>
      <c r="L881" s="131"/>
      <c r="M881" s="131"/>
      <c r="N881" s="131" t="s">
        <v>499</v>
      </c>
      <c r="O881" s="131">
        <v>1</v>
      </c>
      <c r="P881" s="127"/>
      <c r="Q881" s="131"/>
      <c r="R881" s="34">
        <v>45</v>
      </c>
      <c r="S881" s="131"/>
      <c r="T881" s="58">
        <v>0</v>
      </c>
      <c r="U881" s="131"/>
      <c r="V881" s="131"/>
      <c r="W881" s="131"/>
      <c r="X881" s="131"/>
    </row>
    <row r="882" spans="1:24" ht="15" thickBot="1">
      <c r="A882" s="4" t="s">
        <v>154</v>
      </c>
      <c r="B882" s="4" t="s">
        <v>155</v>
      </c>
      <c r="C882" s="4">
        <v>616866669</v>
      </c>
      <c r="D882" s="4" t="s">
        <v>156</v>
      </c>
      <c r="E882" s="4" t="s">
        <v>599</v>
      </c>
      <c r="F882" s="129">
        <v>46097</v>
      </c>
      <c r="G882" s="131"/>
      <c r="H882" s="131" t="s">
        <v>3642</v>
      </c>
      <c r="I882" s="127" t="s">
        <v>3626</v>
      </c>
      <c r="J882" s="127" t="s">
        <v>397</v>
      </c>
      <c r="K882" s="127" t="s">
        <v>48</v>
      </c>
      <c r="L882" s="131" t="s">
        <v>3659</v>
      </c>
      <c r="M882" s="131"/>
      <c r="N882" s="131" t="s">
        <v>499</v>
      </c>
      <c r="O882" s="131">
        <v>1</v>
      </c>
      <c r="P882" s="131"/>
      <c r="Q882" s="131"/>
      <c r="R882" s="34">
        <v>45</v>
      </c>
      <c r="S882" s="131"/>
      <c r="T882" s="58">
        <v>0</v>
      </c>
      <c r="U882" s="131"/>
      <c r="V882" s="131"/>
      <c r="W882" s="131"/>
      <c r="X882" s="131"/>
    </row>
    <row r="883" spans="1:24" ht="15" thickBot="1">
      <c r="A883" s="4" t="s">
        <v>154</v>
      </c>
      <c r="B883" s="4" t="s">
        <v>155</v>
      </c>
      <c r="C883" s="4">
        <v>616866669</v>
      </c>
      <c r="D883" s="4" t="s">
        <v>156</v>
      </c>
      <c r="E883" s="4" t="s">
        <v>599</v>
      </c>
      <c r="F883" s="129">
        <v>46097</v>
      </c>
      <c r="G883" s="131"/>
      <c r="H883" s="131" t="s">
        <v>2317</v>
      </c>
      <c r="I883" s="127" t="s">
        <v>2318</v>
      </c>
      <c r="J883" s="127" t="s">
        <v>3619</v>
      </c>
      <c r="K883" s="127" t="s">
        <v>33</v>
      </c>
      <c r="L883" s="131" t="s">
        <v>1402</v>
      </c>
      <c r="M883" s="127" t="s">
        <v>352</v>
      </c>
      <c r="N883" s="131" t="s">
        <v>499</v>
      </c>
      <c r="O883" s="131">
        <v>1</v>
      </c>
      <c r="P883" s="131"/>
      <c r="Q883" s="127" t="s">
        <v>352</v>
      </c>
      <c r="R883" s="34">
        <v>45</v>
      </c>
      <c r="S883" s="131"/>
      <c r="T883" s="58">
        <v>0</v>
      </c>
      <c r="U883" s="131"/>
      <c r="V883" s="131"/>
      <c r="W883" s="131"/>
      <c r="X883" s="131"/>
    </row>
    <row r="884" spans="1:24" ht="15" thickBot="1">
      <c r="A884" s="4" t="s">
        <v>154</v>
      </c>
      <c r="B884" s="4" t="s">
        <v>155</v>
      </c>
      <c r="C884" s="4">
        <v>616866669</v>
      </c>
      <c r="D884" s="4" t="s">
        <v>156</v>
      </c>
      <c r="E884" s="4" t="s">
        <v>599</v>
      </c>
      <c r="F884" s="129">
        <v>46097</v>
      </c>
      <c r="G884" s="131"/>
      <c r="H884" s="131" t="s">
        <v>1867</v>
      </c>
      <c r="I884" s="127" t="s">
        <v>1868</v>
      </c>
      <c r="J884" s="127" t="s">
        <v>502</v>
      </c>
      <c r="K884" s="127" t="s">
        <v>33</v>
      </c>
      <c r="L884" s="131" t="s">
        <v>3660</v>
      </c>
      <c r="M884" s="131"/>
      <c r="N884" s="131" t="s">
        <v>499</v>
      </c>
      <c r="O884" s="131">
        <v>1</v>
      </c>
      <c r="P884" s="131"/>
      <c r="Q884" s="131"/>
      <c r="R884" s="34">
        <v>45</v>
      </c>
      <c r="S884" s="131"/>
      <c r="T884" s="58">
        <v>0</v>
      </c>
      <c r="U884" s="131"/>
      <c r="V884" s="131"/>
      <c r="W884" s="131"/>
      <c r="X884" s="131"/>
    </row>
    <row r="885" spans="1:24" ht="15" thickBot="1">
      <c r="A885" s="4" t="s">
        <v>154</v>
      </c>
      <c r="B885" s="4" t="s">
        <v>155</v>
      </c>
      <c r="C885" s="4">
        <v>616866669</v>
      </c>
      <c r="D885" s="4" t="s">
        <v>156</v>
      </c>
      <c r="E885" s="4" t="s">
        <v>599</v>
      </c>
      <c r="F885" s="129">
        <v>46097</v>
      </c>
      <c r="G885" s="131"/>
      <c r="H885" s="131" t="s">
        <v>3643</v>
      </c>
      <c r="I885" s="127" t="s">
        <v>3627</v>
      </c>
      <c r="J885" s="127" t="s">
        <v>3620</v>
      </c>
      <c r="K885" s="127" t="s">
        <v>33</v>
      </c>
      <c r="L885" s="131" t="s">
        <v>1216</v>
      </c>
      <c r="M885" s="131"/>
      <c r="N885" s="131" t="s">
        <v>499</v>
      </c>
      <c r="O885" s="131">
        <v>1</v>
      </c>
      <c r="P885" s="131"/>
      <c r="Q885" s="131"/>
      <c r="R885" s="34">
        <v>45</v>
      </c>
      <c r="S885" s="131"/>
      <c r="T885" s="58">
        <v>0</v>
      </c>
      <c r="U885" s="131"/>
      <c r="V885" s="131"/>
      <c r="W885" s="131"/>
      <c r="X885" s="131"/>
    </row>
    <row r="886" spans="1:24" ht="15" thickBot="1">
      <c r="A886" s="4" t="s">
        <v>154</v>
      </c>
      <c r="B886" s="4" t="s">
        <v>155</v>
      </c>
      <c r="C886" s="4">
        <v>616866669</v>
      </c>
      <c r="D886" s="4" t="s">
        <v>156</v>
      </c>
      <c r="E886" s="4" t="s">
        <v>599</v>
      </c>
      <c r="F886" s="129">
        <v>46097</v>
      </c>
      <c r="G886" s="131"/>
      <c r="H886" s="131" t="s">
        <v>3644</v>
      </c>
      <c r="I886" s="127" t="s">
        <v>3628</v>
      </c>
      <c r="J886" s="127" t="s">
        <v>3620</v>
      </c>
      <c r="K886" s="127" t="s">
        <v>33</v>
      </c>
      <c r="L886" s="131" t="s">
        <v>301</v>
      </c>
      <c r="M886" s="131"/>
      <c r="N886" s="131" t="s">
        <v>499</v>
      </c>
      <c r="O886" s="131">
        <v>1</v>
      </c>
      <c r="P886" s="131"/>
      <c r="Q886" s="131"/>
      <c r="R886" s="34">
        <v>45</v>
      </c>
      <c r="S886" s="131"/>
      <c r="T886" s="58">
        <v>0</v>
      </c>
      <c r="U886" s="131"/>
      <c r="V886" s="131"/>
      <c r="W886" s="131"/>
      <c r="X886" s="131"/>
    </row>
    <row r="887" spans="1:24" ht="15" thickBot="1">
      <c r="A887" s="4" t="s">
        <v>154</v>
      </c>
      <c r="B887" s="4" t="s">
        <v>155</v>
      </c>
      <c r="C887" s="4">
        <v>616866669</v>
      </c>
      <c r="D887" s="4" t="s">
        <v>156</v>
      </c>
      <c r="E887" s="4" t="s">
        <v>599</v>
      </c>
      <c r="F887" s="129">
        <v>46097</v>
      </c>
      <c r="G887" s="131"/>
      <c r="H887" s="131" t="s">
        <v>3645</v>
      </c>
      <c r="I887" s="127" t="s">
        <v>3629</v>
      </c>
      <c r="J887" s="127" t="s">
        <v>3620</v>
      </c>
      <c r="K887" s="127" t="s">
        <v>33</v>
      </c>
      <c r="L887" s="131" t="s">
        <v>3661</v>
      </c>
      <c r="M887" s="131"/>
      <c r="N887" s="131" t="s">
        <v>499</v>
      </c>
      <c r="O887" s="131">
        <v>1</v>
      </c>
      <c r="P887" s="131"/>
      <c r="Q887" s="131"/>
      <c r="R887" s="34">
        <v>45</v>
      </c>
      <c r="S887" s="131"/>
      <c r="T887" s="58">
        <v>0</v>
      </c>
      <c r="U887" s="131"/>
      <c r="V887" s="131"/>
      <c r="W887" s="131"/>
      <c r="X887" s="131"/>
    </row>
    <row r="888" spans="1:24" ht="15" thickBot="1">
      <c r="A888" s="4" t="s">
        <v>154</v>
      </c>
      <c r="B888" s="4" t="s">
        <v>155</v>
      </c>
      <c r="C888" s="4">
        <v>616866669</v>
      </c>
      <c r="D888" s="4" t="s">
        <v>156</v>
      </c>
      <c r="E888" s="4" t="s">
        <v>599</v>
      </c>
      <c r="F888" s="129">
        <v>46097</v>
      </c>
      <c r="G888" s="131"/>
      <c r="H888" s="131" t="s">
        <v>3646</v>
      </c>
      <c r="I888" s="127" t="s">
        <v>3630</v>
      </c>
      <c r="J888" s="127" t="s">
        <v>3621</v>
      </c>
      <c r="K888" s="127" t="s">
        <v>48</v>
      </c>
      <c r="L888" s="131" t="s">
        <v>319</v>
      </c>
      <c r="M888" s="131"/>
      <c r="N888" s="131" t="s">
        <v>499</v>
      </c>
      <c r="O888" s="131">
        <v>1</v>
      </c>
      <c r="P888" s="131"/>
      <c r="Q888" s="131"/>
      <c r="R888" s="34">
        <v>45</v>
      </c>
      <c r="S888" s="131"/>
      <c r="T888" s="58">
        <v>0</v>
      </c>
      <c r="U888" s="131"/>
      <c r="V888" s="131"/>
      <c r="W888" s="131"/>
      <c r="X888" s="131"/>
    </row>
    <row r="889" spans="1:24" ht="15" thickBot="1">
      <c r="A889" s="4" t="s">
        <v>154</v>
      </c>
      <c r="B889" s="4" t="s">
        <v>155</v>
      </c>
      <c r="C889" s="4">
        <v>616866669</v>
      </c>
      <c r="D889" s="4" t="s">
        <v>156</v>
      </c>
      <c r="E889" s="4" t="s">
        <v>599</v>
      </c>
      <c r="F889" s="129">
        <v>46097</v>
      </c>
      <c r="G889" s="131"/>
      <c r="H889" s="131" t="s">
        <v>3647</v>
      </c>
      <c r="I889" s="127" t="s">
        <v>3631</v>
      </c>
      <c r="J889" s="127" t="s">
        <v>3619</v>
      </c>
      <c r="K889" s="127" t="s">
        <v>33</v>
      </c>
      <c r="L889" s="131" t="s">
        <v>3662</v>
      </c>
      <c r="M889" s="127" t="s">
        <v>3880</v>
      </c>
      <c r="N889" s="131" t="s">
        <v>499</v>
      </c>
      <c r="O889" s="131">
        <v>1</v>
      </c>
      <c r="P889" s="131"/>
      <c r="Q889" s="127" t="s">
        <v>3881</v>
      </c>
      <c r="R889" s="34">
        <v>45</v>
      </c>
      <c r="S889" s="131"/>
      <c r="T889" s="58">
        <v>0</v>
      </c>
      <c r="U889" s="131"/>
      <c r="V889" s="131"/>
      <c r="W889" s="131"/>
      <c r="X889" s="131"/>
    </row>
    <row r="890" spans="1:24" ht="15" thickBot="1">
      <c r="A890" s="4" t="s">
        <v>154</v>
      </c>
      <c r="B890" s="4" t="s">
        <v>155</v>
      </c>
      <c r="C890" s="4">
        <v>616866669</v>
      </c>
      <c r="D890" s="4" t="s">
        <v>156</v>
      </c>
      <c r="E890" s="4" t="s">
        <v>599</v>
      </c>
      <c r="F890" s="129">
        <v>46097</v>
      </c>
      <c r="G890" s="131"/>
      <c r="H890" s="131" t="s">
        <v>3648</v>
      </c>
      <c r="I890" s="127" t="s">
        <v>3632</v>
      </c>
      <c r="J890" s="127" t="s">
        <v>3622</v>
      </c>
      <c r="K890" s="127" t="s">
        <v>48</v>
      </c>
      <c r="L890" s="131" t="s">
        <v>3663</v>
      </c>
      <c r="M890" s="131"/>
      <c r="N890" s="131" t="s">
        <v>499</v>
      </c>
      <c r="O890" s="131">
        <v>1</v>
      </c>
      <c r="P890" s="131"/>
      <c r="Q890" s="131"/>
      <c r="R890" s="34">
        <v>45</v>
      </c>
      <c r="S890" s="131"/>
      <c r="T890" s="58">
        <v>0</v>
      </c>
      <c r="U890" s="131"/>
      <c r="V890" s="131"/>
      <c r="W890" s="131"/>
      <c r="X890" s="131"/>
    </row>
    <row r="891" spans="1:24" ht="15" thickBot="1">
      <c r="A891" s="4" t="s">
        <v>154</v>
      </c>
      <c r="B891" s="4" t="s">
        <v>155</v>
      </c>
      <c r="C891" s="4">
        <v>616866669</v>
      </c>
      <c r="D891" s="4" t="s">
        <v>156</v>
      </c>
      <c r="E891" s="4" t="s">
        <v>599</v>
      </c>
      <c r="F891" s="129">
        <v>46097</v>
      </c>
      <c r="G891" s="131"/>
      <c r="H891" s="131" t="s">
        <v>3649</v>
      </c>
      <c r="I891" s="127" t="s">
        <v>3633</v>
      </c>
      <c r="J891" s="127" t="s">
        <v>3623</v>
      </c>
      <c r="K891" s="127" t="s">
        <v>48</v>
      </c>
      <c r="L891" s="131" t="s">
        <v>351</v>
      </c>
      <c r="M891" s="131"/>
      <c r="N891" s="131" t="s">
        <v>499</v>
      </c>
      <c r="O891" s="131">
        <v>1</v>
      </c>
      <c r="P891" s="131"/>
      <c r="Q891" s="131"/>
      <c r="R891" s="34">
        <v>45</v>
      </c>
      <c r="S891" s="131"/>
      <c r="T891" s="58">
        <v>0</v>
      </c>
      <c r="U891" s="131"/>
      <c r="V891" s="131"/>
      <c r="W891" s="131"/>
      <c r="X891" s="131"/>
    </row>
    <row r="892" spans="1:24" ht="15" thickBot="1">
      <c r="A892" s="4" t="s">
        <v>154</v>
      </c>
      <c r="B892" s="4" t="s">
        <v>155</v>
      </c>
      <c r="C892" s="4">
        <v>616866669</v>
      </c>
      <c r="D892" s="4" t="s">
        <v>156</v>
      </c>
      <c r="E892" s="4" t="s">
        <v>599</v>
      </c>
      <c r="F892" s="129">
        <v>46097</v>
      </c>
      <c r="G892" s="131"/>
      <c r="H892" s="131" t="s">
        <v>3650</v>
      </c>
      <c r="I892" s="127" t="s">
        <v>952</v>
      </c>
      <c r="J892" s="127" t="s">
        <v>3619</v>
      </c>
      <c r="K892" s="127" t="s">
        <v>33</v>
      </c>
      <c r="L892" s="131" t="s">
        <v>173</v>
      </c>
      <c r="M892" s="131"/>
      <c r="N892" s="131" t="s">
        <v>499</v>
      </c>
      <c r="O892" s="131">
        <v>1</v>
      </c>
      <c r="P892" s="131"/>
      <c r="Q892" s="131"/>
      <c r="R892" s="34">
        <v>45</v>
      </c>
      <c r="S892" s="131"/>
      <c r="T892" s="58">
        <v>0</v>
      </c>
      <c r="U892" s="131"/>
      <c r="V892" s="131"/>
      <c r="W892" s="131"/>
      <c r="X892" s="131"/>
    </row>
    <row r="893" spans="1:24" ht="15" thickBot="1">
      <c r="A893" s="4" t="s">
        <v>154</v>
      </c>
      <c r="B893" s="4" t="s">
        <v>155</v>
      </c>
      <c r="C893" s="4">
        <v>616866669</v>
      </c>
      <c r="D893" s="4" t="s">
        <v>156</v>
      </c>
      <c r="E893" s="4" t="s">
        <v>599</v>
      </c>
      <c r="F893" s="129">
        <v>46097</v>
      </c>
      <c r="G893" s="131"/>
      <c r="H893" s="131" t="s">
        <v>3651</v>
      </c>
      <c r="I893" s="127" t="s">
        <v>3634</v>
      </c>
      <c r="J893" s="127" t="s">
        <v>3623</v>
      </c>
      <c r="K893" s="127" t="s">
        <v>48</v>
      </c>
      <c r="L893" s="131" t="s">
        <v>3664</v>
      </c>
      <c r="M893" s="131"/>
      <c r="N893" s="131" t="s">
        <v>499</v>
      </c>
      <c r="O893" s="131">
        <v>1</v>
      </c>
      <c r="P893" s="131"/>
      <c r="Q893" s="131"/>
      <c r="R893" s="34">
        <v>45</v>
      </c>
      <c r="S893" s="131"/>
      <c r="T893" s="58">
        <v>0</v>
      </c>
      <c r="U893" s="131"/>
      <c r="V893" s="131"/>
      <c r="W893" s="131"/>
      <c r="X893" s="131"/>
    </row>
    <row r="894" spans="1:24" ht="15" thickBot="1">
      <c r="A894" s="4" t="s">
        <v>154</v>
      </c>
      <c r="B894" s="4" t="s">
        <v>155</v>
      </c>
      <c r="C894" s="4">
        <v>616866669</v>
      </c>
      <c r="D894" s="4" t="s">
        <v>156</v>
      </c>
      <c r="E894" s="4" t="s">
        <v>599</v>
      </c>
      <c r="F894" s="129">
        <v>46097</v>
      </c>
      <c r="G894" s="131"/>
      <c r="H894" s="131" t="s">
        <v>3652</v>
      </c>
      <c r="I894" s="127" t="s">
        <v>3635</v>
      </c>
      <c r="J894" s="127" t="s">
        <v>3619</v>
      </c>
      <c r="K894" s="127" t="s">
        <v>33</v>
      </c>
      <c r="L894" s="131" t="s">
        <v>3665</v>
      </c>
      <c r="M894" s="131"/>
      <c r="N894" s="131" t="s">
        <v>499</v>
      </c>
      <c r="O894" s="131">
        <v>1</v>
      </c>
      <c r="P894" s="131"/>
      <c r="Q894" s="131"/>
      <c r="R894" s="34">
        <v>45</v>
      </c>
      <c r="S894" s="131"/>
      <c r="T894" s="58">
        <v>0</v>
      </c>
      <c r="U894" s="131"/>
      <c r="V894" s="131"/>
      <c r="W894" s="131"/>
      <c r="X894" s="131"/>
    </row>
    <row r="895" spans="1:24" ht="15" thickBot="1">
      <c r="A895" s="4" t="s">
        <v>154</v>
      </c>
      <c r="B895" s="4" t="s">
        <v>155</v>
      </c>
      <c r="C895" s="4">
        <v>616866669</v>
      </c>
      <c r="D895" s="4" t="s">
        <v>156</v>
      </c>
      <c r="E895" s="4" t="s">
        <v>599</v>
      </c>
      <c r="F895" s="129">
        <v>46097</v>
      </c>
      <c r="G895" s="131"/>
      <c r="H895" s="131" t="s">
        <v>2298</v>
      </c>
      <c r="I895" s="127" t="s">
        <v>2299</v>
      </c>
      <c r="J895" s="127" t="s">
        <v>3619</v>
      </c>
      <c r="K895" s="127" t="s">
        <v>33</v>
      </c>
      <c r="L895" s="131" t="s">
        <v>631</v>
      </c>
      <c r="M895" s="127" t="s">
        <v>924</v>
      </c>
      <c r="N895" s="131" t="s">
        <v>499</v>
      </c>
      <c r="O895" s="131">
        <v>1</v>
      </c>
      <c r="P895" s="131"/>
      <c r="Q895" s="127" t="s">
        <v>66</v>
      </c>
      <c r="R895" s="34">
        <v>45</v>
      </c>
      <c r="S895" s="131"/>
      <c r="T895" s="58">
        <v>0</v>
      </c>
      <c r="U895" s="131"/>
      <c r="V895" s="131"/>
      <c r="W895" s="131"/>
      <c r="X895" s="131"/>
    </row>
    <row r="896" spans="1:24" ht="15" thickBot="1">
      <c r="A896" s="4" t="s">
        <v>154</v>
      </c>
      <c r="B896" s="4" t="s">
        <v>155</v>
      </c>
      <c r="C896" s="4">
        <v>616866669</v>
      </c>
      <c r="D896" s="4" t="s">
        <v>156</v>
      </c>
      <c r="E896" s="4" t="s">
        <v>599</v>
      </c>
      <c r="F896" s="129">
        <v>46097</v>
      </c>
      <c r="G896" s="131"/>
      <c r="H896" s="131" t="s">
        <v>3653</v>
      </c>
      <c r="I896" s="127" t="s">
        <v>3636</v>
      </c>
      <c r="J896" s="127" t="s">
        <v>3619</v>
      </c>
      <c r="K896" s="127" t="s">
        <v>33</v>
      </c>
      <c r="L896" s="131" t="s">
        <v>3666</v>
      </c>
      <c r="M896" s="131"/>
      <c r="N896" s="131" t="s">
        <v>499</v>
      </c>
      <c r="O896" s="131">
        <v>1</v>
      </c>
      <c r="P896" s="131"/>
      <c r="Q896" s="131"/>
      <c r="R896" s="34">
        <v>45</v>
      </c>
      <c r="S896" s="131"/>
      <c r="T896" s="58">
        <v>0</v>
      </c>
      <c r="U896" s="131"/>
      <c r="V896" s="131"/>
      <c r="W896" s="131"/>
      <c r="X896" s="131"/>
    </row>
    <row r="897" spans="1:24" ht="15" thickBot="1">
      <c r="A897" s="4" t="s">
        <v>154</v>
      </c>
      <c r="B897" s="4" t="s">
        <v>155</v>
      </c>
      <c r="C897" s="4">
        <v>616866669</v>
      </c>
      <c r="D897" s="4" t="s">
        <v>156</v>
      </c>
      <c r="E897" s="4" t="s">
        <v>599</v>
      </c>
      <c r="F897" s="129">
        <v>46097</v>
      </c>
      <c r="G897" s="131"/>
      <c r="H897" s="131" t="s">
        <v>3654</v>
      </c>
      <c r="I897" s="127" t="s">
        <v>3637</v>
      </c>
      <c r="J897" s="127" t="s">
        <v>3624</v>
      </c>
      <c r="K897" s="127" t="s">
        <v>33</v>
      </c>
      <c r="L897" s="131" t="s">
        <v>3667</v>
      </c>
      <c r="M897" s="131"/>
      <c r="N897" s="131" t="s">
        <v>499</v>
      </c>
      <c r="O897" s="131">
        <v>1</v>
      </c>
      <c r="P897" s="131"/>
      <c r="Q897" s="131"/>
      <c r="R897" s="34">
        <v>45</v>
      </c>
      <c r="S897" s="131"/>
      <c r="T897" s="58">
        <v>0</v>
      </c>
      <c r="U897" s="131"/>
      <c r="V897" s="131"/>
      <c r="W897" s="131"/>
      <c r="X897" s="131"/>
    </row>
    <row r="898" spans="1:24" ht="15" thickBot="1">
      <c r="A898" s="4" t="s">
        <v>154</v>
      </c>
      <c r="B898" s="4" t="s">
        <v>155</v>
      </c>
      <c r="C898" s="4">
        <v>616866669</v>
      </c>
      <c r="D898" s="4" t="s">
        <v>156</v>
      </c>
      <c r="E898" s="4" t="s">
        <v>599</v>
      </c>
      <c r="F898" s="129">
        <v>46097</v>
      </c>
      <c r="G898" s="131"/>
      <c r="H898" s="131" t="s">
        <v>3655</v>
      </c>
      <c r="I898" s="127" t="s">
        <v>3638</v>
      </c>
      <c r="J898" s="127" t="s">
        <v>3619</v>
      </c>
      <c r="K898" s="127" t="s">
        <v>33</v>
      </c>
      <c r="L898" s="131" t="s">
        <v>301</v>
      </c>
      <c r="M898" s="131"/>
      <c r="N898" s="131" t="s">
        <v>499</v>
      </c>
      <c r="O898" s="131">
        <v>1</v>
      </c>
      <c r="P898" s="131"/>
      <c r="Q898" s="131"/>
      <c r="R898" s="34">
        <v>45</v>
      </c>
      <c r="S898" s="131"/>
      <c r="T898" s="58">
        <v>0</v>
      </c>
      <c r="U898" s="131"/>
      <c r="V898" s="131"/>
      <c r="W898" s="131"/>
      <c r="X898" s="131"/>
    </row>
    <row r="899" spans="1:24" ht="15" thickBot="1">
      <c r="A899" s="4" t="s">
        <v>154</v>
      </c>
      <c r="B899" s="4" t="s">
        <v>155</v>
      </c>
      <c r="C899" s="4">
        <v>616866669</v>
      </c>
      <c r="D899" s="4" t="s">
        <v>156</v>
      </c>
      <c r="E899" s="4" t="s">
        <v>599</v>
      </c>
      <c r="F899" s="129">
        <v>46097</v>
      </c>
      <c r="G899" s="131"/>
      <c r="H899" s="131" t="s">
        <v>3656</v>
      </c>
      <c r="I899" s="127" t="s">
        <v>3639</v>
      </c>
      <c r="J899" s="127" t="s">
        <v>3624</v>
      </c>
      <c r="K899" s="127" t="s">
        <v>33</v>
      </c>
      <c r="L899" s="131" t="s">
        <v>2051</v>
      </c>
      <c r="M899" s="131"/>
      <c r="N899" s="131" t="s">
        <v>499</v>
      </c>
      <c r="O899" s="131">
        <v>1</v>
      </c>
      <c r="P899" s="131"/>
      <c r="Q899" s="131"/>
      <c r="R899" s="34">
        <v>45</v>
      </c>
      <c r="S899" s="131"/>
      <c r="T899" s="58">
        <v>0</v>
      </c>
      <c r="U899" s="131"/>
      <c r="V899" s="131"/>
      <c r="W899" s="131"/>
      <c r="X899" s="131"/>
    </row>
    <row r="900" spans="1:24" ht="15" thickBot="1">
      <c r="A900" s="4" t="s">
        <v>154</v>
      </c>
      <c r="B900" s="4" t="s">
        <v>155</v>
      </c>
      <c r="C900" s="4">
        <v>616866669</v>
      </c>
      <c r="D900" s="4" t="s">
        <v>156</v>
      </c>
      <c r="E900" s="4" t="s">
        <v>599</v>
      </c>
      <c r="F900" s="129">
        <v>46097</v>
      </c>
      <c r="G900" s="131"/>
      <c r="H900" s="131" t="s">
        <v>3657</v>
      </c>
      <c r="I900" s="127" t="s">
        <v>3640</v>
      </c>
      <c r="J900" s="127" t="s">
        <v>3624</v>
      </c>
      <c r="K900" s="127" t="s">
        <v>33</v>
      </c>
      <c r="L900" s="131" t="s">
        <v>3668</v>
      </c>
      <c r="M900" s="131"/>
      <c r="N900" s="131" t="s">
        <v>499</v>
      </c>
      <c r="O900" s="131">
        <v>1</v>
      </c>
      <c r="P900" s="131"/>
      <c r="Q900" s="131"/>
      <c r="R900" s="34">
        <v>45</v>
      </c>
      <c r="S900" s="131"/>
      <c r="T900" s="58">
        <v>0</v>
      </c>
      <c r="U900" s="131"/>
      <c r="V900" s="131"/>
      <c r="W900" s="131"/>
      <c r="X900" s="131"/>
    </row>
    <row r="901" spans="1:24" ht="15" thickBot="1">
      <c r="A901" s="4" t="s">
        <v>154</v>
      </c>
      <c r="B901" s="4" t="s">
        <v>155</v>
      </c>
      <c r="C901" s="4">
        <v>616866669</v>
      </c>
      <c r="D901" s="4" t="s">
        <v>156</v>
      </c>
      <c r="E901" s="4" t="s">
        <v>599</v>
      </c>
      <c r="F901" s="129">
        <v>46097</v>
      </c>
      <c r="G901" s="131"/>
      <c r="H901" s="131" t="s">
        <v>3658</v>
      </c>
      <c r="I901" s="127" t="s">
        <v>3641</v>
      </c>
      <c r="J901" s="127" t="s">
        <v>3625</v>
      </c>
      <c r="K901" s="127" t="s">
        <v>33</v>
      </c>
      <c r="L901" s="131" t="s">
        <v>3669</v>
      </c>
      <c r="M901" s="131"/>
      <c r="N901" s="131" t="s">
        <v>499</v>
      </c>
      <c r="O901" s="131">
        <v>1</v>
      </c>
      <c r="P901" s="131"/>
      <c r="Q901" s="131"/>
      <c r="R901" s="34">
        <v>45</v>
      </c>
      <c r="S901" s="131"/>
      <c r="T901" s="58">
        <v>0</v>
      </c>
      <c r="U901" s="131"/>
      <c r="V901" s="131"/>
      <c r="W901" s="131"/>
      <c r="X901" s="131"/>
    </row>
    <row r="902" spans="1:24" ht="15" thickBot="1">
      <c r="A902" s="140" t="s">
        <v>25</v>
      </c>
      <c r="B902" s="140" t="s">
        <v>26</v>
      </c>
      <c r="C902" s="140" t="s">
        <v>27</v>
      </c>
      <c r="D902" s="140" t="s">
        <v>28</v>
      </c>
      <c r="E902" s="140" t="s">
        <v>29</v>
      </c>
      <c r="F902" s="141">
        <v>46101</v>
      </c>
      <c r="G902" s="140"/>
      <c r="H902" s="140" t="s">
        <v>3882</v>
      </c>
      <c r="I902" s="142" t="s">
        <v>3883</v>
      </c>
      <c r="J902" s="142" t="s">
        <v>165</v>
      </c>
      <c r="K902" s="142" t="s">
        <v>33</v>
      </c>
      <c r="L902" s="140" t="s">
        <v>3884</v>
      </c>
      <c r="M902" s="140"/>
      <c r="N902" s="140" t="s">
        <v>499</v>
      </c>
      <c r="O902" s="131">
        <v>1</v>
      </c>
      <c r="P902" s="131"/>
      <c r="Q902" s="131"/>
      <c r="R902" s="143">
        <v>45</v>
      </c>
      <c r="S902" s="131"/>
      <c r="T902" s="143">
        <v>0</v>
      </c>
      <c r="U902" s="131"/>
      <c r="V902" s="131"/>
      <c r="W902" s="131"/>
      <c r="X902" s="131"/>
    </row>
    <row r="903" spans="1:24" s="147" customFormat="1" ht="15" thickBot="1">
      <c r="A903" s="144" t="s">
        <v>25</v>
      </c>
      <c r="B903" s="144" t="s">
        <v>26</v>
      </c>
      <c r="C903" s="144">
        <v>682687160</v>
      </c>
      <c r="D903" s="144" t="s">
        <v>1164</v>
      </c>
      <c r="E903" s="144" t="s">
        <v>1268</v>
      </c>
      <c r="F903" s="145">
        <v>46122</v>
      </c>
      <c r="G903" s="146"/>
      <c r="H903" s="144" t="s">
        <v>3885</v>
      </c>
      <c r="I903" s="144" t="s">
        <v>3886</v>
      </c>
      <c r="J903" s="144" t="s">
        <v>397</v>
      </c>
      <c r="K903" s="144" t="s">
        <v>48</v>
      </c>
      <c r="L903" s="144" t="s">
        <v>3887</v>
      </c>
      <c r="M903" s="144"/>
      <c r="N903" s="144" t="s">
        <v>499</v>
      </c>
      <c r="O903" s="144">
        <v>1</v>
      </c>
      <c r="P903" s="144"/>
      <c r="Q903" s="144"/>
      <c r="R903" s="143">
        <v>45</v>
      </c>
      <c r="S903" s="144"/>
      <c r="T903" s="143">
        <v>0</v>
      </c>
      <c r="U903" s="144"/>
      <c r="V903" s="144"/>
      <c r="W903" s="144"/>
      <c r="X903" s="144"/>
    </row>
    <row r="904" spans="1:24" s="147" customFormat="1" ht="15" thickBot="1">
      <c r="A904" s="144" t="s">
        <v>25</v>
      </c>
      <c r="B904" s="144" t="s">
        <v>26</v>
      </c>
      <c r="C904" s="144">
        <v>682687160</v>
      </c>
      <c r="D904" s="144" t="s">
        <v>1164</v>
      </c>
      <c r="E904" s="144" t="s">
        <v>1268</v>
      </c>
      <c r="F904" s="145">
        <v>46122</v>
      </c>
      <c r="G904" s="146"/>
      <c r="H904" s="144" t="s">
        <v>3888</v>
      </c>
      <c r="I904" s="144" t="s">
        <v>3889</v>
      </c>
      <c r="J904" s="144" t="s">
        <v>160</v>
      </c>
      <c r="K904" s="144" t="s">
        <v>33</v>
      </c>
      <c r="L904" s="144" t="s">
        <v>478</v>
      </c>
      <c r="M904" s="144"/>
      <c r="N904" s="144" t="s">
        <v>499</v>
      </c>
      <c r="O904" s="144">
        <v>1</v>
      </c>
      <c r="P904" s="144"/>
      <c r="Q904" s="144"/>
      <c r="R904" s="143">
        <v>45</v>
      </c>
      <c r="S904" s="148"/>
      <c r="T904" s="143">
        <v>0</v>
      </c>
      <c r="U904" s="144"/>
      <c r="V904" s="144"/>
      <c r="W904" s="144"/>
      <c r="X904" s="144"/>
    </row>
    <row r="905" spans="1:24" s="147" customFormat="1" ht="15" thickBot="1">
      <c r="A905" s="144" t="s">
        <v>25</v>
      </c>
      <c r="B905" s="144" t="s">
        <v>26</v>
      </c>
      <c r="C905" s="144">
        <v>682687160</v>
      </c>
      <c r="D905" s="144" t="s">
        <v>1164</v>
      </c>
      <c r="E905" s="144" t="s">
        <v>1268</v>
      </c>
      <c r="F905" s="145">
        <v>46122</v>
      </c>
      <c r="G905" s="146"/>
      <c r="H905" s="144" t="s">
        <v>3890</v>
      </c>
      <c r="I905" s="144" t="s">
        <v>3891</v>
      </c>
      <c r="J905" s="144" t="s">
        <v>397</v>
      </c>
      <c r="K905" s="144" t="s">
        <v>48</v>
      </c>
      <c r="L905" s="144" t="s">
        <v>3892</v>
      </c>
      <c r="M905" s="144"/>
      <c r="N905" s="144" t="s">
        <v>499</v>
      </c>
      <c r="O905" s="144">
        <v>1</v>
      </c>
      <c r="P905" s="144"/>
      <c r="Q905" s="144"/>
      <c r="R905" s="143">
        <v>45</v>
      </c>
      <c r="S905" s="148"/>
      <c r="T905" s="143">
        <v>0</v>
      </c>
      <c r="U905" s="144"/>
      <c r="V905" s="144"/>
      <c r="W905" s="144"/>
      <c r="X905" s="144"/>
    </row>
    <row r="906" spans="1:24" s="147" customFormat="1" ht="15" thickBot="1">
      <c r="A906" s="144" t="s">
        <v>25</v>
      </c>
      <c r="B906" s="144" t="s">
        <v>26</v>
      </c>
      <c r="C906" s="144">
        <v>682687160</v>
      </c>
      <c r="D906" s="144" t="s">
        <v>1164</v>
      </c>
      <c r="E906" s="144" t="s">
        <v>1268</v>
      </c>
      <c r="F906" s="145">
        <v>46122</v>
      </c>
      <c r="G906" s="146"/>
      <c r="H906" s="144" t="s">
        <v>3893</v>
      </c>
      <c r="I906" s="144" t="s">
        <v>3894</v>
      </c>
      <c r="J906" s="144" t="s">
        <v>160</v>
      </c>
      <c r="K906" s="144" t="s">
        <v>33</v>
      </c>
      <c r="L906" s="144" t="s">
        <v>3895</v>
      </c>
      <c r="M906" s="144"/>
      <c r="N906" s="144" t="s">
        <v>499</v>
      </c>
      <c r="O906" s="144">
        <v>1</v>
      </c>
      <c r="P906" s="144"/>
      <c r="Q906" s="144"/>
      <c r="R906" s="143">
        <v>45</v>
      </c>
      <c r="S906" s="148"/>
      <c r="T906" s="143">
        <v>0</v>
      </c>
      <c r="U906" s="144"/>
      <c r="V906" s="144"/>
      <c r="W906" s="144"/>
      <c r="X906" s="144"/>
    </row>
    <row r="907" spans="1:24" s="147" customFormat="1" ht="15" thickBot="1">
      <c r="A907" s="144" t="s">
        <v>25</v>
      </c>
      <c r="B907" s="144" t="s">
        <v>26</v>
      </c>
      <c r="C907" s="144">
        <v>682687160</v>
      </c>
      <c r="D907" s="144" t="s">
        <v>1164</v>
      </c>
      <c r="E907" s="144" t="s">
        <v>1268</v>
      </c>
      <c r="F907" s="145">
        <v>46122</v>
      </c>
      <c r="G907" s="146"/>
      <c r="H907" s="144" t="s">
        <v>3896</v>
      </c>
      <c r="I907" s="144" t="s">
        <v>3897</v>
      </c>
      <c r="J907" s="144" t="s">
        <v>201</v>
      </c>
      <c r="K907" s="144" t="s">
        <v>48</v>
      </c>
      <c r="L907" s="144" t="s">
        <v>3898</v>
      </c>
      <c r="M907" s="144"/>
      <c r="N907" s="144" t="s">
        <v>499</v>
      </c>
      <c r="O907" s="144">
        <v>1</v>
      </c>
      <c r="P907" s="144"/>
      <c r="Q907" s="144"/>
      <c r="R907" s="143">
        <v>45</v>
      </c>
      <c r="S907" s="148"/>
      <c r="T907" s="143">
        <v>0</v>
      </c>
      <c r="U907" s="144"/>
      <c r="V907" s="144"/>
      <c r="W907" s="144"/>
      <c r="X907" s="144"/>
    </row>
    <row r="908" spans="1:24" s="147" customFormat="1" ht="15" thickBot="1">
      <c r="A908" s="144" t="s">
        <v>25</v>
      </c>
      <c r="B908" s="144" t="s">
        <v>26</v>
      </c>
      <c r="C908" s="144">
        <v>682687160</v>
      </c>
      <c r="D908" s="144" t="s">
        <v>1164</v>
      </c>
      <c r="E908" s="144" t="s">
        <v>1268</v>
      </c>
      <c r="F908" s="145">
        <v>46122</v>
      </c>
      <c r="G908" s="146"/>
      <c r="H908" s="144" t="s">
        <v>3899</v>
      </c>
      <c r="I908" s="144" t="s">
        <v>3900</v>
      </c>
      <c r="J908" s="144" t="s">
        <v>502</v>
      </c>
      <c r="K908" s="144" t="s">
        <v>33</v>
      </c>
      <c r="L908" s="144" t="s">
        <v>3901</v>
      </c>
      <c r="M908" s="144"/>
      <c r="N908" s="144" t="s">
        <v>499</v>
      </c>
      <c r="O908" s="144">
        <v>1</v>
      </c>
      <c r="P908" s="144"/>
      <c r="Q908" s="144"/>
      <c r="R908" s="143">
        <v>45</v>
      </c>
      <c r="S908" s="148"/>
      <c r="T908" s="143">
        <v>0</v>
      </c>
      <c r="U908" s="144"/>
      <c r="V908" s="144"/>
      <c r="W908" s="144"/>
      <c r="X908" s="144"/>
    </row>
    <row r="909" spans="1:24" s="147" customFormat="1" ht="15" thickBot="1">
      <c r="A909" s="144" t="s">
        <v>25</v>
      </c>
      <c r="B909" s="144" t="s">
        <v>26</v>
      </c>
      <c r="C909" s="144">
        <v>682687160</v>
      </c>
      <c r="D909" s="144" t="s">
        <v>1164</v>
      </c>
      <c r="E909" s="144" t="s">
        <v>1268</v>
      </c>
      <c r="F909" s="145">
        <v>46122</v>
      </c>
      <c r="G909" s="146"/>
      <c r="H909" s="144" t="s">
        <v>3902</v>
      </c>
      <c r="I909" s="144" t="s">
        <v>3903</v>
      </c>
      <c r="J909" s="144" t="s">
        <v>780</v>
      </c>
      <c r="K909" s="144" t="s">
        <v>48</v>
      </c>
      <c r="L909" s="144" t="s">
        <v>3904</v>
      </c>
      <c r="M909" s="144"/>
      <c r="N909" s="144" t="s">
        <v>499</v>
      </c>
      <c r="O909" s="144">
        <v>1</v>
      </c>
      <c r="P909" s="144"/>
      <c r="Q909" s="144"/>
      <c r="R909" s="143">
        <v>45</v>
      </c>
      <c r="S909" s="148"/>
      <c r="T909" s="143">
        <v>0</v>
      </c>
      <c r="U909" s="144"/>
      <c r="V909" s="144"/>
      <c r="W909" s="144"/>
      <c r="X909" s="144"/>
    </row>
    <row r="910" spans="1:24" s="147" customFormat="1" ht="15" thickBot="1">
      <c r="A910" s="144" t="s">
        <v>25</v>
      </c>
      <c r="B910" s="144" t="s">
        <v>26</v>
      </c>
      <c r="C910" s="144">
        <v>682687160</v>
      </c>
      <c r="D910" s="144" t="s">
        <v>1164</v>
      </c>
      <c r="E910" s="144" t="s">
        <v>1268</v>
      </c>
      <c r="F910" s="145">
        <v>46122</v>
      </c>
      <c r="G910" s="146"/>
      <c r="H910" s="144" t="s">
        <v>3905</v>
      </c>
      <c r="I910" s="144" t="s">
        <v>3906</v>
      </c>
      <c r="J910" s="144" t="s">
        <v>780</v>
      </c>
      <c r="K910" s="144" t="s">
        <v>48</v>
      </c>
      <c r="L910" s="144" t="s">
        <v>3907</v>
      </c>
      <c r="M910" s="144"/>
      <c r="N910" s="144" t="s">
        <v>499</v>
      </c>
      <c r="O910" s="144">
        <v>1</v>
      </c>
      <c r="P910" s="144"/>
      <c r="Q910" s="144"/>
      <c r="R910" s="143">
        <v>45</v>
      </c>
      <c r="S910" s="148"/>
      <c r="T910" s="143">
        <v>0</v>
      </c>
      <c r="U910" s="144"/>
      <c r="V910" s="144"/>
      <c r="W910" s="144"/>
      <c r="X910" s="144"/>
    </row>
    <row r="911" spans="1:24" s="147" customFormat="1" ht="15" thickBot="1">
      <c r="A911" s="144" t="s">
        <v>25</v>
      </c>
      <c r="B911" s="144" t="s">
        <v>26</v>
      </c>
      <c r="C911" s="144">
        <v>682687160</v>
      </c>
      <c r="D911" s="144" t="s">
        <v>1164</v>
      </c>
      <c r="E911" s="144" t="s">
        <v>1268</v>
      </c>
      <c r="F911" s="145">
        <v>46122</v>
      </c>
      <c r="G911" s="146"/>
      <c r="H911" s="144" t="s">
        <v>3908</v>
      </c>
      <c r="I911" s="144" t="s">
        <v>3909</v>
      </c>
      <c r="J911" s="144" t="s">
        <v>160</v>
      </c>
      <c r="K911" s="144" t="s">
        <v>33</v>
      </c>
      <c r="L911" s="144" t="s">
        <v>478</v>
      </c>
      <c r="M911" s="144"/>
      <c r="N911" s="144" t="s">
        <v>499</v>
      </c>
      <c r="O911" s="144">
        <v>1</v>
      </c>
      <c r="P911" s="144"/>
      <c r="Q911" s="144"/>
      <c r="R911" s="143">
        <v>45</v>
      </c>
      <c r="S911" s="148"/>
      <c r="T911" s="143">
        <v>0</v>
      </c>
      <c r="U911" s="144"/>
      <c r="V911" s="144"/>
      <c r="W911" s="144"/>
      <c r="X911" s="144"/>
    </row>
    <row r="912" spans="1:24" s="147" customFormat="1" ht="15" thickBot="1">
      <c r="A912" s="144" t="s">
        <v>25</v>
      </c>
      <c r="B912" s="144" t="s">
        <v>26</v>
      </c>
      <c r="C912" s="144">
        <v>682687160</v>
      </c>
      <c r="D912" s="144" t="s">
        <v>1164</v>
      </c>
      <c r="E912" s="144" t="s">
        <v>1268</v>
      </c>
      <c r="F912" s="145">
        <v>46122</v>
      </c>
      <c r="G912" s="146"/>
      <c r="H912" s="144" t="s">
        <v>3910</v>
      </c>
      <c r="I912" s="144" t="s">
        <v>3911</v>
      </c>
      <c r="J912" s="144" t="s">
        <v>502</v>
      </c>
      <c r="K912" s="144" t="s">
        <v>33</v>
      </c>
      <c r="L912" s="144" t="s">
        <v>3912</v>
      </c>
      <c r="M912" s="144"/>
      <c r="N912" s="144" t="s">
        <v>499</v>
      </c>
      <c r="O912" s="144">
        <v>1</v>
      </c>
      <c r="P912" s="144"/>
      <c r="Q912" s="144"/>
      <c r="R912" s="143">
        <v>45</v>
      </c>
      <c r="S912" s="148"/>
      <c r="T912" s="143">
        <v>0</v>
      </c>
      <c r="U912" s="144"/>
      <c r="V912" s="144"/>
      <c r="W912" s="144"/>
      <c r="X912" s="144"/>
    </row>
    <row r="913" spans="1:24" s="147" customFormat="1" ht="15" thickBot="1">
      <c r="A913" s="144" t="s">
        <v>25</v>
      </c>
      <c r="B913" s="144" t="s">
        <v>26</v>
      </c>
      <c r="C913" s="144">
        <v>682687160</v>
      </c>
      <c r="D913" s="144" t="s">
        <v>1164</v>
      </c>
      <c r="E913" s="144" t="s">
        <v>1268</v>
      </c>
      <c r="F913" s="145">
        <v>46122</v>
      </c>
      <c r="G913" s="146"/>
      <c r="H913" s="144" t="s">
        <v>3913</v>
      </c>
      <c r="I913" s="144" t="s">
        <v>3914</v>
      </c>
      <c r="J913" s="144" t="s">
        <v>374</v>
      </c>
      <c r="K913" s="144" t="s">
        <v>33</v>
      </c>
      <c r="L913" s="144" t="s">
        <v>3915</v>
      </c>
      <c r="M913" s="144"/>
      <c r="N913" s="144" t="s">
        <v>499</v>
      </c>
      <c r="O913" s="144">
        <v>1</v>
      </c>
      <c r="P913" s="144"/>
      <c r="Q913" s="144"/>
      <c r="R913" s="143">
        <v>45</v>
      </c>
      <c r="S913" s="148"/>
      <c r="T913" s="143">
        <v>0</v>
      </c>
      <c r="U913" s="144"/>
      <c r="V913" s="144"/>
      <c r="W913" s="144"/>
      <c r="X913" s="144"/>
    </row>
    <row r="914" spans="1:24" s="147" customFormat="1" ht="15" thickBot="1">
      <c r="A914" s="144" t="s">
        <v>25</v>
      </c>
      <c r="B914" s="144" t="s">
        <v>26</v>
      </c>
      <c r="C914" s="144">
        <v>682687160</v>
      </c>
      <c r="D914" s="144" t="s">
        <v>1164</v>
      </c>
      <c r="E914" s="144" t="s">
        <v>1268</v>
      </c>
      <c r="F914" s="145">
        <v>46122</v>
      </c>
      <c r="G914" s="146"/>
      <c r="H914" s="144" t="s">
        <v>3916</v>
      </c>
      <c r="I914" s="144" t="s">
        <v>3917</v>
      </c>
      <c r="J914" s="144" t="s">
        <v>201</v>
      </c>
      <c r="K914" s="144" t="s">
        <v>48</v>
      </c>
      <c r="L914" s="144" t="s">
        <v>3915</v>
      </c>
      <c r="M914" s="144"/>
      <c r="N914" s="144" t="s">
        <v>499</v>
      </c>
      <c r="O914" s="144">
        <v>1</v>
      </c>
      <c r="P914" s="144"/>
      <c r="Q914" s="144"/>
      <c r="R914" s="143">
        <v>45</v>
      </c>
      <c r="S914" s="148"/>
      <c r="T914" s="143">
        <v>0</v>
      </c>
      <c r="U914" s="144"/>
      <c r="V914" s="144"/>
      <c r="W914" s="144"/>
      <c r="X914" s="144"/>
    </row>
    <row r="915" spans="1:24" s="147" customFormat="1" ht="15" thickBot="1">
      <c r="A915" s="144" t="s">
        <v>25</v>
      </c>
      <c r="B915" s="144" t="s">
        <v>26</v>
      </c>
      <c r="C915" s="144">
        <v>682687160</v>
      </c>
      <c r="D915" s="144" t="s">
        <v>1164</v>
      </c>
      <c r="E915" s="144" t="s">
        <v>1268</v>
      </c>
      <c r="F915" s="145">
        <v>46122</v>
      </c>
      <c r="G915" s="146"/>
      <c r="H915" s="144" t="s">
        <v>3918</v>
      </c>
      <c r="I915" s="144" t="s">
        <v>3919</v>
      </c>
      <c r="J915" s="144" t="s">
        <v>201</v>
      </c>
      <c r="K915" s="144" t="s">
        <v>48</v>
      </c>
      <c r="L915" s="144" t="s">
        <v>213</v>
      </c>
      <c r="M915" s="144"/>
      <c r="N915" s="144" t="s">
        <v>499</v>
      </c>
      <c r="O915" s="144">
        <v>1</v>
      </c>
      <c r="P915" s="144"/>
      <c r="Q915" s="144"/>
      <c r="R915" s="143">
        <v>45</v>
      </c>
      <c r="S915" s="148"/>
      <c r="T915" s="143">
        <v>0</v>
      </c>
      <c r="U915" s="144"/>
      <c r="V915" s="144"/>
      <c r="W915" s="144"/>
      <c r="X915" s="144"/>
    </row>
    <row r="916" spans="1:24" s="147" customFormat="1" ht="15" thickBot="1">
      <c r="A916" s="144" t="s">
        <v>25</v>
      </c>
      <c r="B916" s="144" t="s">
        <v>26</v>
      </c>
      <c r="C916" s="144">
        <v>682687160</v>
      </c>
      <c r="D916" s="144" t="s">
        <v>1164</v>
      </c>
      <c r="E916" s="144" t="s">
        <v>1268</v>
      </c>
      <c r="F916" s="145">
        <v>46122</v>
      </c>
      <c r="G916" s="146"/>
      <c r="H916" s="144" t="s">
        <v>3920</v>
      </c>
      <c r="I916" s="144" t="s">
        <v>3921</v>
      </c>
      <c r="J916" s="144" t="s">
        <v>160</v>
      </c>
      <c r="K916" s="144" t="s">
        <v>33</v>
      </c>
      <c r="L916" s="144" t="s">
        <v>3922</v>
      </c>
      <c r="M916" s="144"/>
      <c r="N916" s="144" t="s">
        <v>499</v>
      </c>
      <c r="O916" s="144">
        <v>1</v>
      </c>
      <c r="P916" s="144"/>
      <c r="Q916" s="144"/>
      <c r="R916" s="143">
        <v>45</v>
      </c>
      <c r="S916" s="148"/>
      <c r="T916" s="143">
        <v>0</v>
      </c>
      <c r="U916" s="144"/>
      <c r="V916" s="144"/>
      <c r="W916" s="144"/>
      <c r="X916" s="144"/>
    </row>
    <row r="917" spans="1:24" s="147" customFormat="1" ht="15" thickBot="1">
      <c r="A917" s="144" t="s">
        <v>25</v>
      </c>
      <c r="B917" s="144" t="s">
        <v>26</v>
      </c>
      <c r="C917" s="144">
        <v>682687160</v>
      </c>
      <c r="D917" s="144" t="s">
        <v>1164</v>
      </c>
      <c r="E917" s="144" t="s">
        <v>1268</v>
      </c>
      <c r="F917" s="145">
        <v>46122</v>
      </c>
      <c r="G917" s="146"/>
      <c r="H917" s="144" t="s">
        <v>3923</v>
      </c>
      <c r="I917" s="144" t="s">
        <v>3924</v>
      </c>
      <c r="J917" s="144" t="s">
        <v>397</v>
      </c>
      <c r="K917" s="144" t="s">
        <v>48</v>
      </c>
      <c r="L917" s="144" t="s">
        <v>3925</v>
      </c>
      <c r="M917" s="144"/>
      <c r="N917" s="144" t="s">
        <v>499</v>
      </c>
      <c r="O917" s="144">
        <v>1</v>
      </c>
      <c r="P917" s="144"/>
      <c r="Q917" s="144"/>
      <c r="R917" s="143">
        <v>45</v>
      </c>
      <c r="S917" s="148"/>
      <c r="T917" s="143">
        <v>0</v>
      </c>
      <c r="U917" s="144"/>
      <c r="V917" s="144"/>
      <c r="W917" s="144"/>
      <c r="X917" s="144"/>
    </row>
    <row r="918" spans="1:24" s="147" customFormat="1" ht="15" thickBot="1">
      <c r="A918" s="144" t="s">
        <v>154</v>
      </c>
      <c r="B918" s="144" t="s">
        <v>155</v>
      </c>
      <c r="C918" s="144">
        <v>616866669</v>
      </c>
      <c r="D918" s="144" t="s">
        <v>156</v>
      </c>
      <c r="E918" s="144" t="s">
        <v>599</v>
      </c>
      <c r="F918" s="145">
        <v>46126</v>
      </c>
      <c r="G918" s="146"/>
      <c r="H918" s="144" t="s">
        <v>3926</v>
      </c>
      <c r="I918" s="144" t="s">
        <v>3927</v>
      </c>
      <c r="J918" s="144" t="s">
        <v>160</v>
      </c>
      <c r="K918" s="144" t="s">
        <v>33</v>
      </c>
      <c r="L918" s="144" t="s">
        <v>3928</v>
      </c>
      <c r="M918" s="144"/>
      <c r="N918" s="144" t="s">
        <v>499</v>
      </c>
      <c r="O918" s="144">
        <v>1</v>
      </c>
      <c r="P918" s="144"/>
      <c r="Q918" s="144"/>
      <c r="R918" s="143">
        <v>45</v>
      </c>
      <c r="S918" s="148"/>
      <c r="T918" s="143">
        <v>0</v>
      </c>
      <c r="U918" s="144"/>
      <c r="V918" s="144"/>
      <c r="W918" s="144"/>
      <c r="X918" s="144"/>
    </row>
    <row r="919" spans="1:24" s="147" customFormat="1" ht="15" thickBot="1">
      <c r="A919" s="144" t="s">
        <v>154</v>
      </c>
      <c r="B919" s="144" t="s">
        <v>155</v>
      </c>
      <c r="C919" s="144">
        <v>616866669</v>
      </c>
      <c r="D919" s="144" t="s">
        <v>156</v>
      </c>
      <c r="E919" s="144" t="s">
        <v>599</v>
      </c>
      <c r="F919" s="145">
        <v>46126</v>
      </c>
      <c r="G919" s="146"/>
      <c r="H919" s="144" t="s">
        <v>3929</v>
      </c>
      <c r="I919" s="144" t="s">
        <v>1136</v>
      </c>
      <c r="J919" s="144" t="s">
        <v>502</v>
      </c>
      <c r="K919" s="144" t="s">
        <v>33</v>
      </c>
      <c r="L919" s="144" t="s">
        <v>3930</v>
      </c>
      <c r="M919" s="144"/>
      <c r="N919" s="144" t="s">
        <v>499</v>
      </c>
      <c r="O919" s="144">
        <v>1</v>
      </c>
      <c r="P919" s="144"/>
      <c r="Q919" s="144"/>
      <c r="R919" s="143">
        <v>45</v>
      </c>
      <c r="S919" s="148"/>
      <c r="T919" s="143">
        <v>0</v>
      </c>
      <c r="U919" s="144"/>
      <c r="V919" s="144"/>
      <c r="W919" s="144"/>
      <c r="X919" s="144"/>
    </row>
    <row r="920" spans="1:24" s="147" customFormat="1" ht="15" thickBot="1">
      <c r="A920" s="144" t="s">
        <v>154</v>
      </c>
      <c r="B920" s="144" t="s">
        <v>155</v>
      </c>
      <c r="C920" s="144">
        <v>616866669</v>
      </c>
      <c r="D920" s="144" t="s">
        <v>156</v>
      </c>
      <c r="E920" s="144" t="s">
        <v>599</v>
      </c>
      <c r="F920" s="145">
        <v>46126</v>
      </c>
      <c r="G920" s="146"/>
      <c r="H920" s="144" t="s">
        <v>3931</v>
      </c>
      <c r="I920" s="144" t="s">
        <v>3932</v>
      </c>
      <c r="J920" s="144" t="s">
        <v>502</v>
      </c>
      <c r="K920" s="144" t="s">
        <v>33</v>
      </c>
      <c r="L920" s="144" t="s">
        <v>301</v>
      </c>
      <c r="M920" s="144"/>
      <c r="N920" s="144" t="s">
        <v>499</v>
      </c>
      <c r="O920" s="144">
        <v>1</v>
      </c>
      <c r="P920" s="144"/>
      <c r="Q920" s="144"/>
      <c r="R920" s="143">
        <v>45</v>
      </c>
      <c r="S920" s="148"/>
      <c r="T920" s="143">
        <v>0</v>
      </c>
      <c r="U920" s="144"/>
      <c r="V920" s="144"/>
      <c r="W920" s="144"/>
      <c r="X920" s="144"/>
    </row>
    <row r="921" spans="1:24" s="147" customFormat="1" ht="15" thickBot="1">
      <c r="A921" s="144" t="s">
        <v>154</v>
      </c>
      <c r="B921" s="144" t="s">
        <v>155</v>
      </c>
      <c r="C921" s="144">
        <v>616866669</v>
      </c>
      <c r="D921" s="144" t="s">
        <v>156</v>
      </c>
      <c r="E921" s="144" t="s">
        <v>599</v>
      </c>
      <c r="F921" s="145">
        <v>46126</v>
      </c>
      <c r="G921" s="146"/>
      <c r="H921" s="144" t="s">
        <v>3933</v>
      </c>
      <c r="I921" s="144" t="s">
        <v>3934</v>
      </c>
      <c r="J921" s="144" t="s">
        <v>160</v>
      </c>
      <c r="K921" s="144" t="s">
        <v>33</v>
      </c>
      <c r="L921" s="144" t="s">
        <v>3935</v>
      </c>
      <c r="M921" s="144"/>
      <c r="N921" s="144" t="s">
        <v>499</v>
      </c>
      <c r="O921" s="144">
        <v>1</v>
      </c>
      <c r="P921" s="144"/>
      <c r="Q921" s="144"/>
      <c r="R921" s="143">
        <v>45</v>
      </c>
      <c r="S921" s="148"/>
      <c r="T921" s="143">
        <v>0</v>
      </c>
      <c r="U921" s="144"/>
      <c r="V921" s="144"/>
      <c r="W921" s="144"/>
      <c r="X921" s="144"/>
    </row>
    <row r="922" spans="1:24" s="147" customFormat="1" ht="15" thickBot="1">
      <c r="A922" s="144" t="s">
        <v>154</v>
      </c>
      <c r="B922" s="144" t="s">
        <v>155</v>
      </c>
      <c r="C922" s="144">
        <v>616866669</v>
      </c>
      <c r="D922" s="144" t="s">
        <v>156</v>
      </c>
      <c r="E922" s="144" t="s">
        <v>599</v>
      </c>
      <c r="F922" s="145">
        <v>46126</v>
      </c>
      <c r="G922" s="146"/>
      <c r="H922" s="144" t="s">
        <v>3936</v>
      </c>
      <c r="I922" s="144" t="s">
        <v>3937</v>
      </c>
      <c r="J922" s="144" t="s">
        <v>201</v>
      </c>
      <c r="K922" s="144" t="s">
        <v>48</v>
      </c>
      <c r="L922" s="144" t="s">
        <v>3938</v>
      </c>
      <c r="M922" s="144"/>
      <c r="N922" s="144" t="s">
        <v>499</v>
      </c>
      <c r="O922" s="144">
        <v>1</v>
      </c>
      <c r="P922" s="144"/>
      <c r="Q922" s="144"/>
      <c r="R922" s="143">
        <v>45</v>
      </c>
      <c r="S922" s="148"/>
      <c r="T922" s="143">
        <v>0</v>
      </c>
      <c r="U922" s="144"/>
      <c r="V922" s="144"/>
      <c r="W922" s="144"/>
      <c r="X922" s="144"/>
    </row>
    <row r="923" spans="1:24" s="147" customFormat="1" ht="15" thickBot="1">
      <c r="A923" s="144" t="s">
        <v>154</v>
      </c>
      <c r="B923" s="144" t="s">
        <v>155</v>
      </c>
      <c r="C923" s="144">
        <v>616866669</v>
      </c>
      <c r="D923" s="144" t="s">
        <v>156</v>
      </c>
      <c r="E923" s="144" t="s">
        <v>599</v>
      </c>
      <c r="F923" s="145">
        <v>46126</v>
      </c>
      <c r="G923" s="146"/>
      <c r="H923" s="144" t="s">
        <v>3939</v>
      </c>
      <c r="I923" s="144" t="s">
        <v>3940</v>
      </c>
      <c r="J923" s="144" t="s">
        <v>345</v>
      </c>
      <c r="K923" s="144" t="s">
        <v>48</v>
      </c>
      <c r="L923" s="144" t="s">
        <v>3935</v>
      </c>
      <c r="M923" s="144"/>
      <c r="N923" s="144" t="s">
        <v>499</v>
      </c>
      <c r="O923" s="144">
        <v>1</v>
      </c>
      <c r="P923" s="144"/>
      <c r="Q923" s="144"/>
      <c r="R923" s="143">
        <v>45</v>
      </c>
      <c r="S923" s="148"/>
      <c r="T923" s="143">
        <v>0</v>
      </c>
      <c r="U923" s="144"/>
      <c r="V923" s="144"/>
      <c r="W923" s="144"/>
      <c r="X923" s="144"/>
    </row>
    <row r="924" spans="1:24" s="147" customFormat="1" ht="15" thickBot="1">
      <c r="A924" s="144" t="s">
        <v>154</v>
      </c>
      <c r="B924" s="144" t="s">
        <v>155</v>
      </c>
      <c r="C924" s="144">
        <v>616866669</v>
      </c>
      <c r="D924" s="144" t="s">
        <v>156</v>
      </c>
      <c r="E924" s="144" t="s">
        <v>599</v>
      </c>
      <c r="F924" s="145">
        <v>46126</v>
      </c>
      <c r="G924" s="146"/>
      <c r="H924" s="144" t="s">
        <v>3941</v>
      </c>
      <c r="I924" s="144" t="s">
        <v>3942</v>
      </c>
      <c r="J924" s="144" t="s">
        <v>160</v>
      </c>
      <c r="K924" s="144" t="s">
        <v>33</v>
      </c>
      <c r="L924" s="144" t="s">
        <v>3943</v>
      </c>
      <c r="M924" s="144"/>
      <c r="N924" s="144" t="s">
        <v>499</v>
      </c>
      <c r="O924" s="144">
        <v>1</v>
      </c>
      <c r="P924" s="144"/>
      <c r="Q924" s="144"/>
      <c r="R924" s="143">
        <v>45</v>
      </c>
      <c r="S924" s="148"/>
      <c r="T924" s="143">
        <v>0</v>
      </c>
      <c r="U924" s="144"/>
      <c r="V924" s="144"/>
      <c r="W924" s="144"/>
      <c r="X924" s="144"/>
    </row>
    <row r="925" spans="1:24" s="147" customFormat="1" ht="15" thickBot="1">
      <c r="A925" s="144" t="s">
        <v>154</v>
      </c>
      <c r="B925" s="144" t="s">
        <v>155</v>
      </c>
      <c r="C925" s="144">
        <v>616866669</v>
      </c>
      <c r="D925" s="144" t="s">
        <v>156</v>
      </c>
      <c r="E925" s="144" t="s">
        <v>599</v>
      </c>
      <c r="F925" s="145">
        <v>46126</v>
      </c>
      <c r="G925" s="146"/>
      <c r="H925" s="144" t="s">
        <v>3944</v>
      </c>
      <c r="I925" s="144" t="s">
        <v>3945</v>
      </c>
      <c r="J925" s="144" t="s">
        <v>160</v>
      </c>
      <c r="K925" s="144" t="s">
        <v>33</v>
      </c>
      <c r="L925" s="144" t="s">
        <v>3946</v>
      </c>
      <c r="M925" s="144"/>
      <c r="N925" s="144" t="s">
        <v>499</v>
      </c>
      <c r="O925" s="144">
        <v>1</v>
      </c>
      <c r="P925" s="144"/>
      <c r="Q925" s="144"/>
      <c r="R925" s="143">
        <v>45</v>
      </c>
      <c r="S925" s="148"/>
      <c r="T925" s="143">
        <v>0</v>
      </c>
      <c r="U925" s="144"/>
      <c r="V925" s="144"/>
      <c r="W925" s="144"/>
      <c r="X925" s="144"/>
    </row>
    <row r="926" spans="1:24" s="147" customFormat="1" ht="15" thickBot="1">
      <c r="A926" s="144" t="s">
        <v>154</v>
      </c>
      <c r="B926" s="144" t="s">
        <v>155</v>
      </c>
      <c r="C926" s="144">
        <v>616866669</v>
      </c>
      <c r="D926" s="144" t="s">
        <v>156</v>
      </c>
      <c r="E926" s="144" t="s">
        <v>599</v>
      </c>
      <c r="F926" s="145">
        <v>46126</v>
      </c>
      <c r="G926" s="146"/>
      <c r="H926" s="144" t="s">
        <v>3947</v>
      </c>
      <c r="I926" s="144" t="s">
        <v>3948</v>
      </c>
      <c r="J926" s="144" t="s">
        <v>397</v>
      </c>
      <c r="K926" s="144" t="s">
        <v>48</v>
      </c>
      <c r="L926" s="144" t="s">
        <v>3949</v>
      </c>
      <c r="M926" s="144"/>
      <c r="N926" s="144" t="s">
        <v>499</v>
      </c>
      <c r="O926" s="144">
        <v>1</v>
      </c>
      <c r="P926" s="144"/>
      <c r="Q926" s="144"/>
      <c r="R926" s="143">
        <v>45</v>
      </c>
      <c r="S926" s="148"/>
      <c r="T926" s="143">
        <v>0</v>
      </c>
      <c r="U926" s="144"/>
      <c r="V926" s="144"/>
      <c r="W926" s="144"/>
      <c r="X926" s="144"/>
    </row>
    <row r="927" spans="1:24" s="147" customFormat="1" ht="15" thickBot="1">
      <c r="A927" s="144" t="s">
        <v>154</v>
      </c>
      <c r="B927" s="144" t="s">
        <v>155</v>
      </c>
      <c r="C927" s="144">
        <v>616866669</v>
      </c>
      <c r="D927" s="144" t="s">
        <v>156</v>
      </c>
      <c r="E927" s="144" t="s">
        <v>599</v>
      </c>
      <c r="F927" s="145">
        <v>46126</v>
      </c>
      <c r="G927" s="146"/>
      <c r="H927" s="144" t="s">
        <v>3950</v>
      </c>
      <c r="I927" s="144" t="s">
        <v>3951</v>
      </c>
      <c r="J927" s="144" t="s">
        <v>201</v>
      </c>
      <c r="K927" s="144" t="s">
        <v>48</v>
      </c>
      <c r="L927" s="144" t="s">
        <v>3952</v>
      </c>
      <c r="M927" s="144"/>
      <c r="N927" s="144" t="s">
        <v>499</v>
      </c>
      <c r="O927" s="144">
        <v>1</v>
      </c>
      <c r="P927" s="144"/>
      <c r="Q927" s="144"/>
      <c r="R927" s="143">
        <v>45</v>
      </c>
      <c r="S927" s="148"/>
      <c r="T927" s="143">
        <v>0</v>
      </c>
      <c r="U927" s="144"/>
      <c r="V927" s="144"/>
      <c r="W927" s="144"/>
      <c r="X927" s="144"/>
    </row>
    <row r="928" spans="1:24" s="147" customFormat="1" ht="15" thickBot="1">
      <c r="A928" s="144" t="s">
        <v>154</v>
      </c>
      <c r="B928" s="144" t="s">
        <v>155</v>
      </c>
      <c r="C928" s="144">
        <v>616866669</v>
      </c>
      <c r="D928" s="144" t="s">
        <v>156</v>
      </c>
      <c r="E928" s="144" t="s">
        <v>599</v>
      </c>
      <c r="F928" s="145">
        <v>46126</v>
      </c>
      <c r="G928" s="146"/>
      <c r="H928" s="144" t="s">
        <v>3953</v>
      </c>
      <c r="I928" s="144" t="s">
        <v>3954</v>
      </c>
      <c r="J928" s="144" t="s">
        <v>780</v>
      </c>
      <c r="K928" s="144" t="s">
        <v>48</v>
      </c>
      <c r="L928" s="144" t="s">
        <v>319</v>
      </c>
      <c r="M928" s="144"/>
      <c r="N928" s="144" t="s">
        <v>499</v>
      </c>
      <c r="O928" s="144">
        <v>1</v>
      </c>
      <c r="P928" s="144"/>
      <c r="Q928" s="144"/>
      <c r="R928" s="143">
        <v>45</v>
      </c>
      <c r="S928" s="148"/>
      <c r="T928" s="143">
        <v>0</v>
      </c>
      <c r="U928" s="144"/>
      <c r="V928" s="144"/>
      <c r="W928" s="144"/>
      <c r="X928" s="144"/>
    </row>
    <row r="929" spans="1:24" s="147" customFormat="1" ht="15" thickBot="1">
      <c r="A929" s="144" t="s">
        <v>154</v>
      </c>
      <c r="B929" s="144" t="s">
        <v>155</v>
      </c>
      <c r="C929" s="144">
        <v>616866669</v>
      </c>
      <c r="D929" s="144" t="s">
        <v>156</v>
      </c>
      <c r="E929" s="144" t="s">
        <v>599</v>
      </c>
      <c r="F929" s="145">
        <v>46126</v>
      </c>
      <c r="G929" s="146"/>
      <c r="H929" s="144" t="s">
        <v>3955</v>
      </c>
      <c r="I929" s="144" t="s">
        <v>3956</v>
      </c>
      <c r="J929" s="144" t="s">
        <v>397</v>
      </c>
      <c r="K929" s="144" t="s">
        <v>48</v>
      </c>
      <c r="L929" s="144"/>
      <c r="M929" s="144"/>
      <c r="N929" s="144" t="s">
        <v>499</v>
      </c>
      <c r="O929" s="144">
        <v>1</v>
      </c>
      <c r="P929" s="144" t="s">
        <v>3957</v>
      </c>
      <c r="Q929" s="144"/>
      <c r="R929" s="143">
        <v>45</v>
      </c>
      <c r="S929" s="148"/>
      <c r="T929" s="143">
        <v>0</v>
      </c>
      <c r="U929" s="144"/>
      <c r="V929" s="144"/>
      <c r="W929" s="144"/>
      <c r="X929" s="144"/>
    </row>
    <row r="930" spans="1:24" s="147" customFormat="1" ht="15" thickBot="1">
      <c r="A930" s="144" t="s">
        <v>154</v>
      </c>
      <c r="B930" s="144" t="s">
        <v>155</v>
      </c>
      <c r="C930" s="144">
        <v>616866669</v>
      </c>
      <c r="D930" s="144" t="s">
        <v>156</v>
      </c>
      <c r="E930" s="144" t="s">
        <v>599</v>
      </c>
      <c r="F930" s="145">
        <v>46126</v>
      </c>
      <c r="G930" s="146"/>
      <c r="H930" s="144" t="s">
        <v>3958</v>
      </c>
      <c r="I930" s="144" t="s">
        <v>3959</v>
      </c>
      <c r="J930" s="144" t="s">
        <v>485</v>
      </c>
      <c r="K930" s="144" t="s">
        <v>48</v>
      </c>
      <c r="L930" s="144"/>
      <c r="M930" s="144"/>
      <c r="N930" s="144" t="s">
        <v>499</v>
      </c>
      <c r="O930" s="144">
        <v>1</v>
      </c>
      <c r="P930" s="144" t="s">
        <v>3957</v>
      </c>
      <c r="Q930" s="144"/>
      <c r="R930" s="143">
        <v>45</v>
      </c>
      <c r="S930" s="148"/>
      <c r="T930" s="143">
        <v>0</v>
      </c>
      <c r="U930" s="144"/>
      <c r="V930" s="144"/>
      <c r="W930" s="144"/>
      <c r="X930" s="144"/>
    </row>
    <row r="931" spans="1:24" s="144" customFormat="1" ht="15" thickBot="1">
      <c r="A931" s="144" t="s">
        <v>25</v>
      </c>
      <c r="B931" s="144" t="s">
        <v>26</v>
      </c>
      <c r="C931" s="144" t="s">
        <v>27</v>
      </c>
      <c r="D931" s="144" t="s">
        <v>28</v>
      </c>
      <c r="E931" s="144" t="s">
        <v>29</v>
      </c>
      <c r="F931" s="145">
        <v>46133</v>
      </c>
      <c r="H931" s="144" t="s">
        <v>3960</v>
      </c>
      <c r="I931" s="144" t="s">
        <v>3961</v>
      </c>
      <c r="J931" s="144" t="s">
        <v>485</v>
      </c>
      <c r="K931" s="144" t="s">
        <v>48</v>
      </c>
      <c r="L931" s="144" t="s">
        <v>351</v>
      </c>
      <c r="N931" s="144" t="s">
        <v>499</v>
      </c>
      <c r="O931" s="144">
        <v>1</v>
      </c>
      <c r="R931" s="143">
        <v>45</v>
      </c>
      <c r="T931" s="143">
        <v>0</v>
      </c>
    </row>
    <row r="932" spans="1:24" s="144" customFormat="1" ht="15" thickBot="1">
      <c r="A932" s="144" t="s">
        <v>25</v>
      </c>
      <c r="B932" s="144" t="s">
        <v>26</v>
      </c>
      <c r="C932" s="144" t="s">
        <v>27</v>
      </c>
      <c r="D932" s="144" t="s">
        <v>28</v>
      </c>
      <c r="E932" s="144" t="s">
        <v>29</v>
      </c>
      <c r="F932" s="145">
        <v>46133</v>
      </c>
      <c r="H932" s="144" t="s">
        <v>3963</v>
      </c>
      <c r="I932" s="144" t="s">
        <v>3962</v>
      </c>
      <c r="J932" s="144" t="s">
        <v>502</v>
      </c>
      <c r="K932" s="144" t="s">
        <v>33</v>
      </c>
      <c r="L932" s="144" t="s">
        <v>3964</v>
      </c>
      <c r="N932" s="144" t="s">
        <v>499</v>
      </c>
      <c r="O932" s="144">
        <v>1</v>
      </c>
      <c r="R932" s="143">
        <v>45</v>
      </c>
      <c r="T932" s="143">
        <v>0</v>
      </c>
    </row>
    <row r="933" spans="1:24" s="144" customFormat="1" ht="15" thickBot="1">
      <c r="A933" s="144" t="s">
        <v>25</v>
      </c>
      <c r="B933" s="144" t="s">
        <v>26</v>
      </c>
      <c r="C933" s="144" t="s">
        <v>27</v>
      </c>
      <c r="D933" s="144" t="s">
        <v>28</v>
      </c>
      <c r="E933" s="144" t="s">
        <v>29</v>
      </c>
      <c r="F933" s="145">
        <v>46133</v>
      </c>
      <c r="H933" s="144" t="s">
        <v>3966</v>
      </c>
      <c r="I933" s="144" t="s">
        <v>3965</v>
      </c>
      <c r="J933" s="144" t="s">
        <v>201</v>
      </c>
      <c r="K933" s="144" t="s">
        <v>48</v>
      </c>
      <c r="L933" s="144" t="s">
        <v>3967</v>
      </c>
      <c r="N933" s="144" t="s">
        <v>499</v>
      </c>
      <c r="O933" s="144">
        <v>1</v>
      </c>
      <c r="R933" s="143">
        <v>45</v>
      </c>
      <c r="T933" s="143">
        <v>0</v>
      </c>
    </row>
    <row r="934" spans="1:24" s="144" customFormat="1" ht="15" thickBot="1">
      <c r="A934" s="144" t="s">
        <v>25</v>
      </c>
      <c r="B934" s="144" t="s">
        <v>26</v>
      </c>
      <c r="C934" s="144" t="s">
        <v>27</v>
      </c>
      <c r="D934" s="144" t="s">
        <v>28</v>
      </c>
      <c r="E934" s="144" t="s">
        <v>29</v>
      </c>
      <c r="F934" s="145">
        <v>46133</v>
      </c>
      <c r="H934" s="144" t="s">
        <v>2282</v>
      </c>
      <c r="I934" s="144" t="s">
        <v>2283</v>
      </c>
      <c r="J934" s="144" t="s">
        <v>160</v>
      </c>
      <c r="K934" s="144" t="s">
        <v>33</v>
      </c>
      <c r="L934" s="144" t="s">
        <v>3968</v>
      </c>
      <c r="N934" s="144" t="s">
        <v>499</v>
      </c>
      <c r="O934" s="144">
        <v>1</v>
      </c>
      <c r="R934" s="143">
        <v>45</v>
      </c>
      <c r="T934" s="143">
        <v>0</v>
      </c>
    </row>
    <row r="935" spans="1:24" s="144" customFormat="1" ht="15" thickBot="1">
      <c r="A935" s="144" t="s">
        <v>25</v>
      </c>
      <c r="B935" s="144" t="s">
        <v>26</v>
      </c>
      <c r="C935" s="144" t="s">
        <v>27</v>
      </c>
      <c r="D935" s="144" t="s">
        <v>28</v>
      </c>
      <c r="E935" s="144" t="s">
        <v>29</v>
      </c>
      <c r="F935" s="145">
        <v>46133</v>
      </c>
      <c r="H935" s="144" t="s">
        <v>3970</v>
      </c>
      <c r="I935" s="144" t="s">
        <v>3969</v>
      </c>
      <c r="J935" s="144" t="s">
        <v>382</v>
      </c>
      <c r="K935" s="144" t="s">
        <v>33</v>
      </c>
      <c r="L935" s="144" t="s">
        <v>319</v>
      </c>
      <c r="N935" s="144" t="s">
        <v>499</v>
      </c>
      <c r="O935" s="144">
        <v>1</v>
      </c>
      <c r="R935" s="143">
        <v>45</v>
      </c>
      <c r="T935" s="143">
        <v>0</v>
      </c>
    </row>
    <row r="936" spans="1:24" s="144" customFormat="1" ht="15" thickBot="1">
      <c r="A936" s="144" t="s">
        <v>25</v>
      </c>
      <c r="B936" s="144" t="s">
        <v>26</v>
      </c>
      <c r="C936" s="144" t="s">
        <v>27</v>
      </c>
      <c r="D936" s="144" t="s">
        <v>28</v>
      </c>
      <c r="E936" s="144" t="s">
        <v>29</v>
      </c>
      <c r="F936" s="145">
        <v>46133</v>
      </c>
      <c r="H936" s="144" t="s">
        <v>3972</v>
      </c>
      <c r="I936" s="144" t="s">
        <v>3971</v>
      </c>
      <c r="J936" s="144" t="s">
        <v>160</v>
      </c>
      <c r="K936" s="144" t="s">
        <v>33</v>
      </c>
      <c r="L936" s="144" t="s">
        <v>319</v>
      </c>
      <c r="N936" s="144" t="s">
        <v>499</v>
      </c>
      <c r="O936" s="144">
        <v>1</v>
      </c>
      <c r="R936" s="143">
        <v>45</v>
      </c>
      <c r="T936" s="143">
        <v>0</v>
      </c>
    </row>
    <row r="937" spans="1:24" s="144" customFormat="1" ht="15" thickBot="1">
      <c r="A937" s="144" t="s">
        <v>25</v>
      </c>
      <c r="B937" s="144" t="s">
        <v>26</v>
      </c>
      <c r="C937" s="144" t="s">
        <v>27</v>
      </c>
      <c r="D937" s="144" t="s">
        <v>28</v>
      </c>
      <c r="E937" s="144" t="s">
        <v>29</v>
      </c>
      <c r="F937" s="145">
        <v>46133</v>
      </c>
      <c r="H937" s="144" t="s">
        <v>571</v>
      </c>
      <c r="I937" s="144" t="s">
        <v>572</v>
      </c>
      <c r="J937" s="144" t="s">
        <v>160</v>
      </c>
      <c r="K937" s="144" t="s">
        <v>33</v>
      </c>
      <c r="L937" s="144" t="s">
        <v>3973</v>
      </c>
      <c r="N937" s="144" t="s">
        <v>499</v>
      </c>
      <c r="O937" s="144">
        <v>1</v>
      </c>
      <c r="R937" s="143">
        <v>45</v>
      </c>
      <c r="T937" s="143">
        <v>0</v>
      </c>
    </row>
    <row r="938" spans="1:24" s="144" customFormat="1" ht="15" thickBot="1">
      <c r="A938" s="144" t="s">
        <v>25</v>
      </c>
      <c r="B938" s="144" t="s">
        <v>26</v>
      </c>
      <c r="C938" s="144" t="s">
        <v>27</v>
      </c>
      <c r="D938" s="144" t="s">
        <v>28</v>
      </c>
      <c r="E938" s="144" t="s">
        <v>29</v>
      </c>
      <c r="F938" s="145">
        <v>46133</v>
      </c>
      <c r="H938" s="144" t="s">
        <v>3975</v>
      </c>
      <c r="I938" s="144" t="s">
        <v>3974</v>
      </c>
      <c r="J938" s="144" t="s">
        <v>382</v>
      </c>
      <c r="K938" s="144" t="s">
        <v>33</v>
      </c>
      <c r="L938" s="144" t="s">
        <v>3976</v>
      </c>
      <c r="N938" s="144" t="s">
        <v>499</v>
      </c>
      <c r="O938" s="144">
        <v>1</v>
      </c>
      <c r="R938" s="143">
        <v>45</v>
      </c>
      <c r="T938" s="143">
        <v>0</v>
      </c>
    </row>
    <row r="939" spans="1:24" s="144" customFormat="1" ht="15" thickBot="1">
      <c r="A939" s="144" t="s">
        <v>25</v>
      </c>
      <c r="B939" s="144" t="s">
        <v>26</v>
      </c>
      <c r="C939" s="144" t="s">
        <v>27</v>
      </c>
      <c r="D939" s="144" t="s">
        <v>28</v>
      </c>
      <c r="E939" s="144" t="s">
        <v>29</v>
      </c>
      <c r="F939" s="145">
        <v>46133</v>
      </c>
      <c r="H939" s="144" t="s">
        <v>3978</v>
      </c>
      <c r="I939" s="144" t="s">
        <v>3977</v>
      </c>
      <c r="J939" s="144" t="s">
        <v>379</v>
      </c>
      <c r="K939" s="144" t="s">
        <v>48</v>
      </c>
      <c r="L939" s="144" t="s">
        <v>3979</v>
      </c>
      <c r="N939" s="144" t="s">
        <v>499</v>
      </c>
      <c r="O939" s="144">
        <v>1</v>
      </c>
      <c r="R939" s="143">
        <v>45</v>
      </c>
      <c r="T939" s="143">
        <v>0</v>
      </c>
    </row>
    <row r="940" spans="1:24" s="144" customFormat="1" ht="15" thickBot="1">
      <c r="A940" s="144" t="s">
        <v>25</v>
      </c>
      <c r="B940" s="144" t="s">
        <v>26</v>
      </c>
      <c r="C940" s="144" t="s">
        <v>27</v>
      </c>
      <c r="D940" s="144" t="s">
        <v>28</v>
      </c>
      <c r="E940" s="144" t="s">
        <v>29</v>
      </c>
      <c r="F940" s="145">
        <v>46133</v>
      </c>
      <c r="H940" s="144" t="s">
        <v>3981</v>
      </c>
      <c r="I940" s="144" t="s">
        <v>3980</v>
      </c>
      <c r="J940" s="144" t="s">
        <v>201</v>
      </c>
      <c r="K940" s="144" t="s">
        <v>48</v>
      </c>
      <c r="L940" s="144" t="s">
        <v>547</v>
      </c>
      <c r="N940" s="144" t="s">
        <v>499</v>
      </c>
      <c r="O940" s="144">
        <v>1</v>
      </c>
      <c r="R940" s="143">
        <v>45</v>
      </c>
      <c r="T940" s="143">
        <v>0</v>
      </c>
    </row>
    <row r="941" spans="1:24" s="144" customFormat="1" ht="15" thickBot="1">
      <c r="A941" s="144" t="s">
        <v>25</v>
      </c>
      <c r="B941" s="144" t="s">
        <v>26</v>
      </c>
      <c r="C941" s="144" t="s">
        <v>27</v>
      </c>
      <c r="D941" s="144" t="s">
        <v>28</v>
      </c>
      <c r="E941" s="144" t="s">
        <v>29</v>
      </c>
      <c r="F941" s="145">
        <v>46133</v>
      </c>
      <c r="H941" s="144" t="s">
        <v>3983</v>
      </c>
      <c r="I941" s="144" t="s">
        <v>3982</v>
      </c>
      <c r="J941" s="144" t="s">
        <v>345</v>
      </c>
      <c r="K941" s="144" t="s">
        <v>48</v>
      </c>
      <c r="L941" s="144" t="s">
        <v>3984</v>
      </c>
      <c r="N941" s="144" t="s">
        <v>499</v>
      </c>
      <c r="O941" s="144">
        <v>1</v>
      </c>
      <c r="R941" s="143">
        <v>45</v>
      </c>
      <c r="T941" s="143">
        <v>0</v>
      </c>
    </row>
    <row r="942" spans="1:24" s="144" customFormat="1" ht="15" thickBot="1">
      <c r="A942" s="144" t="s">
        <v>25</v>
      </c>
      <c r="B942" s="144" t="s">
        <v>26</v>
      </c>
      <c r="C942" s="144" t="s">
        <v>27</v>
      </c>
      <c r="D942" s="144" t="s">
        <v>28</v>
      </c>
      <c r="E942" s="144" t="s">
        <v>29</v>
      </c>
      <c r="F942" s="145">
        <v>46133</v>
      </c>
      <c r="H942" s="144" t="s">
        <v>1361</v>
      </c>
      <c r="I942" s="144" t="s">
        <v>1362</v>
      </c>
      <c r="J942" s="144" t="s">
        <v>201</v>
      </c>
      <c r="K942" s="144" t="s">
        <v>48</v>
      </c>
      <c r="L942" s="144" t="s">
        <v>3985</v>
      </c>
      <c r="N942" s="144" t="s">
        <v>499</v>
      </c>
      <c r="O942" s="144">
        <v>1</v>
      </c>
      <c r="R942" s="143">
        <v>45</v>
      </c>
      <c r="T942" s="143">
        <v>0</v>
      </c>
    </row>
    <row r="943" spans="1:24" s="144" customFormat="1" ht="15" thickBot="1">
      <c r="A943" s="144" t="s">
        <v>25</v>
      </c>
      <c r="B943" s="144" t="s">
        <v>26</v>
      </c>
      <c r="C943" s="144" t="s">
        <v>27</v>
      </c>
      <c r="D943" s="144" t="s">
        <v>28</v>
      </c>
      <c r="E943" s="144" t="s">
        <v>29</v>
      </c>
      <c r="F943" s="145">
        <v>46133</v>
      </c>
      <c r="H943" s="144" t="s">
        <v>3986</v>
      </c>
      <c r="I943" s="144" t="s">
        <v>1383</v>
      </c>
      <c r="J943" s="144" t="s">
        <v>160</v>
      </c>
      <c r="K943" s="144" t="s">
        <v>33</v>
      </c>
      <c r="L943" s="144" t="s">
        <v>3987</v>
      </c>
      <c r="N943" s="144" t="s">
        <v>499</v>
      </c>
      <c r="O943" s="144">
        <v>1</v>
      </c>
      <c r="R943" s="143">
        <v>45</v>
      </c>
      <c r="T943" s="143">
        <v>0</v>
      </c>
    </row>
    <row r="944" spans="1:24" s="144" customFormat="1" ht="15" thickBot="1">
      <c r="A944" s="144" t="s">
        <v>25</v>
      </c>
      <c r="B944" s="144" t="s">
        <v>26</v>
      </c>
      <c r="C944" s="144" t="s">
        <v>27</v>
      </c>
      <c r="D944" s="144" t="s">
        <v>28</v>
      </c>
      <c r="E944" s="144" t="s">
        <v>29</v>
      </c>
      <c r="F944" s="145">
        <v>46133</v>
      </c>
      <c r="H944" s="144" t="s">
        <v>3989</v>
      </c>
      <c r="I944" s="144" t="s">
        <v>3988</v>
      </c>
      <c r="J944" s="144" t="s">
        <v>201</v>
      </c>
      <c r="K944" s="144" t="s">
        <v>48</v>
      </c>
      <c r="L944" s="144" t="s">
        <v>2080</v>
      </c>
      <c r="N944" s="144" t="s">
        <v>499</v>
      </c>
      <c r="O944" s="144">
        <v>1</v>
      </c>
      <c r="R944" s="143">
        <v>45</v>
      </c>
      <c r="T944" s="143">
        <v>0</v>
      </c>
    </row>
    <row r="945" spans="1:20" s="144" customFormat="1" ht="15" thickBot="1">
      <c r="A945" s="144" t="s">
        <v>25</v>
      </c>
      <c r="B945" s="144" t="s">
        <v>26</v>
      </c>
      <c r="C945" s="144" t="s">
        <v>27</v>
      </c>
      <c r="D945" s="144" t="s">
        <v>28</v>
      </c>
      <c r="E945" s="144" t="s">
        <v>29</v>
      </c>
      <c r="F945" s="145">
        <v>46133</v>
      </c>
      <c r="H945" s="144" t="s">
        <v>3991</v>
      </c>
      <c r="I945" s="144" t="s">
        <v>3990</v>
      </c>
      <c r="J945" s="144" t="s">
        <v>379</v>
      </c>
      <c r="K945" s="144" t="s">
        <v>48</v>
      </c>
      <c r="L945" s="144" t="s">
        <v>3979</v>
      </c>
      <c r="N945" s="144" t="s">
        <v>499</v>
      </c>
      <c r="O945" s="144">
        <v>1</v>
      </c>
      <c r="R945" s="143">
        <v>45</v>
      </c>
      <c r="T945" s="143">
        <v>0</v>
      </c>
    </row>
    <row r="946" spans="1:20" s="144" customFormat="1" ht="15" thickBot="1">
      <c r="A946" s="144" t="s">
        <v>25</v>
      </c>
      <c r="B946" s="144" t="s">
        <v>26</v>
      </c>
      <c r="C946" s="144" t="s">
        <v>27</v>
      </c>
      <c r="D946" s="144" t="s">
        <v>28</v>
      </c>
      <c r="E946" s="144" t="s">
        <v>29</v>
      </c>
      <c r="F946" s="145">
        <v>46133</v>
      </c>
      <c r="H946" s="144" t="s">
        <v>3993</v>
      </c>
      <c r="I946" s="144" t="s">
        <v>3992</v>
      </c>
      <c r="J946" s="144" t="s">
        <v>201</v>
      </c>
      <c r="K946" s="144" t="s">
        <v>48</v>
      </c>
      <c r="L946" s="144" t="s">
        <v>894</v>
      </c>
      <c r="N946" s="144" t="s">
        <v>499</v>
      </c>
      <c r="O946" s="144">
        <v>1</v>
      </c>
      <c r="R946" s="143">
        <v>45</v>
      </c>
      <c r="T946" s="143">
        <v>0</v>
      </c>
    </row>
    <row r="947" spans="1:20" s="144" customFormat="1" ht="15" thickBot="1">
      <c r="A947" s="144" t="s">
        <v>25</v>
      </c>
      <c r="B947" s="144" t="s">
        <v>26</v>
      </c>
      <c r="C947" s="144" t="s">
        <v>27</v>
      </c>
      <c r="D947" s="144" t="s">
        <v>28</v>
      </c>
      <c r="E947" s="144" t="s">
        <v>29</v>
      </c>
      <c r="F947" s="145">
        <v>46133</v>
      </c>
      <c r="H947" s="144" t="s">
        <v>1457</v>
      </c>
      <c r="I947" s="144" t="s">
        <v>1458</v>
      </c>
      <c r="J947" s="144" t="s">
        <v>3994</v>
      </c>
      <c r="K947" s="144" t="s">
        <v>33</v>
      </c>
      <c r="L947" s="144" t="s">
        <v>393</v>
      </c>
      <c r="N947" s="144" t="s">
        <v>499</v>
      </c>
      <c r="O947" s="144">
        <v>1</v>
      </c>
      <c r="R947" s="143">
        <v>45</v>
      </c>
      <c r="T947" s="143">
        <v>0</v>
      </c>
    </row>
    <row r="948" spans="1:20" s="144" customFormat="1" ht="15" thickBot="1">
      <c r="A948" s="144" t="s">
        <v>25</v>
      </c>
      <c r="B948" s="144" t="s">
        <v>26</v>
      </c>
      <c r="C948" s="144" t="s">
        <v>27</v>
      </c>
      <c r="D948" s="144" t="s">
        <v>28</v>
      </c>
      <c r="E948" s="144" t="s">
        <v>29</v>
      </c>
      <c r="F948" s="145">
        <v>46133</v>
      </c>
      <c r="H948" s="144" t="s">
        <v>588</v>
      </c>
      <c r="I948" s="144" t="s">
        <v>589</v>
      </c>
      <c r="J948" s="144" t="s">
        <v>201</v>
      </c>
      <c r="K948" s="144" t="s">
        <v>48</v>
      </c>
      <c r="L948" s="144" t="s">
        <v>319</v>
      </c>
      <c r="N948" s="144" t="s">
        <v>499</v>
      </c>
      <c r="O948" s="144">
        <v>1</v>
      </c>
      <c r="R948" s="143">
        <v>45</v>
      </c>
      <c r="T948" s="143">
        <v>0</v>
      </c>
    </row>
    <row r="949" spans="1:20" s="144" customFormat="1" ht="15" thickBot="1">
      <c r="A949" s="144" t="s">
        <v>25</v>
      </c>
      <c r="B949" s="144" t="s">
        <v>26</v>
      </c>
      <c r="C949" s="144" t="s">
        <v>27</v>
      </c>
      <c r="D949" s="144" t="s">
        <v>28</v>
      </c>
      <c r="E949" s="144" t="s">
        <v>29</v>
      </c>
      <c r="F949" s="145">
        <v>46133</v>
      </c>
      <c r="H949" s="144" t="s">
        <v>3996</v>
      </c>
      <c r="I949" s="144" t="s">
        <v>3995</v>
      </c>
      <c r="J949" s="144" t="s">
        <v>379</v>
      </c>
      <c r="K949" s="144" t="s">
        <v>48</v>
      </c>
      <c r="L949" s="144" t="s">
        <v>3967</v>
      </c>
      <c r="N949" s="144" t="s">
        <v>499</v>
      </c>
      <c r="O949" s="144">
        <v>1</v>
      </c>
      <c r="R949" s="143">
        <v>45</v>
      </c>
      <c r="T949" s="143">
        <v>0</v>
      </c>
    </row>
    <row r="950" spans="1:20" s="144" customFormat="1" ht="15" thickBot="1">
      <c r="A950" s="144" t="s">
        <v>25</v>
      </c>
      <c r="B950" s="144" t="s">
        <v>26</v>
      </c>
      <c r="C950" s="144" t="s">
        <v>27</v>
      </c>
      <c r="D950" s="144" t="s">
        <v>28</v>
      </c>
      <c r="E950" s="144" t="s">
        <v>29</v>
      </c>
      <c r="F950" s="145">
        <v>46133</v>
      </c>
      <c r="H950" s="144" t="s">
        <v>3998</v>
      </c>
      <c r="I950" s="144" t="s">
        <v>3997</v>
      </c>
      <c r="J950" s="144" t="s">
        <v>160</v>
      </c>
      <c r="K950" s="144" t="s">
        <v>33</v>
      </c>
      <c r="L950" s="144" t="s">
        <v>3967</v>
      </c>
      <c r="N950" s="144" t="s">
        <v>499</v>
      </c>
      <c r="O950" s="144">
        <v>1</v>
      </c>
      <c r="R950" s="143">
        <v>45</v>
      </c>
      <c r="T950" s="143">
        <v>0</v>
      </c>
    </row>
  </sheetData>
  <autoFilter ref="A1:X901" xr:uid="{BF6438F9-1F6D-40A2-A357-53D112C07ED7}"/>
  <mergeCells count="17">
    <mergeCell ref="I1:I2"/>
    <mergeCell ref="A1:A2"/>
    <mergeCell ref="E1:E2"/>
    <mergeCell ref="F1:F2"/>
    <mergeCell ref="G1:G2"/>
    <mergeCell ref="H1:H2"/>
    <mergeCell ref="X1:X2"/>
    <mergeCell ref="J1:J2"/>
    <mergeCell ref="L1:L2"/>
    <mergeCell ref="M1:M2"/>
    <mergeCell ref="N1:N2"/>
    <mergeCell ref="O1:O2"/>
    <mergeCell ref="Q1:Q2"/>
    <mergeCell ref="R1:R2"/>
    <mergeCell ref="S1:S2"/>
    <mergeCell ref="U1:U2"/>
    <mergeCell ref="V1:V2"/>
  </mergeCells>
  <conditionalFormatting sqref="I948">
    <cfRule type="duplicateValues" dxfId="135" priority="1"/>
  </conditionalFormatting>
  <conditionalFormatting sqref="I951:I1048576 I1:I445 I447:I724 I903:I930">
    <cfRule type="duplicateValues" dxfId="134" priority="4"/>
  </conditionalFormatting>
  <hyperlinks>
    <hyperlink ref="D83" r:id="rId1" display="mailto:cristina.canogomez.ext@telefonica.com" xr:uid="{7E25E067-A0B6-41B8-BC61-1C73271F373F}"/>
    <hyperlink ref="D80" r:id="rId2" xr:uid="{42491C8D-AB46-4D32-873A-FBE73AD6F1F7}"/>
    <hyperlink ref="D81" r:id="rId3" display="mailto:cristina.canogomez.ext@telefonica.com" xr:uid="{87339AC3-37FA-48C4-89D4-38327E255336}"/>
    <hyperlink ref="D82" r:id="rId4" display="mailto:cristina.canogomez.ext@telefonica.com" xr:uid="{578F0452-C29F-4DB6-8686-73A8BA11A4A9}"/>
    <hyperlink ref="D84" r:id="rId5" display="mailto:cristina.canogomez.ext@telefonica.com" xr:uid="{DA2C288B-47D7-4AD4-9ED9-2EA4FABC3306}"/>
    <hyperlink ref="D85" r:id="rId6" display="mailto:cristina.canogomez.ext@telefonica.com" xr:uid="{2CF8B4AA-8489-4CBF-B178-D0100AED0BDF}"/>
    <hyperlink ref="D86" r:id="rId7" display="mailto:cristina.canogomez.ext@telefonica.com" xr:uid="{9FF89C56-E3CD-41A1-8AFE-1825DB732C8C}"/>
    <hyperlink ref="D87" r:id="rId8" display="mailto:cristina.canogomez.ext@telefonica.com" xr:uid="{DE3948C5-710C-4DA0-92E1-9D6F8CB99BE7}"/>
    <hyperlink ref="D88" r:id="rId9" xr:uid="{8B702DC8-ACBB-4C9B-86FE-C83E2656BB2F}"/>
    <hyperlink ref="D89" r:id="rId10" display="mailto:cristina.canogomez.ext@telefonica.com" xr:uid="{26493421-4CC9-41E7-9385-1FCF562D2F3C}"/>
    <hyperlink ref="D40" r:id="rId11" display="mailto:cristina.canogomez.ext@telefonica.com" xr:uid="{A9EE072F-97D5-4264-8BA8-62E09F29619C}"/>
    <hyperlink ref="D41" r:id="rId12" xr:uid="{608123D3-540B-4AB6-8539-49B1A5A22F22}"/>
    <hyperlink ref="D42" r:id="rId13" display="mailto:cristina.canogomez.ext@telefonica.com" xr:uid="{55A3CD0F-1AF8-4EB8-97D6-6EED2B5EE082}"/>
    <hyperlink ref="D43" r:id="rId14" display="mailto:cristina.canogomez.ext@telefonica.com" xr:uid="{296F8A45-EC6B-4B11-B48F-A829512E863B}"/>
    <hyperlink ref="D38" r:id="rId15" display="mailto:cristina.canogomez.ext@telefonica.com" xr:uid="{B912E3B9-B9E6-4BC3-A98B-6ABDF659C582}"/>
    <hyperlink ref="D39" r:id="rId16" display="mailto:cristina.canogomez.ext@telefonica.com" xr:uid="{31703779-E239-4B98-88DE-62340D574E48}"/>
    <hyperlink ref="D61" r:id="rId17" xr:uid="{C00657EB-7971-46C5-8CE7-46C6BE78B1A4}"/>
    <hyperlink ref="D30" r:id="rId18" xr:uid="{097E0F77-5CD9-4F61-A21C-20742719B1A8}"/>
    <hyperlink ref="D31:D36" r:id="rId19" display="mariacarmen.rodriguezlage.ext@telefonica.com" xr:uid="{C134286E-1AD8-4F3C-B74B-9F4B06364662}"/>
    <hyperlink ref="D37" r:id="rId20" xr:uid="{BA747C08-82E3-43FF-AC7A-AFA6F8112BCD}"/>
    <hyperlink ref="D44:D60" r:id="rId21" display="mailto:cristina.canogomez.ext@telefonica.com" xr:uid="{F3900836-D4B6-45A3-B4AE-4CC4C7F7C62A}"/>
    <hyperlink ref="D3" r:id="rId22" display="mailto:cristina.canogomez.ext@telefonica.com" xr:uid="{E3FAF8F9-EB88-4C66-9A76-EF243B9FAAF3}"/>
    <hyperlink ref="D4:D29" r:id="rId23" display="mailto:cristina.canogomez.ext@telefonica.com" xr:uid="{4D0933B6-5D12-4F54-8429-70D359653588}"/>
    <hyperlink ref="D90" r:id="rId24" display="mailto:cristina.canogomez.ext@telefonica.com" xr:uid="{406056D3-C04D-4186-A1F1-268E603DE5C6}"/>
    <hyperlink ref="D91:D108" r:id="rId25" display="mailto:cristina.canogomez.ext@telefonica.com" xr:uid="{3F790560-FD70-4197-9DCC-07D4235550E4}"/>
    <hyperlink ref="D145" r:id="rId26" xr:uid="{BE287AC8-7DA4-4E27-A96C-809A07F0F6DC}"/>
    <hyperlink ref="D146" r:id="rId27" xr:uid="{DA112253-B8B9-489B-9D79-2B3946D6A710}"/>
    <hyperlink ref="D147" r:id="rId28" xr:uid="{043E3107-FDEE-4397-B578-4C67FACEF5F3}"/>
    <hyperlink ref="D148" r:id="rId29" xr:uid="{6B295D14-203F-4F0E-863D-277247E98B3C}"/>
    <hyperlink ref="D149" r:id="rId30" xr:uid="{EA0A4ABC-11B6-4624-9DE2-8482FB4C77AC}"/>
    <hyperlink ref="D150" r:id="rId31" xr:uid="{039C98FD-D2E6-4E2F-B93B-308694E083A3}"/>
    <hyperlink ref="D151" r:id="rId32" xr:uid="{DE21B153-2FF0-4A9E-8719-48C08F5FF1A3}"/>
    <hyperlink ref="D152" r:id="rId33" xr:uid="{4495ACB2-67F1-4DF8-A73F-12F09E5C91F1}"/>
    <hyperlink ref="D153" r:id="rId34" xr:uid="{158C3AB8-D12A-49CE-AECD-C1110CBCDBC9}"/>
    <hyperlink ref="D154" r:id="rId35" xr:uid="{7FF3C8CE-FD76-4C1F-ABE1-B6B798D2BAC7}"/>
    <hyperlink ref="D155" r:id="rId36" xr:uid="{0552B85D-56F4-42B6-9B40-C68E62A1F8DB}"/>
    <hyperlink ref="D91" r:id="rId37" xr:uid="{965F2B52-F196-4ED7-852A-A3C62C53AA35}"/>
    <hyperlink ref="E145" r:id="rId38" xr:uid="{8A87F597-775E-4F5F-9DA6-401D95749767}"/>
    <hyperlink ref="D138" r:id="rId39" xr:uid="{8649214C-A20B-43ED-BC49-872A92571F4C}"/>
    <hyperlink ref="D109" r:id="rId40" xr:uid="{6D309E8E-55D3-4F26-A93C-98E8B3CB39F3}"/>
    <hyperlink ref="D115" r:id="rId41" xr:uid="{799B136A-204B-415F-A5E2-9043893C74B2}"/>
    <hyperlink ref="D122" r:id="rId42" xr:uid="{FE020FB6-A728-481D-917F-69B44BC27041}"/>
    <hyperlink ref="D184" r:id="rId43" xr:uid="{D85FF8D4-88F9-420B-90EC-01E6F360ED5C}"/>
    <hyperlink ref="D185" r:id="rId44" xr:uid="{67AF174B-37E2-4E60-B6DB-B4354111D720}"/>
    <hyperlink ref="D186" r:id="rId45" xr:uid="{3A8BD35B-93B7-4E35-82A2-253A92E27269}"/>
    <hyperlink ref="D187" r:id="rId46" xr:uid="{C8F0154E-6EB7-4437-BFFC-6B1311CA85DB}"/>
    <hyperlink ref="D189" r:id="rId47" display="mailto:cristina.canogomez.ext@telefonica.com" xr:uid="{477FE944-728C-48BF-B0F1-F15CD26E491E}"/>
    <hyperlink ref="D167" r:id="rId48" xr:uid="{10C6CF2B-57C4-4A69-BA64-01162118BDB8}"/>
    <hyperlink ref="D165" r:id="rId49" xr:uid="{C1EDE8ED-3C73-44DD-B515-79170BB26784}"/>
    <hyperlink ref="D158" r:id="rId50" xr:uid="{AEFD9774-E8DE-4072-968E-88347B183B4E}"/>
    <hyperlink ref="D172" r:id="rId51" xr:uid="{1C0424C6-C60D-40DF-84D9-770F5C35C801}"/>
    <hyperlink ref="D191" r:id="rId52" xr:uid="{ED5FCADA-706F-4E57-AEAB-C6059A033692}"/>
    <hyperlink ref="D212" r:id="rId53" xr:uid="{DE38198D-82EF-430B-BAEC-B7FA91E0351F}"/>
    <hyperlink ref="D238" r:id="rId54" display="mailto:cristina.canogomez.ext@telefonica.com" xr:uid="{6957132F-3FE3-4617-9EBE-78BB9F45E433}"/>
    <hyperlink ref="D239" r:id="rId55" display="mailto:cristina.canogomez.ext@telefonica.com" xr:uid="{35080FEC-6DA8-431C-AFAA-78C3EACEAA5B}"/>
    <hyperlink ref="D240" r:id="rId56" display="mailto:cristina.canogomez.ext@telefonica.com" xr:uid="{B669811F-9B42-47E2-8907-3860BBA8C41F}"/>
    <hyperlink ref="D241" r:id="rId57" display="mailto:cristina.canogomez.ext@telefonica.com" xr:uid="{B708424D-559B-44E4-83D5-A325D713EF95}"/>
    <hyperlink ref="D242" r:id="rId58" display="mailto:cristina.canogomez.ext@telefonica.com" xr:uid="{752AA360-B34B-411F-B113-9F0F83ED4C02}"/>
    <hyperlink ref="D243" r:id="rId59" display="mailto:cristina.canogomez.ext@telefonica.com" xr:uid="{FA611654-E957-4785-B79C-E151C569DF53}"/>
    <hyperlink ref="D244" r:id="rId60" display="mailto:cristina.canogomez.ext@telefonica.com" xr:uid="{CBDF5D6D-938B-4368-8FE8-63CF8A31E2AF}"/>
    <hyperlink ref="D245" r:id="rId61" display="mailto:cristina.canogomez.ext@telefonica.com" xr:uid="{1C699F99-107E-4234-BDB7-47ECE13D1451}"/>
    <hyperlink ref="D246" r:id="rId62" display="mailto:cristina.canogomez.ext@telefonica.com" xr:uid="{ABE5B09B-6EA8-4CE9-8C37-A270CCA6AED3}"/>
    <hyperlink ref="D247" r:id="rId63" display="mailto:cristina.canogomez.ext@telefonica.com" xr:uid="{F4A2E5FA-E07F-4933-84BC-0C4CE59D4B19}"/>
    <hyperlink ref="D248" r:id="rId64" xr:uid="{980F3DA1-530D-4326-B27C-05EEBE00572F}"/>
    <hyperlink ref="D249" r:id="rId65" display="mailto:cristina.canogomez.ext@telefonica.com" xr:uid="{18C8B8EA-3EB7-4953-8F7A-CBFB00903C9F}"/>
    <hyperlink ref="D250" r:id="rId66" display="mailto:cristina.canogomez.ext@telefonica.com" xr:uid="{916A91D1-CB9B-48FF-97D7-AF25867AD9CB}"/>
    <hyperlink ref="D251" r:id="rId67" display="mailto:cristina.canogomez.ext@telefonica.com" xr:uid="{56973F80-9009-47F6-BABB-D0450B82437F}"/>
    <hyperlink ref="D214" r:id="rId68" xr:uid="{3BE9A4FE-E6D0-4012-A06F-1B30FF2DF7EC}"/>
    <hyperlink ref="D171" r:id="rId69" xr:uid="{6FCEEDEE-7941-4B29-8B16-3311617632E4}"/>
    <hyperlink ref="D274" r:id="rId70" tooltip="mailto:cristina.canogomez.ext@telefonica.com" display="mailto:cristina.canogomez.ext@telefonica.com" xr:uid="{C4866406-8CC5-4556-9D97-496A324ECAAA}"/>
    <hyperlink ref="D275" r:id="rId71" tooltip="mailto:cristina.canogomez.ext@telefonica.com" display="mailto:cristina.canogomez.ext@telefonica.com" xr:uid="{1F2D6D0B-6796-4F71-97B1-CF7E69307B88}"/>
    <hyperlink ref="D276" r:id="rId72" tooltip="mailto:cristina.canogomez.ext@telefonica.com" display="mailto:cristina.canogomez.ext@telefonica.com" xr:uid="{15A43446-7702-49CB-86E9-DF407C9A6C8B}"/>
    <hyperlink ref="D277" r:id="rId73" tooltip="mailto:cristina.canogomez.ext@telefonica.com" display="mailto:cristina.canogomez.ext@telefonica.com" xr:uid="{CA3F7778-D1DC-486A-B6AA-011E1342F8C0}"/>
    <hyperlink ref="D278" r:id="rId74" tooltip="mailto:cristina.canogomez.ext@telefonica.com" display="mailto:cristina.canogomez.ext@telefonica.com" xr:uid="{59F2CF7A-1E0E-495C-9B9C-1B5D1F4C7898}"/>
    <hyperlink ref="D279" r:id="rId75" tooltip="mailto:cristina.canogomez.ext@telefonica.com" display="mailto:cristina.canogomez.ext@telefonica.com" xr:uid="{E500707E-ACF3-493F-887C-A0BFAB27427C}"/>
    <hyperlink ref="D280" r:id="rId76" tooltip="mailto:cristina.canogomez.ext@telefonica.com" display="mailto:cristina.canogomez.ext@telefonica.com" xr:uid="{C044ACDB-4FAA-4A2B-A10D-CCAEC6EB7E68}"/>
    <hyperlink ref="D281" r:id="rId77" tooltip="mailto:cristina.canogomez.ext@telefonica.com" display="mailto:cristina.canogomez.ext@telefonica.com" xr:uid="{954195CA-3E5F-4292-9624-28BDE7CF1B3C}"/>
    <hyperlink ref="D282" r:id="rId78" tooltip="mailto:cristina.canogomez.ext@telefonica.com" display="mailto:cristina.canogomez.ext@telefonica.com" xr:uid="{3A5B4217-403B-41C0-95FA-46BDBE04DF70}"/>
    <hyperlink ref="D283" r:id="rId79" tooltip="mailto:cristina.canogomez.ext@telefonica.com" display="mailto:cristina.canogomez.ext@telefonica.com" xr:uid="{8D49EF2D-2B59-4FCE-9B83-BD358DCE3DF5}"/>
    <hyperlink ref="D284" r:id="rId80" tooltip="mailto:cristina.canogomez.ext@telefonica.com" display="mailto:cristina.canogomez.ext@telefonica.com" xr:uid="{40776787-B2D2-4B31-BC18-3E76CF3A4A8C}"/>
    <hyperlink ref="D285" r:id="rId81" tooltip="mailto:cristina.canogomez.ext@telefonica.com" display="mailto:cristina.canogomez.ext@telefonica.com" xr:uid="{68A1ECE9-9915-4AFE-9142-669C273D5259}"/>
    <hyperlink ref="D286" r:id="rId82" tooltip="mailto:cristina.canogomez.ext@telefonica.com" display="mailto:cristina.canogomez.ext@telefonica.com" xr:uid="{20FBFD25-4831-4724-AC50-FB46F5892268}"/>
    <hyperlink ref="D287" r:id="rId83" tooltip="mailto:cristina.canogomez.ext@telefonica.com" display="mailto:cristina.canogomez.ext@telefonica.com" xr:uid="{7B89D58C-8603-4C88-8DA1-209CA68AC7AA}"/>
    <hyperlink ref="D288" r:id="rId84" tooltip="mailto:cristina.canogomez.ext@telefonica.com" display="mailto:cristina.canogomez.ext@telefonica.com" xr:uid="{5FFBDE79-5BBC-434B-AFA6-092CBB20072D}"/>
    <hyperlink ref="D289" r:id="rId85" tooltip="mailto:cristina.canogomez.ext@telefonica.com" display="mailto:cristina.canogomez.ext@telefonica.com" xr:uid="{0457BC1A-89AE-4583-81D3-DDBC962CAC18}"/>
    <hyperlink ref="D290" r:id="rId86" tooltip="mailto:cristina.canogomez.ext@telefonica.com" display="mailto:cristina.canogomez.ext@telefonica.com" xr:uid="{2051F3E4-A881-4797-B3AC-77718BD7AD3F}"/>
    <hyperlink ref="D291" r:id="rId87" tooltip="mailto:cristina.canogomez.ext@telefonica.com" display="mailto:cristina.canogomez.ext@telefonica.com" xr:uid="{00AF3721-0418-4EAC-BBF1-274EA2AD2620}"/>
    <hyperlink ref="D292" r:id="rId88" tooltip="mailto:cristina.canogomez.ext@telefonica.com" display="mailto:cristina.canogomez.ext@telefonica.com" xr:uid="{32C37FFC-BF00-4751-97D5-264C405E8107}"/>
    <hyperlink ref="D293" r:id="rId89" tooltip="mailto:cristina.canogomez.ext@telefonica.com" display="mailto:cristina.canogomez.ext@telefonica.com" xr:uid="{54A1739F-1A49-4D74-BD15-E750DC5D1D8F}"/>
    <hyperlink ref="D294" r:id="rId90" tooltip="mailto:cristina.canogomez.ext@telefonica.com" display="mailto:cristina.canogomez.ext@telefonica.com" xr:uid="{2377437C-0B2D-4262-BCFC-421B96D1188F}"/>
    <hyperlink ref="D295" r:id="rId91" tooltip="mailto:cristina.canogomez.ext@telefonica.com" display="mailto:cristina.canogomez.ext@telefonica.com" xr:uid="{CF5A7B27-ABB9-453C-9032-57F30D7187D6}"/>
    <hyperlink ref="D296" r:id="rId92" tooltip="mailto:cristina.canogomez.ext@telefonica.com" display="mailto:cristina.canogomez.ext@telefonica.com" xr:uid="{847B0CF0-8A1F-43F4-ABDA-0B1CB5AC5871}"/>
    <hyperlink ref="D297" r:id="rId93" tooltip="mailto:cristina.canogomez.ext@telefonica.com" display="mailto:cristina.canogomez.ext@telefonica.com" xr:uid="{3BB79E47-40C9-40D0-B1DF-8258B6BCBF9E}"/>
    <hyperlink ref="D298" r:id="rId94" tooltip="mailto:cristina.canogomez.ext@telefonica.com" display="mailto:cristina.canogomez.ext@telefonica.com" xr:uid="{6895EC99-7641-4D7C-945B-406E35D8BECC}"/>
    <hyperlink ref="D299" r:id="rId95" tooltip="mailto:cristina.canogomez.ext@telefonica.com" display="mailto:cristina.canogomez.ext@telefonica.com" xr:uid="{A1AFE8F5-73A8-44A3-BE6D-89C077B918FE}"/>
    <hyperlink ref="D300" r:id="rId96" tooltip="mailto:cristina.canogomez.ext@telefonica.com" display="mailto:cristina.canogomez.ext@telefonica.com" xr:uid="{CFA6E224-601F-4338-830B-01648E200EEB}"/>
    <hyperlink ref="D301" r:id="rId97" tooltip="mailto:cristina.canogomez.ext@telefonica.com" display="mailto:cristina.canogomez.ext@telefonica.com" xr:uid="{C9566F59-55CC-48C9-8B68-FC12D7A725FE}"/>
    <hyperlink ref="D302" r:id="rId98" tooltip="mailto:cristina.canogomez.ext@telefonica.com" display="mailto:cristina.canogomez.ext@telefonica.com" xr:uid="{58A1F4EB-471B-4965-A490-57A5B991F336}"/>
    <hyperlink ref="D303" r:id="rId99" tooltip="mailto:cristina.canogomez.ext@telefonica.com" display="mailto:cristina.canogomez.ext@telefonica.com" xr:uid="{D7E276AB-DF2F-4FE4-8C58-799A094B1C0D}"/>
    <hyperlink ref="D304" r:id="rId100" tooltip="mailto:cristina.canogomez.ext@telefonica.com" display="mailto:cristina.canogomez.ext@telefonica.com" xr:uid="{785B2D94-A77A-4434-B217-CA8582014F84}"/>
    <hyperlink ref="D305" r:id="rId101" tooltip="mailto:cristina.canogomez.ext@telefonica.com" display="mailto:cristina.canogomez.ext@telefonica.com" xr:uid="{5A7DE37A-1DFC-4B6A-A356-6F16134363B0}"/>
    <hyperlink ref="D306" r:id="rId102" tooltip="mailto:cristina.canogomez.ext@telefonica.com" display="mailto:cristina.canogomez.ext@telefonica.com" xr:uid="{D5B422D3-8924-492A-87F8-65F5BC4E49EE}"/>
    <hyperlink ref="D307" r:id="rId103" tooltip="mailto:cristina.canogomez.ext@telefonica.com" display="mailto:cristina.canogomez.ext@telefonica.com" xr:uid="{8B206E8A-AF9A-423B-9859-FED376DB537B}"/>
    <hyperlink ref="D308" r:id="rId104" tooltip="mailto:cristina.canogomez.ext@telefonica.com" display="mailto:cristina.canogomez.ext@telefonica.com" xr:uid="{E1CA54F1-7932-4A36-AB90-B2D0327B6BD0}"/>
    <hyperlink ref="D309" r:id="rId105" tooltip="mailto:cristina.canogomez.ext@telefonica.com" display="mailto:cristina.canogomez.ext@telefonica.com" xr:uid="{2D9552FA-6BE5-4EC0-A949-3E14436D3FE3}"/>
    <hyperlink ref="D310" r:id="rId106" tooltip="mailto:cristina.canogomez.ext@telefonica.com" display="mailto:cristina.canogomez.ext@telefonica.com" xr:uid="{CD56F77D-AA26-46AA-AEA5-D69F18F95017}"/>
    <hyperlink ref="D311" r:id="rId107" tooltip="mailto:cristina.canogomez.ext@telefonica.com" display="mailto:cristina.canogomez.ext@telefonica.com" xr:uid="{4052E926-542A-47C3-B74E-A328BF33121D}"/>
    <hyperlink ref="D312" r:id="rId108" tooltip="mailto:cristina.canogomez.ext@telefonica.com" display="mailto:cristina.canogomez.ext@telefonica.com" xr:uid="{477B4EE3-11FF-4455-AB8A-DC59695C9673}"/>
    <hyperlink ref="D313" r:id="rId109" tooltip="mailto:cristina.canogomez.ext@telefonica.com" display="mailto:cristina.canogomez.ext@telefonica.com" xr:uid="{D921F434-9EEC-491A-BF55-DEE60788D485}"/>
    <hyperlink ref="D314" r:id="rId110" tooltip="mailto:cristina.canogomez.ext@telefonica.com" display="mailto:cristina.canogomez.ext@telefonica.com" xr:uid="{24878D39-2154-46AD-AF88-83EACE24A570}"/>
    <hyperlink ref="D315" r:id="rId111" tooltip="mailto:cristina.canogomez.ext@telefonica.com" display="mailto:cristina.canogomez.ext@telefonica.com" xr:uid="{A7E692E6-1287-4A5D-9917-906A78E614CC}"/>
    <hyperlink ref="D316" r:id="rId112" tooltip="mailto:cristina.canogomez.ext@telefonica.com" display="mailto:cristina.canogomez.ext@telefonica.com" xr:uid="{5D582CB3-9232-4A87-AF5B-C7418110FA70}"/>
    <hyperlink ref="D317" r:id="rId113" tooltip="mailto:cristina.canogomez.ext@telefonica.com" display="mailto:cristina.canogomez.ext@telefonica.com" xr:uid="{9B8CA229-7186-4730-A753-04DD34482BBD}"/>
    <hyperlink ref="D318" r:id="rId114" tooltip="mailto:cristina.canogomez.ext@telefonica.com" display="mailto:cristina.canogomez.ext@telefonica.com" xr:uid="{C84A3112-08F2-445D-8BD4-EA61E5D698B7}"/>
    <hyperlink ref="D319" r:id="rId115" tooltip="mailto:cristina.canogomez.ext@telefonica.com" display="mailto:cristina.canogomez.ext@telefonica.com" xr:uid="{9FCFCA4D-582D-400D-B038-7908FCC263B8}"/>
    <hyperlink ref="D320" r:id="rId116" tooltip="mailto:cristina.canogomez.ext@telefonica.com" display="mailto:cristina.canogomez.ext@telefonica.com" xr:uid="{55124713-1C37-4D5B-8F09-527BE9224E46}"/>
    <hyperlink ref="D321" r:id="rId117" tooltip="mailto:cristina.canogomez.ext@telefonica.com" display="mailto:cristina.canogomez.ext@telefonica.com" xr:uid="{5556EF20-4C7A-48F7-9395-B782B6612153}"/>
    <hyperlink ref="D322" r:id="rId118" tooltip="mailto:cristina.canogomez.ext@telefonica.com" display="mailto:cristina.canogomez.ext@telefonica.com" xr:uid="{46FE56EC-6EBB-4D90-B6A7-D6A274164659}"/>
    <hyperlink ref="D323" r:id="rId119" tooltip="mailto:cristina.canogomez.ext@telefonica.com" display="mailto:cristina.canogomez.ext@telefonica.com" xr:uid="{82EC9ED3-29BF-452A-96C7-DA4A5E78FE96}"/>
    <hyperlink ref="D324" r:id="rId120" tooltip="mailto:cristina.canogomez.ext@telefonica.com" display="mailto:cristina.canogomez.ext@telefonica.com" xr:uid="{7C80F36D-F3CB-4D26-B93F-148C4239BE84}"/>
    <hyperlink ref="D325" r:id="rId121" tooltip="mailto:cristina.canogomez.ext@telefonica.com" display="mailto:cristina.canogomez.ext@telefonica.com" xr:uid="{EFFE9540-4D8F-4B79-9453-68E022E0BEE2}"/>
    <hyperlink ref="D326" r:id="rId122" tooltip="mailto:cristina.canogomez.ext@telefonica.com" display="mailto:cristina.canogomez.ext@telefonica.com" xr:uid="{5D4350C1-98B8-4460-BBB9-71CF18E5E8EA}"/>
    <hyperlink ref="D327" r:id="rId123" tooltip="mailto:cristina.canogomez.ext@telefonica.com" display="mailto:cristina.canogomez.ext@telefonica.com" xr:uid="{AF767DBD-6C75-4B0B-B766-CD10AABF9EFA}"/>
    <hyperlink ref="D328" r:id="rId124" display="mailto:cristina.canogomez.ext@telefonica.com" xr:uid="{C28A0638-0EB1-422F-B85E-5D45F8EFAC70}"/>
    <hyperlink ref="D329" r:id="rId125" display="mailto:cristina.canogomez.ext@telefonica.com" xr:uid="{436F1D7A-A0EB-4C51-A5A2-E9CD060F8DD7}"/>
    <hyperlink ref="D330" r:id="rId126" display="mailto:cristina.canogomez.ext@telefonica.com" xr:uid="{90556C23-B8D0-4C35-B339-D8BCACBB87EA}"/>
    <hyperlink ref="D331" r:id="rId127" display="mailto:cristina.canogomez.ext@telefonica.com" xr:uid="{5E90831D-651A-4688-A084-FFEA19BADBC7}"/>
    <hyperlink ref="D332" r:id="rId128" display="mailto:cristina.canogomez.ext@telefonica.com" xr:uid="{1EF36EB3-2F85-45D8-8657-349F540119AF}"/>
    <hyperlink ref="D333" r:id="rId129" display="mailto:cristina.canogomez.ext@telefonica.com" xr:uid="{AFF829D9-8921-4416-A598-C941F3A84053}"/>
    <hyperlink ref="D334" r:id="rId130" display="mailto:cristina.canogomez.ext@telefonica.com" xr:uid="{20176A31-EA80-44A5-84CF-A5A290D88C13}"/>
    <hyperlink ref="D335" r:id="rId131" display="mailto:cristina.canogomez.ext@telefonica.com" xr:uid="{B5768935-3DF3-46ED-88AF-4D8A80386681}"/>
    <hyperlink ref="D336" r:id="rId132" display="mailto:cristina.canogomez.ext@telefonica.com" xr:uid="{F7DC4277-17D6-4927-AF0F-911EDF323C16}"/>
    <hyperlink ref="D337" r:id="rId133" display="mailto:cristina.canogomez.ext@telefonica.com" xr:uid="{7E02AA16-36CB-4662-B75B-B2C53D3BEE34}"/>
    <hyperlink ref="D338" r:id="rId134" display="mailto:cristina.canogomez.ext@telefonica.com" xr:uid="{B705EA30-62C1-4578-A601-E4152E8F9EDC}"/>
    <hyperlink ref="D339" r:id="rId135" display="mailto:cristina.canogomez.ext@telefonica.com" xr:uid="{2AF34D32-8DE7-4472-ABC6-6493E58B8D62}"/>
    <hyperlink ref="D340" r:id="rId136" display="mailto:cristina.canogomez.ext@telefonica.com" xr:uid="{0AE2B755-8209-402A-9FA3-C847AA1F8B30}"/>
    <hyperlink ref="D341" r:id="rId137" display="mailto:cristina.canogomez.ext@telefonica.com" xr:uid="{88F061BD-A016-4F5E-841C-97B948BE3B31}"/>
    <hyperlink ref="D342" r:id="rId138" display="mailto:cristina.canogomez.ext@telefonica.com" xr:uid="{C871D1F4-BBAD-4096-AA63-177DB43FF477}"/>
    <hyperlink ref="D343" r:id="rId139" display="mailto:cristina.canogomez.ext@telefonica.com" xr:uid="{04470C0D-C16D-4C51-B9A9-459E80C473F1}"/>
    <hyperlink ref="D344" r:id="rId140" display="mailto:cristina.canogomez.ext@telefonica.com" xr:uid="{8716B97B-7006-4280-AFC3-A0D20350116E}"/>
    <hyperlink ref="D345" r:id="rId141" display="mailto:cristina.canogomez.ext@telefonica.com" xr:uid="{D51C922C-13E1-45CB-8C42-9B26FC5FA73B}"/>
    <hyperlink ref="D346" r:id="rId142" display="mailto:cristina.canogomez.ext@telefonica.com" xr:uid="{01844784-5AC1-4228-98BA-72E81B04DB71}"/>
    <hyperlink ref="D347" r:id="rId143" display="mailto:cristina.canogomez.ext@telefonica.com" xr:uid="{971855EB-9DDF-45E8-AEF8-ED75A43F63ED}"/>
    <hyperlink ref="D348" r:id="rId144" tooltip="mailto:cristina.canogomez.ext@telefonica.com" display="mailto:cristina.canogomez.ext@telefonica.com" xr:uid="{2E27B40D-AE76-4ACA-A36B-07BB814BE034}"/>
    <hyperlink ref="D349" r:id="rId145" tooltip="mailto:cristina.canogomez.ext@telefonica.com" display="mailto:cristina.canogomez.ext@telefonica.com" xr:uid="{86D8DBDB-2CAB-4D38-83BE-339CE76754AC}"/>
    <hyperlink ref="D350" r:id="rId146" tooltip="mailto:cristina.canogomez.ext@telefonica.com" display="mailto:cristina.canogomez.ext@telefonica.com" xr:uid="{E2848376-3BCA-46EE-9DF3-1B049F616049}"/>
    <hyperlink ref="D351" r:id="rId147" tooltip="mailto:cristina.canogomez.ext@telefonica.com" display="mailto:cristina.canogomez.ext@telefonica.com" xr:uid="{C7ED7634-2E6D-4761-9E18-E46AB4F77284}"/>
    <hyperlink ref="D352" r:id="rId148" tooltip="mailto:cristina.canogomez.ext@telefonica.com" display="mailto:cristina.canogomez.ext@telefonica.com" xr:uid="{93128719-9278-40CB-8EEB-77A0FEED61F2}"/>
    <hyperlink ref="D353" r:id="rId149" tooltip="mailto:cristina.canogomez.ext@telefonica.com" display="mailto:cristina.canogomez.ext@telefonica.com" xr:uid="{F2A7B5C4-120D-491E-9574-DBC43F0C36FB}"/>
    <hyperlink ref="D354" r:id="rId150" tooltip="mailto:cristina.canogomez.ext@telefonica.com" display="mailto:cristina.canogomez.ext@telefonica.com" xr:uid="{B2CE9E27-60BC-496F-8FDC-70AEF7434238}"/>
    <hyperlink ref="D355" r:id="rId151" tooltip="mailto:cristina.canogomez.ext@telefonica.com" display="mailto:cristina.canogomez.ext@telefonica.com" xr:uid="{B378E1EC-6386-43D3-A058-06D0F8FF1DD5}"/>
    <hyperlink ref="D356" r:id="rId152" tooltip="mailto:cristina.canogomez.ext@telefonica.com" display="mailto:cristina.canogomez.ext@telefonica.com" xr:uid="{286D6C60-2605-4092-94B7-132752FE25CC}"/>
    <hyperlink ref="D357" r:id="rId153" tooltip="mailto:cristina.canogomez.ext@telefonica.com" display="mailto:cristina.canogomez.ext@telefonica.com" xr:uid="{7CAE1600-AA7C-445C-8D26-D6F5C395BB25}"/>
    <hyperlink ref="D358" r:id="rId154" tooltip="mailto:cristina.canogomez.ext@telefonica.com" display="mailto:cristina.canogomez.ext@telefonica.com" xr:uid="{F2469399-81FC-4CCE-95EF-2434A3E333FB}"/>
    <hyperlink ref="D359" r:id="rId155" tooltip="mailto:cristina.canogomez.ext@telefonica.com" display="mailto:cristina.canogomez.ext@telefonica.com" xr:uid="{0B3B6672-187F-4178-856B-03DD4A52E5C9}"/>
    <hyperlink ref="D360" r:id="rId156" tooltip="mailto:cristina.canogomez.ext@telefonica.com" display="mailto:cristina.canogomez.ext@telefonica.com" xr:uid="{D95C4AF8-1357-46D4-96FF-D938411BEFBC}"/>
    <hyperlink ref="D361" r:id="rId157" tooltip="mailto:cristina.canogomez.ext@telefonica.com" display="mailto:cristina.canogomez.ext@telefonica.com" xr:uid="{ECBADFED-3976-4CCB-A6BA-F81C57BE5303}"/>
    <hyperlink ref="D362" r:id="rId158" tooltip="mailto:cristina.canogomez.ext@telefonica.com" display="mailto:cristina.canogomez.ext@telefonica.com" xr:uid="{9F019BC6-06FE-449D-A312-641EA1CA77E8}"/>
    <hyperlink ref="D363" r:id="rId159" tooltip="mailto:cristina.canogomez.ext@telefonica.com" display="mailto:cristina.canogomez.ext@telefonica.com" xr:uid="{6E686054-CD68-4523-9C0D-B6A3B40304C5}"/>
    <hyperlink ref="D364" r:id="rId160" tooltip="mailto:cristina.canogomez.ext@telefonica.com" display="mailto:cristina.canogomez.ext@telefonica.com" xr:uid="{B0F71F8E-F3B2-4F52-8014-25D63DD013A4}"/>
    <hyperlink ref="D365" r:id="rId161" tooltip="mailto:cristina.canogomez.ext@telefonica.com" display="mailto:cristina.canogomez.ext@telefonica.com" xr:uid="{4222309F-4E20-4395-A9EA-9B6917DDC758}"/>
    <hyperlink ref="D366" r:id="rId162" tooltip="mailto:cristina.canogomez.ext@telefonica.com" display="mailto:cristina.canogomez.ext@telefonica.com" xr:uid="{ADDC9A6B-1621-4F56-90AA-814D74E977A4}"/>
    <hyperlink ref="D367" r:id="rId163" tooltip="mailto:cristina.canogomez.ext@telefonica.com" display="mailto:cristina.canogomez.ext@telefonica.com" xr:uid="{091CB9E2-C682-4372-8503-4D616473BD0E}"/>
    <hyperlink ref="D368" r:id="rId164" tooltip="mailto:cristina.canogomez.ext@telefonica.com" display="mailto:cristina.canogomez.ext@telefonica.com" xr:uid="{2A8CEF8D-9BDA-4572-A5FE-EBC3328B2B9B}"/>
    <hyperlink ref="D369" r:id="rId165" tooltip="mailto:cristina.canogomez.ext@telefonica.com" display="mailto:cristina.canogomez.ext@telefonica.com" xr:uid="{44CB89C2-3A8F-42B6-B722-D8E643C010BD}"/>
    <hyperlink ref="D370" r:id="rId166" tooltip="mailto:cristina.canogomez.ext@telefonica.com" display="mailto:cristina.canogomez.ext@telefonica.com" xr:uid="{8EAB4902-FA11-49C0-A821-E04687D29C99}"/>
    <hyperlink ref="D387" r:id="rId167" tooltip="mailto:cristina.canogomez.ext@telefonica.com" display="mailto:cristina.canogomez.ext@telefonica.com" xr:uid="{3276BB18-424A-4B49-9305-BC63C8447295}"/>
    <hyperlink ref="D388" r:id="rId168" tooltip="mailto:cristina.canogomez.ext@telefonica.com" display="mailto:cristina.canogomez.ext@telefonica.com" xr:uid="{52441210-4B42-4AFC-8C35-E28251252F13}"/>
    <hyperlink ref="D389" r:id="rId169" tooltip="mailto:cristina.canogomez.ext@telefonica.com" display="mailto:cristina.canogomez.ext@telefonica.com" xr:uid="{9314790F-6323-4C56-8EDA-18EEB0C4CBC7}"/>
    <hyperlink ref="D390" r:id="rId170" tooltip="mailto:cristina.canogomez.ext@telefonica.com" display="mailto:cristina.canogomez.ext@telefonica.com" xr:uid="{5B046C8A-97F9-4930-B6F6-A0B339FC0288}"/>
    <hyperlink ref="D391" r:id="rId171" tooltip="mailto:cristina.canogomez.ext@telefonica.com" display="mailto:cristina.canogomez.ext@telefonica.com" xr:uid="{9BEBE692-C616-4695-B406-1E7B2606FAC4}"/>
    <hyperlink ref="D392" r:id="rId172" tooltip="mailto:cristina.canogomez.ext@telefonica.com" display="mailto:cristina.canogomez.ext@telefonica.com" xr:uid="{7C72F0FE-33EC-435F-AD9E-3CB055C24DEB}"/>
    <hyperlink ref="D393" r:id="rId173" tooltip="mailto:cristina.canogomez.ext@telefonica.com" display="mailto:cristina.canogomez.ext@telefonica.com" xr:uid="{A9794671-4B8E-4FCD-BBAC-0BD910D4205D}"/>
    <hyperlink ref="D394" r:id="rId174" tooltip="mailto:cristina.canogomez.ext@telefonica.com" display="mailto:cristina.canogomez.ext@telefonica.com" xr:uid="{A919F0BA-C1A8-4A1B-AA6B-BEFFC26722F9}"/>
    <hyperlink ref="D395" r:id="rId175" display="mailto:cristina.canogomez.ext@telefonica.com" xr:uid="{794DF640-EBBA-4656-A0C6-FFF6FC234957}"/>
    <hyperlink ref="D396" r:id="rId176" display="mailto:cristina.canogomez.ext@telefonica.com" xr:uid="{4CA6304E-CDBC-41FE-985A-A590144DB172}"/>
    <hyperlink ref="D397" r:id="rId177" display="mailto:cristina.canogomez.ext@telefonica.com" xr:uid="{4E314600-18F1-4256-9CBA-413273CFB2E8}"/>
    <hyperlink ref="D398" r:id="rId178" display="mailto:cristina.canogomez.ext@telefonica.com" xr:uid="{65AB5618-6BCA-4D3A-9153-0B5013F187C4}"/>
    <hyperlink ref="D399" r:id="rId179" display="mailto:cristina.canogomez.ext@telefonica.com" xr:uid="{9472669D-983D-49EF-8A47-DB26BBE2EE20}"/>
    <hyperlink ref="D400" r:id="rId180" display="mailto:cristina.canogomez.ext@telefonica.com" xr:uid="{77B9DDDA-7BFB-4FC6-AF79-BD774F362757}"/>
    <hyperlink ref="D401" r:id="rId181" display="mailto:cristina.canogomez.ext@telefonica.com" xr:uid="{1528B443-931C-443E-B71A-05F5517CBEB8}"/>
    <hyperlink ref="D402" r:id="rId182" display="mailto:cristina.canogomez.ext@telefonica.com" xr:uid="{C64D0CE4-174A-42FB-B066-F6CAEC0499D1}"/>
    <hyperlink ref="D403" r:id="rId183" display="mailto:cristina.canogomez.ext@telefonica.com" xr:uid="{D0492FC6-0EB6-4945-8BF9-3C1B7FD1CB90}"/>
    <hyperlink ref="D404" r:id="rId184" display="mailto:cristina.canogomez.ext@telefonica.com" xr:uid="{B0134ED6-05D0-4F59-B572-2FE39F912E54}"/>
    <hyperlink ref="D405" r:id="rId185" display="mailto:cristina.canogomez.ext@telefonica.com" xr:uid="{44C9EFC0-1720-47BA-8F07-808512049616}"/>
    <hyperlink ref="D406" r:id="rId186" display="mailto:cristina.canogomez.ext@telefonica.com" xr:uid="{09794CE4-7F2E-43FF-A97D-5C065FD1A783}"/>
    <hyperlink ref="D424" r:id="rId187" display="mailto:cristina.canogomez.ext@telefonica.com" xr:uid="{FF279D71-FC3D-490B-AF34-D832DD54B62D}"/>
    <hyperlink ref="D425" r:id="rId188" display="mailto:cristina.canogomez.ext@telefonica.com" xr:uid="{1C9637ED-AEA7-4D10-9181-20377E691004}"/>
    <hyperlink ref="D426" r:id="rId189" display="mailto:cristina.canogomez.ext@telefonica.com" xr:uid="{66EB9B46-FC4A-4839-B815-25FA355E7FE7}"/>
    <hyperlink ref="D427" r:id="rId190" display="mailto:cristina.canogomez.ext@telefonica.com" xr:uid="{3F055C11-D002-44D1-A675-3BD028783420}"/>
    <hyperlink ref="D428" r:id="rId191" display="mailto:cristina.canogomez.ext@telefonica.com" xr:uid="{A3BB66B7-A710-4B93-AB0C-9B7670DE62DA}"/>
    <hyperlink ref="D429" r:id="rId192" display="mailto:cristina.canogomez.ext@telefonica.com" xr:uid="{8611E5D6-D47A-457A-AA10-9252AA4EDB3A}"/>
    <hyperlink ref="D430" r:id="rId193" display="mailto:cristina.canogomez.ext@telefonica.com" xr:uid="{AB13F77C-3A9F-4E45-B259-C0CD3D9A6C5F}"/>
    <hyperlink ref="D431" r:id="rId194" display="mailto:cristina.canogomez.ext@telefonica.com" xr:uid="{6CCD06C9-3FC8-4CE1-8C91-FA17073CBEBB}"/>
    <hyperlink ref="D432" r:id="rId195" display="mailto:cristina.canogomez.ext@telefonica.com" xr:uid="{891C923B-E349-47B0-BC8E-4CA8962B37CE}"/>
    <hyperlink ref="D433" r:id="rId196" display="mailto:cristina.canogomez.ext@telefonica.com" xr:uid="{B96216DE-0711-42EA-99C9-D477F1FA704F}"/>
    <hyperlink ref="D434" r:id="rId197" display="mailto:cristina.canogomez.ext@telefonica.com" xr:uid="{5FC9D8F3-F75C-4269-9F05-0BE9151FBC4C}"/>
    <hyperlink ref="D435" r:id="rId198" display="mailto:cristina.canogomez.ext@telefonica.com" xr:uid="{D0B1BA0B-A0B4-4913-8719-346C3219D9CB}"/>
    <hyperlink ref="D436" r:id="rId199" display="mailto:cristina.canogomez.ext@telefonica.com" xr:uid="{91693A6C-4BAB-45DD-AF0E-3B78A3DB52C3}"/>
    <hyperlink ref="D437" r:id="rId200" display="mailto:cristina.canogomez.ext@telefonica.com" xr:uid="{20EB7AF2-479D-4F5B-BF86-6C8C91D2189A}"/>
    <hyperlink ref="D438" r:id="rId201" display="mailto:cristina.canogomez.ext@telefonica.com" xr:uid="{66447A56-B77B-4860-BA13-502460EB5860}"/>
    <hyperlink ref="D439" r:id="rId202" display="mailto:cristina.canogomez.ext@telefonica.com" xr:uid="{75763C15-5458-4244-91C8-4DFFA849BDD5}"/>
    <hyperlink ref="D440" r:id="rId203" display="mailto:cristina.canogomez.ext@telefonica.com" xr:uid="{5CEB513C-2700-458C-8F37-43C3FFBC1CCB}"/>
    <hyperlink ref="D441" r:id="rId204" display="mailto:cristina.canogomez.ext@telefonica.com" xr:uid="{9F23F8AF-3824-4A6F-B593-6AEFF50C551D}"/>
    <hyperlink ref="D442" r:id="rId205" display="mailto:cristina.canogomez.ext@telefonica.com" xr:uid="{94C3D86D-4005-44B0-B8DC-00C3146797E8}"/>
    <hyperlink ref="D443" r:id="rId206" display="mailto:cristina.canogomez.ext@telefonica.com" xr:uid="{8EA6B9CF-937E-45D2-A211-E984939858FF}"/>
    <hyperlink ref="D444" r:id="rId207" display="mailto:cristina.canogomez.ext@telefonica.com" xr:uid="{A92F0B3E-EDE2-49C7-A934-176A1EDED60C}"/>
    <hyperlink ref="D445" r:id="rId208" display="mailto:cristina.canogomez.ext@telefonica.com" xr:uid="{97C294AB-0642-4CA1-8C19-15179FC8C70A}"/>
    <hyperlink ref="D446" r:id="rId209" display="mailto:cristina.canogomez.ext@telefonica.com" xr:uid="{2E0CD854-9193-40DA-B653-2D87146313C2}"/>
    <hyperlink ref="D447" r:id="rId210" tooltip="mailto:cristina.canogomez.ext@telefonica.com" display="mailto:cristina.canogomez.ext@telefonica.com" xr:uid="{CD133892-A521-4B4D-A2F3-C5B1F2C961E3}"/>
    <hyperlink ref="D448" r:id="rId211" tooltip="mailto:cristina.canogomez.ext@telefonica.com" display="mailto:cristina.canogomez.ext@telefonica.com" xr:uid="{92E3C78D-1B4C-45DE-9649-C2BD348DF1AC}"/>
    <hyperlink ref="D449" r:id="rId212" tooltip="mailto:cristina.canogomez.ext@telefonica.com" display="mailto:cristina.canogomez.ext@telefonica.com" xr:uid="{F15AC417-9292-4267-AFBC-DC1FC4DC8402}"/>
    <hyperlink ref="D450" r:id="rId213" tooltip="mailto:cristina.canogomez.ext@telefonica.com" display="mailto:cristina.canogomez.ext@telefonica.com" xr:uid="{CE003167-5E9E-4E67-AA1A-B8707DFFFC9E}"/>
    <hyperlink ref="D451" r:id="rId214" tooltip="mailto:cristina.canogomez.ext@telefonica.com" display="mailto:cristina.canogomez.ext@telefonica.com" xr:uid="{FB66157E-86FB-4332-AA8F-D1815601C934}"/>
    <hyperlink ref="D452" r:id="rId215" tooltip="mailto:cristina.canogomez.ext@telefonica.com" display="mailto:cristina.canogomez.ext@telefonica.com" xr:uid="{72A65AA7-6A60-4C2E-997A-E109326F987A}"/>
    <hyperlink ref="D453" r:id="rId216" tooltip="mailto:cristina.canogomez.ext@telefonica.com" display="mailto:cristina.canogomez.ext@telefonica.com" xr:uid="{75721AC1-F6A0-4887-B155-05CE956B0058}"/>
    <hyperlink ref="D454" r:id="rId217" tooltip="mailto:cristina.canogomez.ext@telefonica.com" display="mailto:cristina.canogomez.ext@telefonica.com" xr:uid="{D3E4F898-E65B-4E81-97E3-20104E3F5708}"/>
    <hyperlink ref="D455" r:id="rId218" tooltip="mailto:cristina.canogomez.ext@telefonica.com" display="mailto:cristina.canogomez.ext@telefonica.com" xr:uid="{781026D3-1D22-4046-B6A3-91072DFED4F3}"/>
    <hyperlink ref="D456" r:id="rId219" tooltip="mailto:cristina.canogomez.ext@telefonica.com" display="mailto:cristina.canogomez.ext@telefonica.com" xr:uid="{4C3AC63A-9D76-4B7B-AC3D-518C4B0FF320}"/>
    <hyperlink ref="D486" r:id="rId220" display="mailto:cristina.canogomez.ext@telefonica.com" xr:uid="{B85738F9-A78D-4671-B992-7143CCB8D14D}"/>
    <hyperlink ref="D487" r:id="rId221" display="mailto:cristina.canogomez.ext@telefonica.com" xr:uid="{97246CC3-DA6F-4F55-8474-EFBBF8E0FE79}"/>
    <hyperlink ref="D488" r:id="rId222" display="mailto:cristina.canogomez.ext@telefonica.com" xr:uid="{4ED365F3-B5DD-424C-9AB9-25A6B9C9BE1D}"/>
    <hyperlink ref="D489" r:id="rId223" display="mailto:cristina.canogomez.ext@telefonica.com" xr:uid="{6A537171-8443-447F-9D43-22E660FAA7CA}"/>
    <hyperlink ref="D490" r:id="rId224" display="mailto:cristina.canogomez.ext@telefonica.com" xr:uid="{5D9EC7E4-280F-4D01-A254-5EF2CEF7D238}"/>
    <hyperlink ref="D491" r:id="rId225" display="mailto:cristina.canogomez.ext@telefonica.com" xr:uid="{0D473D6E-1FBF-4244-8608-6FF4A4782213}"/>
    <hyperlink ref="D492" r:id="rId226" display="mailto:cristina.canogomez.ext@telefonica.com" xr:uid="{63F27AFE-0E48-4B5B-8848-D2D7D2FF98BA}"/>
    <hyperlink ref="D493" r:id="rId227" display="mailto:cristina.canogomez.ext@telefonica.com" xr:uid="{E67744B7-E63D-4F22-B76A-0F13D73ADC99}"/>
    <hyperlink ref="D494" r:id="rId228" display="mailto:cristina.canogomez.ext@telefonica.com" xr:uid="{4578FA2D-A3CA-4640-BC0C-A701D02C061D}"/>
    <hyperlink ref="D495" r:id="rId229" display="mailto:cristina.canogomez.ext@telefonica.com" xr:uid="{1259F30C-9D5D-4494-AE28-3F6DC7AE3E73}"/>
    <hyperlink ref="D496" r:id="rId230" display="mailto:cristina.canogomez.ext@telefonica.com" xr:uid="{3A0C96A0-95AE-4803-83CB-44D1F4337F34}"/>
    <hyperlink ref="D497" r:id="rId231" display="mailto:cristina.canogomez.ext@telefonica.com" xr:uid="{83D79B24-85AA-42AF-BC6D-4D19FEBF311B}"/>
    <hyperlink ref="D498" r:id="rId232" display="mailto:cristina.canogomez.ext@telefonica.com" xr:uid="{753219D4-E4BE-47BB-8C5E-CDFC700787C6}"/>
    <hyperlink ref="D499" r:id="rId233" display="mailto:cristina.canogomez.ext@telefonica.com" xr:uid="{77BCFAE2-F630-44FD-A67F-0123245B11CE}"/>
    <hyperlink ref="D500" r:id="rId234" display="mailto:cristina.canogomez.ext@telefonica.com" xr:uid="{F6FF983F-F83E-435D-8DFD-BC31407D9183}"/>
    <hyperlink ref="D501" r:id="rId235" display="mailto:cristina.canogomez.ext@telefonica.com" xr:uid="{CA9A2F34-4F00-42DE-ACCB-D7C646FF9F3D}"/>
    <hyperlink ref="D502" r:id="rId236" display="mailto:cristina.canogomez.ext@telefonica.com" xr:uid="{D0799FBB-6107-4A7A-8FB6-5BA2A8D5570C}"/>
    <hyperlink ref="D503" r:id="rId237" display="mailto:cristina.canogomez.ext@telefonica.com" xr:uid="{81628038-57D0-478B-A64F-006D95614234}"/>
    <hyperlink ref="D18" r:id="rId238" xr:uid="{38792B6B-E7EC-40A4-9316-62DE2FDC71AB}"/>
    <hyperlink ref="D526" r:id="rId239" tooltip="mailto:cristina.canogomez.ext@telefonica.com" display="mailto:cristina.canogomez.ext@telefonica.com" xr:uid="{5B2C701A-4C6A-44BD-9039-9B8DE7B60F07}"/>
    <hyperlink ref="D527" r:id="rId240" tooltip="mailto:cristina.canogomez.ext@telefonica.com" display="mailto:cristina.canogomez.ext@telefonica.com" xr:uid="{237A9FB1-7CEF-457E-9196-F2ACC79159F3}"/>
    <hyperlink ref="D528" r:id="rId241" tooltip="mailto:cristina.canogomez.ext@telefonica.com" display="mailto:cristina.canogomez.ext@telefonica.com" xr:uid="{B2F78836-4B9F-4D61-906C-2F4497A7087C}"/>
    <hyperlink ref="D529" r:id="rId242" tooltip="mailto:cristina.canogomez.ext@telefonica.com" display="mailto:cristina.canogomez.ext@telefonica.com" xr:uid="{9A7D1B87-693F-4D1F-8A68-F6098FA2F197}"/>
    <hyperlink ref="D530" r:id="rId243" tooltip="mailto:cristina.canogomez.ext@telefonica.com" display="mailto:cristina.canogomez.ext@telefonica.com" xr:uid="{D4119061-D8C9-499B-BA91-4F075DD9D486}"/>
    <hyperlink ref="D531" r:id="rId244" tooltip="mailto:cristina.canogomez.ext@telefonica.com" display="mailto:cristina.canogomez.ext@telefonica.com" xr:uid="{AF535D4E-E642-43E6-9BC7-56F366246B13}"/>
    <hyperlink ref="D532" r:id="rId245" tooltip="mailto:cristina.canogomez.ext@telefonica.com" display="mailto:cristina.canogomez.ext@telefonica.com" xr:uid="{EEDB95FA-F0F2-40BC-9F35-6BDBDD23F4E6}"/>
    <hyperlink ref="D533" r:id="rId246" tooltip="mailto:cristina.canogomez.ext@telefonica.com" display="mailto:cristina.canogomez.ext@telefonica.com" xr:uid="{3EA06BE8-B1D7-4D64-9526-5BF06FAC988F}"/>
    <hyperlink ref="D534" r:id="rId247" tooltip="mailto:cristina.canogomez.ext@telefonica.com" display="mailto:cristina.canogomez.ext@telefonica.com" xr:uid="{69B7AD0D-2EAA-4B0D-B52E-570F9568862B}"/>
    <hyperlink ref="D535" r:id="rId248" tooltip="mailto:cristina.canogomez.ext@telefonica.com" display="mailto:cristina.canogomez.ext@telefonica.com" xr:uid="{B63FD71D-3D07-4ABB-ABE1-C9B3E5E1EB0A}"/>
    <hyperlink ref="D536" r:id="rId249" tooltip="mailto:cristina.canogomez.ext@telefonica.com" display="mailto:cristina.canogomez.ext@telefonica.com" xr:uid="{319B73DA-F89B-4E57-A949-233931936655}"/>
    <hyperlink ref="D537" r:id="rId250" tooltip="mailto:cristina.canogomez.ext@telefonica.com" display="mailto:cristina.canogomez.ext@telefonica.com" xr:uid="{4AF4DC3C-7767-4251-9B88-9270A2BDD681}"/>
    <hyperlink ref="D539" r:id="rId251" display="mailto:cristina.canogomez.ext@telefonica.com" xr:uid="{B376A481-3FD3-40CF-9254-123A60090876}"/>
    <hyperlink ref="D540" r:id="rId252" display="mailto:cristina.canogomez.ext@telefonica.com" xr:uid="{CB6CBDCC-9814-42A7-A83D-0FA789967251}"/>
    <hyperlink ref="D541" r:id="rId253" display="mailto:cristina.canogomez.ext@telefonica.com" xr:uid="{8A27EBCF-5400-4CD1-8131-CDEF8A18595C}"/>
    <hyperlink ref="D542" r:id="rId254" display="mailto:cristina.canogomez.ext@telefonica.com" xr:uid="{37C85844-C28F-483C-8ACB-BB2E26350545}"/>
    <hyperlink ref="D543" r:id="rId255" display="mailto:cristina.canogomez.ext@telefonica.com" xr:uid="{41F59118-EDD4-40BC-8CD5-75F7E414BF7B}"/>
    <hyperlink ref="D544" r:id="rId256" display="mailto:cristina.canogomez.ext@telefonica.com" xr:uid="{2D676A13-6304-4A57-B39C-A138941E5E6D}"/>
    <hyperlink ref="D545" r:id="rId257" display="mailto:cristina.canogomez.ext@telefonica.com" xr:uid="{1733906B-C431-4E22-A0B4-D6CDC7E1A749}"/>
    <hyperlink ref="D546" r:id="rId258" display="mailto:cristina.canogomez.ext@telefonica.com" xr:uid="{86C138CE-C9C7-4B6B-9BDC-CF247AC35A39}"/>
    <hyperlink ref="D547" r:id="rId259" display="mailto:cristina.canogomez.ext@telefonica.com" xr:uid="{18B17E6A-C097-4217-B36B-E5BFCA498749}"/>
    <hyperlink ref="D548" r:id="rId260" display="mailto:cristina.canogomez.ext@telefonica.com" xr:uid="{9DAF0464-496C-404B-BDCB-67A0E8FB3046}"/>
    <hyperlink ref="D549" r:id="rId261" display="mailto:cristina.canogomez.ext@telefonica.com" xr:uid="{57015813-FE28-48AB-B528-14EE63A40A67}"/>
    <hyperlink ref="D550" r:id="rId262" display="mailto:cristina.canogomez.ext@telefonica.com" xr:uid="{CA74C670-F606-4D6B-A793-4F0533011AFE}"/>
    <hyperlink ref="D551" r:id="rId263" display="mailto:cristina.canogomez.ext@telefonica.com" xr:uid="{C8870026-9F42-4234-AFD5-3E432362A47F}"/>
    <hyperlink ref="D577" r:id="rId264" display="mailto:cristina.canogomez.ext@telefonica.com" xr:uid="{1053C080-18B1-4059-9369-98971E8D19F4}"/>
    <hyperlink ref="D578" r:id="rId265" display="mailto:cristina.canogomez.ext@telefonica.com" xr:uid="{A572EF07-C936-4BBC-8C72-B8A5EACE0DFA}"/>
    <hyperlink ref="D579" r:id="rId266" display="mailto:cristina.canogomez.ext@telefonica.com" xr:uid="{DB7FECF9-F45B-4620-B8A4-929F2C007971}"/>
    <hyperlink ref="D580" r:id="rId267" display="mailto:cristina.canogomez.ext@telefonica.com" xr:uid="{135D4149-8E2D-413E-8284-644CA451D3B9}"/>
    <hyperlink ref="D581" r:id="rId268" display="mailto:cristina.canogomez.ext@telefonica.com" xr:uid="{F0B9183B-CC0C-4A2D-B9DD-5FE969D61924}"/>
    <hyperlink ref="D582" r:id="rId269" display="mailto:cristina.canogomez.ext@telefonica.com" xr:uid="{BFEE30E0-3D6B-45FE-820A-76AFFBFBBC34}"/>
    <hyperlink ref="D583" r:id="rId270" display="mailto:cristina.canogomez.ext@telefonica.com" xr:uid="{1217EE42-4E59-43CF-9007-9D64C7AA73D9}"/>
    <hyperlink ref="D584" r:id="rId271" display="mailto:cristina.canogomez.ext@telefonica.com" xr:uid="{6B27D48C-D1E0-4147-AAC4-9EF5D9CE860C}"/>
    <hyperlink ref="D585" r:id="rId272" display="mailto:cristina.canogomez.ext@telefonica.com" xr:uid="{DD12B503-2115-4C96-8B99-45B338C21666}"/>
    <hyperlink ref="D586" r:id="rId273" display="mailto:cristina.canogomez.ext@telefonica.com" xr:uid="{F338D7C2-B693-41F6-9F5B-49190F765ED6}"/>
    <hyperlink ref="D587" r:id="rId274" display="mailto:cristina.canogomez.ext@telefonica.com" xr:uid="{E05E55E0-552E-4187-933C-7932A6A1DC62}"/>
    <hyperlink ref="D588" r:id="rId275" display="mailto:cristina.canogomez.ext@telefonica.com" xr:uid="{AC3329E5-D605-40E8-917A-33AA9B01D3A2}"/>
    <hyperlink ref="D589" r:id="rId276" display="mailto:cristina.canogomez.ext@telefonica.com" xr:uid="{7DF444F5-323A-4F29-A3F9-C86DD0FA7328}"/>
    <hyperlink ref="D590" r:id="rId277" display="mailto:cristina.canogomez.ext@telefonica.com" xr:uid="{21395062-AE58-41CD-9C7E-D50870680459}"/>
    <hyperlink ref="D591" r:id="rId278" display="mailto:cristina.canogomez.ext@telefonica.com" xr:uid="{42B5B2EF-F6EA-454B-83F7-B1F7C0E92DBE}"/>
    <hyperlink ref="D592" r:id="rId279" display="mailto:cristina.canogomez.ext@telefonica.com" xr:uid="{F48DA583-3E59-413D-9608-927E46A87902}"/>
    <hyperlink ref="D593" r:id="rId280" display="mailto:cristina.canogomez.ext@telefonica.com" xr:uid="{BDEC8034-7788-48EA-A215-C396BEC4C764}"/>
    <hyperlink ref="D594" r:id="rId281" display="mailto:cristina.canogomez.ext@telefonica.com" xr:uid="{20F1BB99-6325-45C3-BDC5-592F4B2A5C4A}"/>
    <hyperlink ref="D595" r:id="rId282" display="mailto:cristina.canogomez.ext@telefonica.com" xr:uid="{6AA6B19E-CBA3-4437-BCD3-192AFE707595}"/>
    <hyperlink ref="D596" r:id="rId283" display="mailto:cristina.canogomez.ext@telefonica.com" xr:uid="{6C6A790A-A204-4BF8-B21A-A9ED408DCAEC}"/>
    <hyperlink ref="D597" r:id="rId284" display="mailto:cristina.canogomez.ext@telefonica.com" xr:uid="{AE172A50-50E6-48D4-976E-56C2D82EE524}"/>
    <hyperlink ref="D598" r:id="rId285" display="mailto:cristina.canogomez.ext@telefonica.com" xr:uid="{B91C3BED-AE8B-4D64-BFEB-38A98AB4577C}"/>
    <hyperlink ref="D626" r:id="rId286" tooltip="mailto:cristina.canogomez.ext@telefonica.com" display="mailto:cristina.canogomez.ext@telefonica.com" xr:uid="{03CCEBCD-7F21-47F7-9F32-274734D070E2}"/>
    <hyperlink ref="D627" r:id="rId287" tooltip="mailto:cristina.canogomez.ext@telefonica.com" display="mailto:cristina.canogomez.ext@telefonica.com" xr:uid="{DCE915D5-C945-4ED6-AB06-D80CD31A4A24}"/>
    <hyperlink ref="D628" r:id="rId288" tooltip="mailto:cristina.canogomez.ext@telefonica.com" display="mailto:cristina.canogomez.ext@telefonica.com" xr:uid="{F8DC4DDB-83C9-4333-983C-3CD4B8E79BBD}"/>
    <hyperlink ref="D629" r:id="rId289" tooltip="mailto:cristina.canogomez.ext@telefonica.com" display="mailto:cristina.canogomez.ext@telefonica.com" xr:uid="{8B4429CB-DE90-4416-9113-7571206B6AC8}"/>
    <hyperlink ref="D630" r:id="rId290" tooltip="mailto:cristina.canogomez.ext@telefonica.com" display="mailto:cristina.canogomez.ext@telefonica.com" xr:uid="{D511B4ED-6829-4DA0-B90D-316FBD9D5314}"/>
    <hyperlink ref="D631" r:id="rId291" tooltip="mailto:cristina.canogomez.ext@telefonica.com" display="mailto:cristina.canogomez.ext@telefonica.com" xr:uid="{E6C57885-D74A-4327-A867-333591D2C1C0}"/>
    <hyperlink ref="D632" r:id="rId292" tooltip="mailto:cristina.canogomez.ext@telefonica.com" display="mailto:cristina.canogomez.ext@telefonica.com" xr:uid="{38B72301-06AE-4D00-9A57-BF1F1831C205}"/>
    <hyperlink ref="D633" r:id="rId293" tooltip="mailto:cristina.canogomez.ext@telefonica.com" display="mailto:cristina.canogomez.ext@telefonica.com" xr:uid="{38E1E542-2D36-4DF2-8004-7EED7F46E789}"/>
    <hyperlink ref="D634" r:id="rId294" tooltip="mailto:cristina.canogomez.ext@telefonica.com" display="mailto:cristina.canogomez.ext@telefonica.com" xr:uid="{BC405E3B-B5D2-44C1-A549-4BA9D5D3987C}"/>
    <hyperlink ref="D635" r:id="rId295" tooltip="mailto:cristina.canogomez.ext@telefonica.com" display="mailto:cristina.canogomez.ext@telefonica.com" xr:uid="{703078EA-124B-4D60-97B2-6416C7F1042B}"/>
    <hyperlink ref="D636" r:id="rId296" tooltip="mailto:cristina.canogomez.ext@telefonica.com" display="mailto:cristina.canogomez.ext@telefonica.com" xr:uid="{CB68EFAB-871C-494F-9210-9ADD51DE7EF5}"/>
    <hyperlink ref="D637" r:id="rId297" tooltip="mailto:cristina.canogomez.ext@telefonica.com" display="mailto:cristina.canogomez.ext@telefonica.com" xr:uid="{53C0DDA2-7352-47DD-8F5B-11F4338936F6}"/>
    <hyperlink ref="D638" r:id="rId298" tooltip="mailto:cristina.canogomez.ext@telefonica.com" display="mailto:cristina.canogomez.ext@telefonica.com" xr:uid="{6C82F037-553B-4F1E-9205-74DEFAB88226}"/>
    <hyperlink ref="D639" r:id="rId299" tooltip="mailto:cristina.canogomez.ext@telefonica.com" display="mailto:cristina.canogomez.ext@telefonica.com" xr:uid="{284D71F4-69DC-4C57-823C-8507CFA6E8F8}"/>
    <hyperlink ref="D640" r:id="rId300" display="mailto:cristina.canogomez.ext@telefonica.com" xr:uid="{AF5C902F-931E-4C77-B2A3-7DD5A32C3177}"/>
    <hyperlink ref="D641" r:id="rId301" display="mailto:cristina.canogomez.ext@telefonica.com" xr:uid="{B56AF14A-DEC6-4E87-8AD0-F44E65F58CF8}"/>
    <hyperlink ref="D642" r:id="rId302" display="mailto:cristina.canogomez.ext@telefonica.com" xr:uid="{42106346-5AC2-47E0-8372-5D66ED7B752A}"/>
    <hyperlink ref="D643" r:id="rId303" display="mailto:cristina.canogomez.ext@telefonica.com" xr:uid="{32384706-8D68-4FB7-83C6-C61ECA20E3F7}"/>
    <hyperlink ref="D644" r:id="rId304" display="mailto:cristina.canogomez.ext@telefonica.com" xr:uid="{BA167CD6-3DE6-4049-914E-7C75E03EEAEE}"/>
    <hyperlink ref="D645" r:id="rId305" display="mailto:cristina.canogomez.ext@telefonica.com" xr:uid="{A8E55C1F-6A3E-4CBA-85DE-E9B29FEC2DCE}"/>
    <hyperlink ref="D646" r:id="rId306" display="mailto:cristina.canogomez.ext@telefonica.com" xr:uid="{3B416AFF-33AF-423F-B8FF-5D20E242DCC0}"/>
    <hyperlink ref="D647" r:id="rId307" display="mailto:cristina.canogomez.ext@telefonica.com" xr:uid="{F10F9A34-F8A7-4B54-BB0A-534A4290A99F}"/>
    <hyperlink ref="D648" r:id="rId308" display="mailto:cristina.canogomez.ext@telefonica.com" xr:uid="{D36AC599-FE62-47F2-9F34-D27F9E26288F}"/>
    <hyperlink ref="D649" r:id="rId309" display="mailto:cristina.canogomez.ext@telefonica.com" xr:uid="{BA1F17A9-52D6-4948-8A0D-3627799AA6A8}"/>
    <hyperlink ref="D650" r:id="rId310" display="mailto:cristina.canogomez.ext@telefonica.com" xr:uid="{D91783C4-E61F-4AC1-9B3F-A2541F771C64}"/>
    <hyperlink ref="D651" r:id="rId311" display="mailto:cristina.canogomez.ext@telefonica.com" xr:uid="{11D4F011-F89C-44DB-BD77-B294A59267C4}"/>
    <hyperlink ref="D652" r:id="rId312" display="mailto:cristina.canogomez.ext@telefonica.com" xr:uid="{5C6F3AB5-E73C-4B9F-95E3-1DA05DA6A4E1}"/>
    <hyperlink ref="D653" r:id="rId313" display="mailto:cristina.canogomez.ext@telefonica.com" xr:uid="{06E52070-0D0C-47D1-89F8-87F6E8E23FE2}"/>
    <hyperlink ref="D654" r:id="rId314" display="mailto:cristina.canogomez.ext@telefonica.com" xr:uid="{E255026C-4BDE-4988-A3DB-271327637A55}"/>
    <hyperlink ref="D655" r:id="rId315" display="mailto:cristina.canogomez.ext@telefonica.com" xr:uid="{80636BD5-6807-429D-9CEA-BACD2CBCEFA7}"/>
    <hyperlink ref="D656" r:id="rId316" display="mailto:cristina.canogomez.ext@telefonica.com" xr:uid="{DB7886D2-3A48-49DA-BC9D-2FA1C92A98C0}"/>
    <hyperlink ref="D657" r:id="rId317" display="mailto:cristina.canogomez.ext@telefonica.com" xr:uid="{8ED386E3-5681-4C48-861B-425B8E6C8CA7}"/>
    <hyperlink ref="D658" r:id="rId318" display="mailto:cristina.canogomez.ext@telefonica.com" xr:uid="{654D7567-3DE3-4B8E-953E-BDD6A50173E1}"/>
    <hyperlink ref="D659" r:id="rId319" display="mailto:cristina.canogomez.ext@telefonica.com" xr:uid="{92599B62-C47C-4BF1-B5FF-CA0C0B04E297}"/>
    <hyperlink ref="D660" r:id="rId320" display="mailto:cristina.canogomez.ext@telefonica.com" xr:uid="{F168FF45-5526-4DA4-840E-BA170E327C01}"/>
    <hyperlink ref="D661" r:id="rId321" display="mailto:cristina.canogomez.ext@telefonica.com" xr:uid="{F7305C7D-1347-4E95-86AE-67D936966D18}"/>
    <hyperlink ref="D662" r:id="rId322" display="mailto:cristina.canogomez.ext@telefonica.com" xr:uid="{66B7BCF2-34A6-482C-9063-B6E47234D730}"/>
    <hyperlink ref="D710" r:id="rId323" tooltip="mailto:cristina.canogomez.ext@telefonica.com" display="mailto:cristina.canogomez.ext@telefonica.com" xr:uid="{86DA2781-7DED-4C15-85FE-7CEB25ECB0DE}"/>
    <hyperlink ref="D711" r:id="rId324" tooltip="mailto:cristina.canogomez.ext@telefonica.com" display="mailto:cristina.canogomez.ext@telefonica.com" xr:uid="{F3B3015D-5D58-4E12-B305-42B4E3F15AFD}"/>
    <hyperlink ref="D712" r:id="rId325" tooltip="mailto:cristina.canogomez.ext@telefonica.com" display="mailto:cristina.canogomez.ext@telefonica.com" xr:uid="{70241A59-C0D9-4C5B-B7DA-E3F8D041E5BE}"/>
    <hyperlink ref="D713" r:id="rId326" tooltip="mailto:cristina.canogomez.ext@telefonica.com" display="mailto:cristina.canogomez.ext@telefonica.com" xr:uid="{C4C3F9EB-3DBC-411F-A146-4DB966895A98}"/>
    <hyperlink ref="D714" r:id="rId327" tooltip="mailto:cristina.canogomez.ext@telefonica.com" display="mailto:cristina.canogomez.ext@telefonica.com" xr:uid="{9E76AA61-5D36-4DA3-AC2A-02B4D6388FF0}"/>
    <hyperlink ref="D715" r:id="rId328" tooltip="mailto:cristina.canogomez.ext@telefonica.com" display="mailto:cristina.canogomez.ext@telefonica.com" xr:uid="{63E0BE9A-AFC5-47DE-A0BF-61CFCB80B556}"/>
    <hyperlink ref="D716" r:id="rId329" tooltip="mailto:cristina.canogomez.ext@telefonica.com" display="mailto:cristina.canogomez.ext@telefonica.com" xr:uid="{77A42E5C-2CFD-4A8C-BD55-699097FB54E6}"/>
    <hyperlink ref="D717" r:id="rId330" tooltip="mailto:cristina.canogomez.ext@telefonica.com" display="mailto:cristina.canogomez.ext@telefonica.com" xr:uid="{F2C1E573-C423-40EE-AB92-848F7B460EA6}"/>
    <hyperlink ref="D718" r:id="rId331" tooltip="mailto:cristina.canogomez.ext@telefonica.com" display="mailto:cristina.canogomez.ext@telefonica.com" xr:uid="{13EADD55-68DC-4593-80A5-2981A2D8C7CA}"/>
    <hyperlink ref="D719" r:id="rId332" tooltip="mailto:cristina.canogomez.ext@telefonica.com" display="mailto:cristina.canogomez.ext@telefonica.com" xr:uid="{6A75E6A8-200D-40C0-99FA-91800BFBAC9C}"/>
    <hyperlink ref="D720" r:id="rId333" tooltip="mailto:cristina.canogomez.ext@telefonica.com" display="mailto:cristina.canogomez.ext@telefonica.com" xr:uid="{A256A208-3D7B-4D22-992A-974F3D361A9B}"/>
    <hyperlink ref="D721" r:id="rId334" tooltip="mailto:cristina.canogomez.ext@telefonica.com" display="mailto:cristina.canogomez.ext@telefonica.com" xr:uid="{3E911FBF-607B-465A-B17B-C91BE90D8942}"/>
    <hyperlink ref="D722" r:id="rId335" tooltip="mailto:cristina.canogomez.ext@telefonica.com" display="mailto:cristina.canogomez.ext@telefonica.com" xr:uid="{677593AF-18C4-46D7-B541-8C78D884FDE0}"/>
    <hyperlink ref="D723" r:id="rId336" tooltip="mailto:cristina.canogomez.ext@telefonica.com" display="mailto:cristina.canogomez.ext@telefonica.com" xr:uid="{7A23FF74-FA18-4BC3-9348-4FE3008715CF}"/>
    <hyperlink ref="D724" r:id="rId337" tooltip="mailto:cristina.canogomez.ext@telefonica.com" display="mailto:cristina.canogomez.ext@telefonica.com" xr:uid="{3BA23F3D-8842-4588-902B-6F624CDB6ACC}"/>
    <hyperlink ref="D485" r:id="rId338" display="mailto:cristina.canogomez.ext@telefonica.com" xr:uid="{35FDC0BF-A6F4-4DEE-9606-FF58EAB00207}"/>
    <hyperlink ref="D538" r:id="rId339" display="mailto:cristina.canogomez.ext@telefonica.com" xr:uid="{F004D28C-2ED5-4F20-9344-84656D859BEF}"/>
    <hyperlink ref="D725" r:id="rId340" display="mailto:cristina.canogomez.ext@telefonica.com" xr:uid="{E74645A2-8AED-455A-90FA-67EB4CA1BDB7}"/>
    <hyperlink ref="D726" r:id="rId341" display="mailto:cristina.canogomez.ext@telefonica.com" xr:uid="{7FFC62D9-D6ED-4373-B0DD-EC1B893196F6}"/>
    <hyperlink ref="D727" r:id="rId342" display="mailto:cristina.canogomez.ext@telefonica.com" xr:uid="{D3519EE8-7401-4290-8140-A8B43E5F7986}"/>
    <hyperlink ref="D728" r:id="rId343" display="mailto:cristina.canogomez.ext@telefonica.com" xr:uid="{B14DE972-BFC6-47F8-B599-B775BF1E34FF}"/>
    <hyperlink ref="D729" r:id="rId344" display="mailto:cristina.canogomez.ext@telefonica.com" xr:uid="{20EEDF19-B6D7-4AED-BC48-96BFBDED8880}"/>
    <hyperlink ref="D730" r:id="rId345" display="mailto:cristina.canogomez.ext@telefonica.com" xr:uid="{927DF124-9B58-41D9-B34B-FE1817DFA077}"/>
    <hyperlink ref="D731" r:id="rId346" display="mailto:cristina.canogomez.ext@telefonica.com" xr:uid="{C1B8CC5F-E341-4478-8733-5A163F7C96ED}"/>
    <hyperlink ref="D732" r:id="rId347" display="mailto:cristina.canogomez.ext@telefonica.com" xr:uid="{94F378BD-8E86-4B21-99E6-D9A11DA105A4}"/>
    <hyperlink ref="D733" r:id="rId348" display="mailto:cristina.canogomez.ext@telefonica.com" xr:uid="{5039738B-CF87-4EB4-823D-769F3BC69CF0}"/>
    <hyperlink ref="D734" r:id="rId349" display="mailto:cristina.canogomez.ext@telefonica.com" xr:uid="{D5E45928-975F-4216-AC6E-78FB6FE2B8FC}"/>
    <hyperlink ref="D735" r:id="rId350" display="mailto:cristina.canogomez.ext@telefonica.com" xr:uid="{0AEE1358-BEC1-4BA4-9235-1AE669CD786E}"/>
    <hyperlink ref="D736" r:id="rId351" display="mailto:cristina.canogomez.ext@telefonica.com" xr:uid="{3A4A017A-8907-4483-B2C2-9076E713CD33}"/>
    <hyperlink ref="D737" r:id="rId352" display="mailto:cristina.canogomez.ext@telefonica.com" xr:uid="{8E65EA2C-6823-4CA6-AD64-6B61007A66F9}"/>
    <hyperlink ref="D738" r:id="rId353" display="mailto:cristina.canogomez.ext@telefonica.com" xr:uid="{6650B125-19B3-477B-B42A-1F52E704632E}"/>
    <hyperlink ref="D739" r:id="rId354" display="mailto:cristina.canogomez.ext@telefonica.com" xr:uid="{A9C5D743-D740-45FB-A1FB-6CDA5756E376}"/>
    <hyperlink ref="D740" r:id="rId355" display="mailto:cristina.canogomez.ext@telefonica.com" xr:uid="{3B48A03C-88EB-4F0F-8D52-E5CC641555F0}"/>
    <hyperlink ref="D741" r:id="rId356" display="mailto:cristina.canogomez.ext@telefonica.com" xr:uid="{F3AEC6DE-306C-4D06-B88E-A36EDA90DD5A}"/>
    <hyperlink ref="D742" r:id="rId357" display="mailto:cristina.canogomez.ext@telefonica.com" xr:uid="{E7DB216B-2B0E-4AE7-AADC-F4D2B2B8E2FF}"/>
    <hyperlink ref="D743" r:id="rId358" display="mailto:cristina.canogomez.ext@telefonica.com" xr:uid="{4DACED0B-8F49-4F6D-A98C-EAC7C626F209}"/>
    <hyperlink ref="D744" r:id="rId359" display="mailto:cristina.canogomez.ext@telefonica.com" xr:uid="{77F2F1E0-C410-4CE3-918B-8F0DBC8725B8}"/>
    <hyperlink ref="D745" r:id="rId360" display="mailto:cristina.canogomez.ext@telefonica.com" xr:uid="{EA284293-C9D2-4F03-BF06-AE4B4BCCF588}"/>
    <hyperlink ref="D746" r:id="rId361" display="mailto:cristina.canogomez.ext@telefonica.com" xr:uid="{998C2800-E919-4F8E-988D-F979AC5676C7}"/>
    <hyperlink ref="D747" r:id="rId362" display="mailto:cristina.canogomez.ext@telefonica.com" xr:uid="{0ECD9EA6-428C-473E-82C9-3152829081F6}"/>
    <hyperlink ref="D748" r:id="rId363" display="mailto:cristina.canogomez.ext@telefonica.com" xr:uid="{381EBA99-E1F9-42F5-B846-99BA78A05FDE}"/>
    <hyperlink ref="D749" r:id="rId364" display="mailto:cristina.canogomez.ext@telefonica.com" xr:uid="{D9EB6251-DEFB-4E80-9560-CDFEDFDD76E4}"/>
    <hyperlink ref="D750" r:id="rId365" display="mailto:cristina.canogomez.ext@telefonica.com" xr:uid="{E8664CED-41D9-4B0B-9ADF-B29242BD84EF}"/>
    <hyperlink ref="D751" r:id="rId366" display="mailto:cristina.canogomez.ext@telefonica.com" xr:uid="{C5EE63C3-C640-4C6C-A0CC-C3F569DEF127}"/>
    <hyperlink ref="D752" r:id="rId367" display="mailto:cristina.canogomez.ext@telefonica.com" xr:uid="{7AAEAFEF-F8CB-455D-9696-ADFF581B7493}"/>
    <hyperlink ref="D753" r:id="rId368" display="mailto:cristina.canogomez.ext@telefonica.com" xr:uid="{EF92F4A6-84E3-4B1A-BEAA-7B609C5E2B27}"/>
    <hyperlink ref="D754" r:id="rId369" display="mailto:cristina.canogomez.ext@telefonica.com" xr:uid="{D30CEF56-033E-465A-A65D-F70D3EFA467B}"/>
    <hyperlink ref="D755" r:id="rId370" display="mailto:cristina.canogomez.ext@telefonica.com" xr:uid="{114F95EE-58FB-4A51-94F9-56E20657BF9D}"/>
    <hyperlink ref="D756" r:id="rId371" display="mailto:cristina.canogomez.ext@telefonica.com" xr:uid="{65B6507F-3BA1-49E5-BF02-A26D48D254AE}"/>
    <hyperlink ref="D757" r:id="rId372" display="mailto:cristina.canogomez.ext@telefonica.com" xr:uid="{338F2C87-AFD1-43E9-AF94-AA8F039515FD}"/>
    <hyperlink ref="D758" r:id="rId373" display="mailto:cristina.canogomez.ext@telefonica.com" xr:uid="{7DD70937-6C85-4A8E-A0DE-62334BB34054}"/>
    <hyperlink ref="D759" r:id="rId374" display="mailto:cristina.canogomez.ext@telefonica.com" xr:uid="{8B009967-7DC2-40A5-BFA3-8EF6C9AB0063}"/>
    <hyperlink ref="D760" r:id="rId375" display="mailto:cristina.canogomez.ext@telefonica.com" xr:uid="{20D96C59-3929-4950-8BCD-66D17BBBF35F}"/>
    <hyperlink ref="D761" r:id="rId376" display="mailto:cristina.canogomez.ext@telefonica.com" xr:uid="{5D040A0F-FD94-4C5C-B160-7C1676688066}"/>
    <hyperlink ref="D762" r:id="rId377" display="mailto:cristina.canogomez.ext@telefonica.com" xr:uid="{EE6E1ABC-7B7A-477D-A6C1-BF79A62277E0}"/>
    <hyperlink ref="D763" r:id="rId378" display="mailto:cristina.canogomez.ext@telefonica.com" xr:uid="{DD1BFDEE-A4F5-4AF9-AD82-6995E52B700A}"/>
    <hyperlink ref="D764" r:id="rId379" display="mailto:cristina.canogomez.ext@telefonica.com" xr:uid="{91969D9F-61B5-4E93-9B70-ECEB85699279}"/>
    <hyperlink ref="D797" r:id="rId380" display="mailto:cristina.canogomez.ext@telefonica.com" xr:uid="{21874976-9D89-45A8-980A-211B335D0D30}"/>
    <hyperlink ref="D798" r:id="rId381" display="mailto:cristina.canogomez.ext@telefonica.com" xr:uid="{2FC39FB0-8859-4B09-8EDA-892421764711}"/>
    <hyperlink ref="D799" r:id="rId382" display="mailto:cristina.canogomez.ext@telefonica.com" xr:uid="{6F8DBC90-2859-4A0F-8269-D23256BC1F29}"/>
    <hyperlink ref="D800" r:id="rId383" display="mailto:cristina.canogomez.ext@telefonica.com" xr:uid="{9EB500EA-493C-4FD1-AD89-08F090AC2D0F}"/>
    <hyperlink ref="D801" r:id="rId384" display="mailto:cristina.canogomez.ext@telefonica.com" xr:uid="{C69143A4-5A23-411C-BFDF-141E3C92C55F}"/>
    <hyperlink ref="D802" r:id="rId385" display="mailto:cristina.canogomez.ext@telefonica.com" xr:uid="{A06C5331-B35E-46C0-90EB-D6721E56B533}"/>
    <hyperlink ref="D803" r:id="rId386" display="mailto:cristina.canogomez.ext@telefonica.com" xr:uid="{3E0473E2-09C0-444C-9961-B913ACFD9F5D}"/>
    <hyperlink ref="D804" r:id="rId387" display="mailto:cristina.canogomez.ext@telefonica.com" xr:uid="{96028D60-037B-461E-B9B6-05B73A0A587E}"/>
    <hyperlink ref="D805" r:id="rId388" display="mailto:cristina.canogomez.ext@telefonica.com" xr:uid="{9C00DFFC-FC04-44F2-A9EA-2F903A76FF08}"/>
    <hyperlink ref="D806" r:id="rId389" display="mailto:cristina.canogomez.ext@telefonica.com" xr:uid="{5A6A3930-C11B-4E91-A724-2CCB0FC26CBC}"/>
    <hyperlink ref="D807" r:id="rId390" display="mailto:cristina.canogomez.ext@telefonica.com" xr:uid="{DDB065EC-0644-4256-9BAB-E67B391BEB5B}"/>
    <hyperlink ref="D808" r:id="rId391" display="mailto:cristina.canogomez.ext@telefonica.com" xr:uid="{94BB3806-D93E-4B57-9AAB-84770740743F}"/>
    <hyperlink ref="D809" r:id="rId392" display="mailto:cristina.canogomez.ext@telefonica.com" xr:uid="{2D1260C7-0CE4-4C99-9A26-EF142ED5806A}"/>
    <hyperlink ref="D810" r:id="rId393" display="mailto:cristina.canogomez.ext@telefonica.com" xr:uid="{89B95265-EC67-4B64-BD54-CC1642C7176D}"/>
    <hyperlink ref="D811" r:id="rId394" display="mailto:cristina.canogomez.ext@telefonica.com" xr:uid="{7D56AC93-B538-4F88-9460-4EFB9B70E8D4}"/>
    <hyperlink ref="D812" r:id="rId395" display="mailto:cristina.canogomez.ext@telefonica.com" xr:uid="{6732796A-13E8-475C-9A37-CCC1B1FD4D22}"/>
    <hyperlink ref="D813" r:id="rId396" display="mailto:cristina.canogomez.ext@telefonica.com" xr:uid="{E5401B3A-3C19-4985-9D30-029AF9226776}"/>
    <hyperlink ref="D814" r:id="rId397" display="mailto:cristina.canogomez.ext@telefonica.com" xr:uid="{CE4A3DF1-E310-4FD9-848C-D6672835CA4E}"/>
    <hyperlink ref="D815" r:id="rId398" display="mailto:cristina.canogomez.ext@telefonica.com" xr:uid="{7B65EB2E-29ED-4EA1-B0B3-457BF78086E4}"/>
    <hyperlink ref="D816" r:id="rId399" display="mailto:cristina.canogomez.ext@telefonica.com" xr:uid="{8D75EBAF-EEC5-487A-BE12-03AA82D3EFB7}"/>
    <hyperlink ref="D817" r:id="rId400" display="mailto:cristina.canogomez.ext@telefonica.com" xr:uid="{C00302CD-2D84-45D8-981A-2DD4630C38B9}"/>
    <hyperlink ref="D818" r:id="rId401" display="mailto:cristina.canogomez.ext@telefonica.com" xr:uid="{A5D84064-FA05-43DD-9FEE-F8FDA17612EA}"/>
    <hyperlink ref="D819" r:id="rId402" display="mailto:cristina.canogomez.ext@telefonica.com" xr:uid="{02D4C303-EB8B-437D-A663-AFD908206CC8}"/>
    <hyperlink ref="D820" r:id="rId403" display="mailto:cristina.canogomez.ext@telefonica.com" xr:uid="{ADA1CC5B-3D04-46B0-805D-E062C1465054}"/>
    <hyperlink ref="D821" r:id="rId404" display="mailto:cristina.canogomez.ext@telefonica.com" xr:uid="{3C204961-8B06-4527-8556-8C5272C27463}"/>
    <hyperlink ref="D822" r:id="rId405" display="mailto:cristina.canogomez.ext@telefonica.com" xr:uid="{33182A54-9A6F-45D8-9536-EFE6622C2BE8}"/>
    <hyperlink ref="D823" r:id="rId406" display="mailto:cristina.canogomez.ext@telefonica.com" xr:uid="{E1236794-B814-499C-956D-BF662F0B9E92}"/>
    <hyperlink ref="D824" r:id="rId407" display="mailto:cristina.canogomez.ext@telefonica.com" xr:uid="{D37F643D-0E69-4FDF-88D4-DBD4BF062FDA}"/>
    <hyperlink ref="D825" r:id="rId408" display="mailto:cristina.canogomez.ext@telefonica.com" xr:uid="{9ECBF134-5314-4DFD-B4EE-9C928A8B9FA1}"/>
    <hyperlink ref="D826" r:id="rId409" tooltip="mailto:cristina.canogomez.ext@telefonica.com" display="mailto:cristina.canogomez.ext@telefonica.com" xr:uid="{18A32F2C-BC19-4995-94A7-26FC2CC0B90C}"/>
    <hyperlink ref="D827" r:id="rId410" tooltip="mailto:cristina.canogomez.ext@telefonica.com" display="mailto:cristina.canogomez.ext@telefonica.com" xr:uid="{4813A9F6-FE3F-4F1F-BC5E-C5F7CAC3204F}"/>
    <hyperlink ref="D828" r:id="rId411" tooltip="mailto:cristina.canogomez.ext@telefonica.com" display="mailto:cristina.canogomez.ext@telefonica.com" xr:uid="{AE8CDFE4-B336-40BF-A37B-44CC8D6F2DFD}"/>
    <hyperlink ref="D829" r:id="rId412" tooltip="mailto:cristina.canogomez.ext@telefonica.com" display="mailto:cristina.canogomez.ext@telefonica.com" xr:uid="{D0B25CFE-1420-4C09-89E6-608158498177}"/>
    <hyperlink ref="D830" r:id="rId413" tooltip="mailto:cristina.canogomez.ext@telefonica.com" display="mailto:cristina.canogomez.ext@telefonica.com" xr:uid="{8E30E8D4-BEB2-4A5C-A331-771C177DDD0E}"/>
    <hyperlink ref="D831" r:id="rId414" tooltip="mailto:cristina.canogomez.ext@telefonica.com" display="mailto:cristina.canogomez.ext@telefonica.com" xr:uid="{518A849C-3BA8-4575-8F03-A0BBFB434E53}"/>
    <hyperlink ref="D832" r:id="rId415" tooltip="mailto:cristina.canogomez.ext@telefonica.com" display="mailto:cristina.canogomez.ext@telefonica.com" xr:uid="{F099D175-0CAA-4266-91E6-A74FA97F8640}"/>
    <hyperlink ref="D833" r:id="rId416" tooltip="mailto:cristina.canogomez.ext@telefonica.com" display="mailto:cristina.canogomez.ext@telefonica.com" xr:uid="{084626F4-E391-4FA2-9D98-1EE7DA443EAA}"/>
    <hyperlink ref="D851" r:id="rId417" display="mailto:cristina.canogomez.ext@telefonica.com" xr:uid="{3F75E360-9BBF-4554-9451-533967B484F1}"/>
    <hyperlink ref="D852" r:id="rId418" display="mailto:cristina.canogomez.ext@telefonica.com" xr:uid="{DCBD3664-2670-4A8A-B7B1-74EA5457F628}"/>
    <hyperlink ref="D853" r:id="rId419" display="mailto:cristina.canogomez.ext@telefonica.com" xr:uid="{04F22BAE-8772-48B4-9435-97379B850034}"/>
    <hyperlink ref="D854" r:id="rId420" display="mailto:cristina.canogomez.ext@telefonica.com" xr:uid="{08649C48-4F7F-4744-A434-35936BE18C38}"/>
    <hyperlink ref="D855" r:id="rId421" display="mailto:cristina.canogomez.ext@telefonica.com" xr:uid="{ED4415E2-6DFF-46CE-B6E6-9A55CA0AA753}"/>
    <hyperlink ref="D856" r:id="rId422" display="mailto:cristina.canogomez.ext@telefonica.com" xr:uid="{251B743E-C78A-4E7D-8FF5-C5769016F559}"/>
    <hyperlink ref="D857" r:id="rId423" display="mailto:cristina.canogomez.ext@telefonica.com" xr:uid="{C3969FA9-C27C-4768-9039-518FE3C04892}"/>
    <hyperlink ref="D858" r:id="rId424" display="mailto:cristina.canogomez.ext@telefonica.com" xr:uid="{E3F5FB8D-5EE0-4CC3-85D3-C5B9249FF043}"/>
    <hyperlink ref="D859" r:id="rId425" display="mailto:cristina.canogomez.ext@telefonica.com" xr:uid="{D811DCEE-7841-4C75-ABE9-FDF4B64EBCCE}"/>
    <hyperlink ref="D860" r:id="rId426" display="mailto:cristina.canogomez.ext@telefonica.com" xr:uid="{BBDA536B-0639-4111-B8D6-F5C8904544EB}"/>
    <hyperlink ref="D861" r:id="rId427" display="mailto:cristina.canogomez.ext@telefonica.com" xr:uid="{A97AAEC5-20D4-4223-8706-6298D93D3DC3}"/>
    <hyperlink ref="D862" r:id="rId428" display="mailto:cristina.canogomez.ext@telefonica.com" xr:uid="{10B55B8E-955D-4CEA-917B-4407B60FEAAB}"/>
    <hyperlink ref="D863" r:id="rId429" display="mailto:cristina.canogomez.ext@telefonica.com" xr:uid="{67A6ED7E-28F5-42A3-B3D3-93130533C0F6}"/>
    <hyperlink ref="D864" r:id="rId430" display="mailto:cristina.canogomez.ext@telefonica.com" xr:uid="{FE1CBF8A-BD46-42F6-923A-3FA7672EC184}"/>
    <hyperlink ref="D865" r:id="rId431" display="mailto:cristina.canogomez.ext@telefonica.com" xr:uid="{4B1CEAE1-5C6F-4037-ACD4-8BD4D175B895}"/>
    <hyperlink ref="D866" r:id="rId432" display="mailto:cristina.canogomez.ext@telefonica.com" xr:uid="{C2F50B9B-3590-47C8-97EB-3952AF8C7C00}"/>
    <hyperlink ref="D867" r:id="rId433" display="mailto:cristina.canogomez.ext@telefonica.com" xr:uid="{BEFC5E6A-8704-40DF-9550-E7F6CD8CD0D8}"/>
    <hyperlink ref="D868" r:id="rId434" display="mailto:cristina.canogomez.ext@telefonica.com" xr:uid="{65B18289-2076-4DA0-809B-ECFF5A982BBA}"/>
    <hyperlink ref="D869" r:id="rId435" display="mailto:cristina.canogomez.ext@telefonica.com" xr:uid="{1E7EE920-BD50-4844-A5F4-CB50C400D923}"/>
    <hyperlink ref="D870" r:id="rId436" display="mailto:cristina.canogomez.ext@telefonica.com" xr:uid="{243218B2-F444-4EF2-8968-8DFB0C298D62}"/>
    <hyperlink ref="D871" r:id="rId437" display="mailto:cristina.canogomez.ext@telefonica.com" xr:uid="{1728F3A0-CF98-4369-9EB1-2E25FD883D2D}"/>
    <hyperlink ref="D872" r:id="rId438" display="mailto:cristina.canogomez.ext@telefonica.com" xr:uid="{A4547592-78C0-4A08-8325-6D63EDA0865C}"/>
    <hyperlink ref="D873" r:id="rId439" display="mailto:cristina.canogomez.ext@telefonica.com" xr:uid="{FCCC15FD-3439-43E9-9AA9-B8E3CE3C0731}"/>
    <hyperlink ref="D874" r:id="rId440" display="mailto:cristina.canogomez.ext@telefonica.com" xr:uid="{BF15C2A7-B6DA-4CF1-94C0-2EF956D04CA6}"/>
    <hyperlink ref="D875" r:id="rId441" display="mailto:cristina.canogomez.ext@telefonica.com" xr:uid="{7405E0FB-7545-4C0E-81A3-D3EB0D90DFA6}"/>
    <hyperlink ref="D876" r:id="rId442" display="mailto:cristina.canogomez.ext@telefonica.com" xr:uid="{A1BCC609-B373-4417-B381-201FDDEA139B}"/>
    <hyperlink ref="D877" r:id="rId443" display="mailto:cristina.canogomez.ext@telefonica.com" xr:uid="{4C15C84F-686D-41B4-97DE-9040AF757C81}"/>
    <hyperlink ref="D878" r:id="rId444" display="mailto:cristina.canogomez.ext@telefonica.com" xr:uid="{D8FD0FDF-564F-4A87-B600-A275E2BBAA0F}"/>
    <hyperlink ref="D879" r:id="rId445" display="mailto:cristina.canogomez.ext@telefonica.com" xr:uid="{A6885B4B-28A7-4975-B58F-395F73791B34}"/>
    <hyperlink ref="D880" r:id="rId446" display="mailto:cristina.canogomez.ext@telefonica.com" xr:uid="{2907B697-C091-4A25-9CCB-1015A671E2D3}"/>
    <hyperlink ref="D881" r:id="rId447" display="mailto:cristina.canogomez.ext@telefonica.com" xr:uid="{42DF0AAA-DA31-45E0-A407-9223BA878918}"/>
    <hyperlink ref="D902" r:id="rId448" display="mailto:cristina.canogomez.ext@telefonica.com" xr:uid="{FC56C0C1-7023-4D88-80D2-589DB6C99D0C}"/>
    <hyperlink ref="D931" r:id="rId449" display="mailto:cristina.canogomez.ext@telefonica.com" xr:uid="{71D191FF-6832-4CCE-A64F-9B92301E7E7B}"/>
    <hyperlink ref="D932" r:id="rId450" display="mailto:cristina.canogomez.ext@telefonica.com" xr:uid="{5A808424-4EA2-4341-BD72-817CC7DA5FC9}"/>
    <hyperlink ref="D933" r:id="rId451" display="mailto:cristina.canogomez.ext@telefonica.com" xr:uid="{311F4154-3D66-4582-9578-6AF59AC7855D}"/>
    <hyperlink ref="D934" r:id="rId452" display="mailto:cristina.canogomez.ext@telefonica.com" xr:uid="{03E574DD-6ED2-4CDE-9284-42EC8A0DF783}"/>
    <hyperlink ref="D935" r:id="rId453" display="mailto:cristina.canogomez.ext@telefonica.com" xr:uid="{92DE9BF8-CB2B-4A40-BC09-6BF7C3725BBE}"/>
    <hyperlink ref="D936" r:id="rId454" display="mailto:cristina.canogomez.ext@telefonica.com" xr:uid="{8722F895-D8F8-4D20-BDBD-60F19712D0A0}"/>
    <hyperlink ref="D937" r:id="rId455" display="mailto:cristina.canogomez.ext@telefonica.com" xr:uid="{3FDA5704-6702-4773-89E7-077C8DE1AB20}"/>
    <hyperlink ref="D938" r:id="rId456" display="mailto:cristina.canogomez.ext@telefonica.com" xr:uid="{5BC1335B-6DE6-4C85-8240-4D64AA34F1C3}"/>
    <hyperlink ref="D939" r:id="rId457" display="mailto:cristina.canogomez.ext@telefonica.com" xr:uid="{9C5CD763-1C26-4B41-A8ED-4C950EC0D8FA}"/>
    <hyperlink ref="D940" r:id="rId458" display="mailto:cristina.canogomez.ext@telefonica.com" xr:uid="{34F893C0-3FEE-4736-824F-0CD22F86574D}"/>
    <hyperlink ref="D941" r:id="rId459" display="mailto:cristina.canogomez.ext@telefonica.com" xr:uid="{13306D90-5185-421D-A7CE-0ECE1BD49C35}"/>
    <hyperlink ref="D942" r:id="rId460" display="mailto:cristina.canogomez.ext@telefonica.com" xr:uid="{4C2D1A81-1C3C-4484-A5AB-59AF92429268}"/>
    <hyperlink ref="D943" r:id="rId461" display="mailto:cristina.canogomez.ext@telefonica.com" xr:uid="{090BAC11-4220-4747-BF64-71B647F5AA66}"/>
    <hyperlink ref="D944" r:id="rId462" display="mailto:cristina.canogomez.ext@telefonica.com" xr:uid="{6DCA6510-AEED-4474-A669-A60E7B388E49}"/>
    <hyperlink ref="D945" r:id="rId463" display="mailto:cristina.canogomez.ext@telefonica.com" xr:uid="{DAC98B6B-36D9-47AD-9448-A2F4AA1ABA0F}"/>
    <hyperlink ref="D946" r:id="rId464" display="mailto:cristina.canogomez.ext@telefonica.com" xr:uid="{CE0EBE5C-20D1-4E53-A7AB-FBEA2DF39B44}"/>
    <hyperlink ref="D947" r:id="rId465" display="mailto:cristina.canogomez.ext@telefonica.com" xr:uid="{EED464A5-1FBB-43DE-8F14-C104CE1CF972}"/>
    <hyperlink ref="D948" r:id="rId466" display="mailto:cristina.canogomez.ext@telefonica.com" xr:uid="{C099F9EE-F0EC-4CD1-A3DF-4C107C31E51D}"/>
    <hyperlink ref="D949" r:id="rId467" display="mailto:cristina.canogomez.ext@telefonica.com" xr:uid="{EB8DEB56-8BB9-4B1F-9694-D4B7FD918CBD}"/>
    <hyperlink ref="D950" r:id="rId468" display="mailto:cristina.canogomez.ext@telefonica.com" xr:uid="{DB015874-F6E5-4040-9156-0918409978B4}"/>
  </hyperlinks>
  <pageMargins left="0.7" right="0.7" top="0.75" bottom="0.75" header="0.3" footer="0.3"/>
  <pageSetup paperSize="9" orientation="portrait" horizontalDpi="300" verticalDpi="300" r:id="rId46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A0C2-D0A2-4323-88EF-C4BC930F0AEC}">
  <sheetPr>
    <tabColor rgb="FFFFC000"/>
  </sheetPr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DC0B-0C90-42D8-9B42-5AB94751FB22}">
  <sheetPr>
    <tabColor rgb="FFFFC000"/>
  </sheetPr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4AEC7-CE56-4E56-977E-C732F9C7C546}">
  <sheetPr>
    <tabColor rgb="FFFFC000"/>
  </sheetPr>
  <dimension ref="A1:W4"/>
  <sheetViews>
    <sheetView workbookViewId="0">
      <selection activeCell="B28" sqref="B28"/>
    </sheetView>
  </sheetViews>
  <sheetFormatPr baseColWidth="10" defaultColWidth="11.453125" defaultRowHeight="14.5"/>
  <cols>
    <col min="1" max="1" width="12.1796875" bestFit="1" customWidth="1"/>
    <col min="2" max="2" width="19.453125" bestFit="1" customWidth="1"/>
    <col min="3" max="3" width="11.54296875" bestFit="1" customWidth="1"/>
    <col min="4" max="4" width="37.81640625" bestFit="1" customWidth="1"/>
    <col min="5" max="5" width="58" bestFit="1" customWidth="1"/>
    <col min="6" max="6" width="18.7265625" bestFit="1" customWidth="1"/>
    <col min="7" max="8" width="11.54296875" bestFit="1" customWidth="1"/>
    <col min="9" max="9" width="14.26953125" bestFit="1" customWidth="1"/>
    <col min="10" max="11" width="11.54296875" bestFit="1" customWidth="1"/>
    <col min="12" max="12" width="27.54296875" bestFit="1" customWidth="1"/>
    <col min="13" max="13" width="50.7265625" bestFit="1" customWidth="1"/>
    <col min="14" max="14" width="12.453125" bestFit="1" customWidth="1"/>
    <col min="15" max="15" width="12.81640625" bestFit="1" customWidth="1"/>
    <col min="16" max="16" width="30.453125" bestFit="1" customWidth="1"/>
    <col min="17" max="17" width="20.7265625" bestFit="1" customWidth="1"/>
    <col min="18" max="18" width="53.1796875" bestFit="1" customWidth="1"/>
    <col min="19" max="19" width="17.81640625" bestFit="1" customWidth="1"/>
    <col min="20" max="20" width="20.81640625" bestFit="1" customWidth="1"/>
    <col min="21" max="21" width="22.26953125" bestFit="1" customWidth="1"/>
    <col min="22" max="22" width="33.26953125" bestFit="1" customWidth="1"/>
    <col min="23" max="23" width="16.7265625" bestFit="1" customWidth="1"/>
  </cols>
  <sheetData>
    <row r="1" spans="1:23">
      <c r="A1" s="109" t="s">
        <v>2440</v>
      </c>
    </row>
    <row r="3" spans="1:2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786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>
      <c r="A4" t="s">
        <v>25</v>
      </c>
      <c r="B4" t="s">
        <v>26</v>
      </c>
      <c r="C4" t="s">
        <v>2441</v>
      </c>
      <c r="D4" t="s">
        <v>28</v>
      </c>
      <c r="E4" t="s">
        <v>195</v>
      </c>
      <c r="F4" s="108">
        <v>45862</v>
      </c>
      <c r="G4">
        <v>5494</v>
      </c>
      <c r="H4" t="s">
        <v>678</v>
      </c>
      <c r="I4" t="s">
        <v>679</v>
      </c>
      <c r="J4" t="s">
        <v>160</v>
      </c>
      <c r="K4" t="s">
        <v>33</v>
      </c>
      <c r="L4" t="s">
        <v>680</v>
      </c>
      <c r="M4" t="s">
        <v>837</v>
      </c>
      <c r="N4" t="s">
        <v>784</v>
      </c>
      <c r="O4">
        <v>1</v>
      </c>
      <c r="P4" t="s">
        <v>838</v>
      </c>
      <c r="Q4" t="s">
        <v>784</v>
      </c>
      <c r="R4">
        <v>0</v>
      </c>
      <c r="S4">
        <v>0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2DEA-DE32-4EEA-82AB-B40D7900C4A5}">
  <sheetPr>
    <tabColor rgb="FFFFC000"/>
  </sheetPr>
  <dimension ref="A1:W198"/>
  <sheetViews>
    <sheetView topLeftCell="A195" workbookViewId="0">
      <selection activeCell="D23" sqref="D23"/>
    </sheetView>
  </sheetViews>
  <sheetFormatPr baseColWidth="10" defaultColWidth="11.453125" defaultRowHeight="14.5"/>
  <cols>
    <col min="1" max="1" width="12.1796875" bestFit="1" customWidth="1"/>
    <col min="2" max="2" width="22.1796875" bestFit="1" customWidth="1"/>
    <col min="3" max="3" width="11.54296875" bestFit="1" customWidth="1"/>
    <col min="4" max="4" width="44.26953125" bestFit="1" customWidth="1"/>
    <col min="5" max="5" width="68.1796875" bestFit="1" customWidth="1"/>
    <col min="6" max="6" width="18.7265625" bestFit="1" customWidth="1"/>
    <col min="7" max="7" width="11.54296875" bestFit="1" customWidth="1"/>
    <col min="8" max="8" width="13" bestFit="1" customWidth="1"/>
    <col min="9" max="9" width="14.26953125" bestFit="1" customWidth="1"/>
    <col min="10" max="10" width="20.7265625" bestFit="1" customWidth="1"/>
    <col min="11" max="11" width="11.54296875" bestFit="1" customWidth="1"/>
    <col min="12" max="12" width="54.26953125" bestFit="1" customWidth="1"/>
    <col min="13" max="13" width="81" bestFit="1" customWidth="1"/>
    <col min="14" max="14" width="14.1796875" bestFit="1" customWidth="1"/>
    <col min="15" max="15" width="12.81640625" bestFit="1" customWidth="1"/>
    <col min="16" max="16" width="158.81640625" bestFit="1" customWidth="1"/>
    <col min="17" max="17" width="81" bestFit="1" customWidth="1"/>
    <col min="18" max="18" width="53.1796875" bestFit="1" customWidth="1"/>
    <col min="19" max="19" width="17.81640625" bestFit="1" customWidth="1"/>
    <col min="20" max="20" width="20.81640625" bestFit="1" customWidth="1"/>
    <col min="21" max="21" width="22.26953125" bestFit="1" customWidth="1"/>
    <col min="22" max="22" width="33.26953125" bestFit="1" customWidth="1"/>
    <col min="23" max="23" width="125" bestFit="1" customWidth="1"/>
  </cols>
  <sheetData>
    <row r="1" spans="1:23">
      <c r="A1" s="109" t="s">
        <v>2442</v>
      </c>
    </row>
    <row r="3" spans="1:2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786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>
      <c r="A4" t="s">
        <v>154</v>
      </c>
      <c r="B4" t="s">
        <v>155</v>
      </c>
      <c r="C4">
        <v>616866669</v>
      </c>
      <c r="D4" t="s">
        <v>156</v>
      </c>
      <c r="E4" t="s">
        <v>599</v>
      </c>
      <c r="F4" s="108">
        <v>45917</v>
      </c>
      <c r="G4">
        <v>6200</v>
      </c>
      <c r="H4" t="s">
        <v>1034</v>
      </c>
      <c r="I4" t="s">
        <v>1035</v>
      </c>
      <c r="J4" t="s">
        <v>379</v>
      </c>
      <c r="K4" t="s">
        <v>48</v>
      </c>
      <c r="L4" t="s">
        <v>351</v>
      </c>
      <c r="M4" t="s">
        <v>352</v>
      </c>
      <c r="N4" t="s">
        <v>36</v>
      </c>
      <c r="O4">
        <v>1</v>
      </c>
      <c r="P4" t="s">
        <v>872</v>
      </c>
      <c r="Q4" t="s">
        <v>352</v>
      </c>
      <c r="R4">
        <v>75</v>
      </c>
      <c r="S4">
        <v>160</v>
      </c>
      <c r="T4">
        <v>235</v>
      </c>
      <c r="U4" s="108">
        <v>45939</v>
      </c>
    </row>
    <row r="5" spans="1:23">
      <c r="A5" t="s">
        <v>25</v>
      </c>
      <c r="B5" t="s">
        <v>26</v>
      </c>
      <c r="C5" t="s">
        <v>2441</v>
      </c>
      <c r="D5" t="s">
        <v>28</v>
      </c>
      <c r="E5" t="s">
        <v>29</v>
      </c>
      <c r="F5" s="108">
        <v>45674</v>
      </c>
      <c r="G5">
        <v>4982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>
        <v>1</v>
      </c>
      <c r="P5" t="s">
        <v>37</v>
      </c>
      <c r="Q5" t="s">
        <v>38</v>
      </c>
      <c r="R5">
        <v>75</v>
      </c>
      <c r="S5">
        <v>335</v>
      </c>
      <c r="T5">
        <v>410</v>
      </c>
      <c r="U5" s="108">
        <v>45720</v>
      </c>
      <c r="W5" t="s">
        <v>39</v>
      </c>
    </row>
    <row r="6" spans="1:23">
      <c r="A6" t="s">
        <v>25</v>
      </c>
      <c r="B6" t="s">
        <v>26</v>
      </c>
      <c r="C6" t="s">
        <v>2441</v>
      </c>
      <c r="D6" t="s">
        <v>28</v>
      </c>
      <c r="E6" t="s">
        <v>29</v>
      </c>
      <c r="F6" s="108">
        <v>45674</v>
      </c>
      <c r="G6" t="s">
        <v>40</v>
      </c>
      <c r="H6" t="s">
        <v>41</v>
      </c>
      <c r="I6" t="s">
        <v>42</v>
      </c>
      <c r="J6" t="s">
        <v>32</v>
      </c>
      <c r="K6" t="s">
        <v>33</v>
      </c>
      <c r="L6" t="s">
        <v>43</v>
      </c>
      <c r="M6" t="s">
        <v>44</v>
      </c>
      <c r="N6" t="s">
        <v>36</v>
      </c>
      <c r="O6">
        <v>1</v>
      </c>
      <c r="Q6" t="s">
        <v>44</v>
      </c>
      <c r="R6">
        <v>75</v>
      </c>
      <c r="S6">
        <v>77</v>
      </c>
      <c r="T6">
        <v>152</v>
      </c>
      <c r="U6" s="108">
        <v>45720</v>
      </c>
    </row>
    <row r="7" spans="1:23">
      <c r="A7" t="s">
        <v>25</v>
      </c>
      <c r="B7" t="s">
        <v>26</v>
      </c>
      <c r="C7" t="s">
        <v>2441</v>
      </c>
      <c r="D7" t="s">
        <v>28</v>
      </c>
      <c r="E7" t="s">
        <v>29</v>
      </c>
      <c r="F7" s="108">
        <v>45674</v>
      </c>
      <c r="G7" t="s">
        <v>45</v>
      </c>
      <c r="H7" t="s">
        <v>46</v>
      </c>
      <c r="I7" t="s">
        <v>47</v>
      </c>
      <c r="J7" t="s">
        <v>32</v>
      </c>
      <c r="K7" t="s">
        <v>48</v>
      </c>
      <c r="L7" t="s">
        <v>49</v>
      </c>
      <c r="M7" t="s">
        <v>50</v>
      </c>
      <c r="N7" t="s">
        <v>36</v>
      </c>
      <c r="O7">
        <v>1</v>
      </c>
      <c r="Q7" t="s">
        <v>50</v>
      </c>
      <c r="R7">
        <v>75</v>
      </c>
      <c r="S7">
        <v>0</v>
      </c>
      <c r="T7">
        <v>75</v>
      </c>
      <c r="U7" s="108">
        <v>45712</v>
      </c>
    </row>
    <row r="8" spans="1:23">
      <c r="A8" t="s">
        <v>25</v>
      </c>
      <c r="B8" t="s">
        <v>26</v>
      </c>
      <c r="C8" t="s">
        <v>2441</v>
      </c>
      <c r="D8" t="s">
        <v>28</v>
      </c>
      <c r="E8" t="s">
        <v>29</v>
      </c>
      <c r="F8" s="108">
        <v>45674</v>
      </c>
      <c r="G8" t="s">
        <v>51</v>
      </c>
      <c r="H8" t="s">
        <v>52</v>
      </c>
      <c r="I8" t="s">
        <v>53</v>
      </c>
      <c r="J8" t="s">
        <v>32</v>
      </c>
      <c r="K8" t="s">
        <v>33</v>
      </c>
      <c r="L8" t="s">
        <v>54</v>
      </c>
      <c r="M8" t="s">
        <v>55</v>
      </c>
      <c r="N8" t="s">
        <v>36</v>
      </c>
      <c r="O8">
        <v>1</v>
      </c>
      <c r="Q8" t="s">
        <v>55</v>
      </c>
      <c r="R8">
        <v>75</v>
      </c>
      <c r="S8">
        <v>163.75</v>
      </c>
      <c r="T8">
        <v>238.75</v>
      </c>
      <c r="U8" s="108">
        <v>45720</v>
      </c>
    </row>
    <row r="9" spans="1:23">
      <c r="A9" t="s">
        <v>25</v>
      </c>
      <c r="B9" t="s">
        <v>26</v>
      </c>
      <c r="C9" t="s">
        <v>2441</v>
      </c>
      <c r="D9" t="s">
        <v>28</v>
      </c>
      <c r="E9" t="s">
        <v>29</v>
      </c>
      <c r="F9" s="108">
        <v>45674</v>
      </c>
      <c r="G9" t="s">
        <v>56</v>
      </c>
      <c r="H9" t="s">
        <v>57</v>
      </c>
      <c r="I9" t="s">
        <v>58</v>
      </c>
      <c r="J9" t="s">
        <v>59</v>
      </c>
      <c r="K9" t="s">
        <v>48</v>
      </c>
      <c r="L9" t="s">
        <v>60</v>
      </c>
      <c r="M9" t="s">
        <v>61</v>
      </c>
      <c r="N9" t="s">
        <v>36</v>
      </c>
      <c r="O9">
        <v>1</v>
      </c>
      <c r="Q9" t="s">
        <v>61</v>
      </c>
      <c r="R9">
        <v>75</v>
      </c>
      <c r="S9">
        <v>0</v>
      </c>
      <c r="T9">
        <v>75</v>
      </c>
      <c r="U9" s="108">
        <v>45700</v>
      </c>
    </row>
    <row r="10" spans="1:23">
      <c r="A10" t="s">
        <v>25</v>
      </c>
      <c r="B10" t="s">
        <v>26</v>
      </c>
      <c r="C10" t="s">
        <v>2441</v>
      </c>
      <c r="D10" t="s">
        <v>28</v>
      </c>
      <c r="E10" t="s">
        <v>29</v>
      </c>
      <c r="F10" s="108">
        <v>45674</v>
      </c>
      <c r="G10" t="s">
        <v>62</v>
      </c>
      <c r="H10" t="s">
        <v>63</v>
      </c>
      <c r="I10" t="s">
        <v>64</v>
      </c>
      <c r="J10" t="s">
        <v>59</v>
      </c>
      <c r="K10" t="s">
        <v>48</v>
      </c>
      <c r="L10" t="s">
        <v>65</v>
      </c>
      <c r="M10" t="s">
        <v>66</v>
      </c>
      <c r="N10" t="s">
        <v>36</v>
      </c>
      <c r="O10">
        <v>1</v>
      </c>
      <c r="Q10" t="s">
        <v>66</v>
      </c>
      <c r="R10">
        <v>75</v>
      </c>
      <c r="S10">
        <v>0</v>
      </c>
      <c r="T10">
        <v>75</v>
      </c>
      <c r="U10" s="108">
        <v>45700</v>
      </c>
    </row>
    <row r="11" spans="1:23">
      <c r="A11" t="s">
        <v>25</v>
      </c>
      <c r="B11" t="s">
        <v>26</v>
      </c>
      <c r="C11" t="s">
        <v>2441</v>
      </c>
      <c r="D11" t="s">
        <v>28</v>
      </c>
      <c r="E11" t="s">
        <v>29</v>
      </c>
      <c r="F11" s="108">
        <v>45674</v>
      </c>
      <c r="G11" t="s">
        <v>67</v>
      </c>
      <c r="H11" t="s">
        <v>68</v>
      </c>
      <c r="I11" t="s">
        <v>69</v>
      </c>
      <c r="J11" t="s">
        <v>59</v>
      </c>
      <c r="K11" t="s">
        <v>48</v>
      </c>
      <c r="L11" t="s">
        <v>70</v>
      </c>
      <c r="M11" t="s">
        <v>71</v>
      </c>
      <c r="N11" t="s">
        <v>36</v>
      </c>
      <c r="O11">
        <v>1</v>
      </c>
      <c r="Q11" t="s">
        <v>71</v>
      </c>
      <c r="R11">
        <v>75</v>
      </c>
      <c r="S11">
        <v>0</v>
      </c>
      <c r="T11">
        <v>75</v>
      </c>
      <c r="U11" s="108">
        <v>45700</v>
      </c>
    </row>
    <row r="12" spans="1:23">
      <c r="A12" t="s">
        <v>25</v>
      </c>
      <c r="B12" t="s">
        <v>26</v>
      </c>
      <c r="C12" t="s">
        <v>2441</v>
      </c>
      <c r="D12" t="s">
        <v>28</v>
      </c>
      <c r="E12" t="s">
        <v>29</v>
      </c>
      <c r="F12" s="108">
        <v>45674</v>
      </c>
      <c r="G12" t="s">
        <v>72</v>
      </c>
      <c r="H12" t="s">
        <v>73</v>
      </c>
      <c r="I12" t="s">
        <v>74</v>
      </c>
      <c r="J12" t="s">
        <v>59</v>
      </c>
      <c r="K12" t="s">
        <v>48</v>
      </c>
      <c r="L12" t="s">
        <v>70</v>
      </c>
      <c r="M12" t="s">
        <v>61</v>
      </c>
      <c r="N12" t="s">
        <v>36</v>
      </c>
      <c r="O12">
        <v>1</v>
      </c>
      <c r="Q12" t="s">
        <v>61</v>
      </c>
      <c r="R12">
        <v>75</v>
      </c>
      <c r="S12">
        <v>0</v>
      </c>
      <c r="T12">
        <v>75</v>
      </c>
      <c r="U12" s="108">
        <v>45714</v>
      </c>
    </row>
    <row r="13" spans="1:23">
      <c r="A13" t="s">
        <v>25</v>
      </c>
      <c r="B13" t="s">
        <v>26</v>
      </c>
      <c r="C13" t="s">
        <v>2441</v>
      </c>
      <c r="D13" t="s">
        <v>28</v>
      </c>
      <c r="E13" t="s">
        <v>29</v>
      </c>
      <c r="F13" s="108">
        <v>45674</v>
      </c>
      <c r="G13" t="s">
        <v>75</v>
      </c>
      <c r="H13" t="s">
        <v>76</v>
      </c>
      <c r="I13" t="s">
        <v>77</v>
      </c>
      <c r="J13" t="s">
        <v>59</v>
      </c>
      <c r="K13" t="s">
        <v>48</v>
      </c>
      <c r="L13" t="s">
        <v>60</v>
      </c>
      <c r="M13" t="s">
        <v>71</v>
      </c>
      <c r="N13" t="s">
        <v>36</v>
      </c>
      <c r="O13">
        <v>1</v>
      </c>
      <c r="Q13" t="s">
        <v>71</v>
      </c>
      <c r="R13">
        <v>75</v>
      </c>
      <c r="S13">
        <v>0</v>
      </c>
      <c r="T13">
        <v>75</v>
      </c>
      <c r="U13" s="108">
        <v>45700</v>
      </c>
    </row>
    <row r="14" spans="1:23">
      <c r="A14" t="s">
        <v>25</v>
      </c>
      <c r="B14" t="s">
        <v>26</v>
      </c>
      <c r="C14" t="s">
        <v>2441</v>
      </c>
      <c r="D14" t="s">
        <v>28</v>
      </c>
      <c r="E14" t="s">
        <v>29</v>
      </c>
      <c r="F14" s="108">
        <v>45674</v>
      </c>
      <c r="G14" t="s">
        <v>78</v>
      </c>
      <c r="H14" t="s">
        <v>79</v>
      </c>
      <c r="I14" t="s">
        <v>80</v>
      </c>
      <c r="J14" t="s">
        <v>59</v>
      </c>
      <c r="K14" t="s">
        <v>33</v>
      </c>
      <c r="L14" t="s">
        <v>81</v>
      </c>
      <c r="M14" t="s">
        <v>82</v>
      </c>
      <c r="N14" t="s">
        <v>36</v>
      </c>
      <c r="O14">
        <v>1</v>
      </c>
      <c r="P14" t="s">
        <v>83</v>
      </c>
      <c r="Q14" t="s">
        <v>84</v>
      </c>
      <c r="R14">
        <v>75</v>
      </c>
      <c r="S14">
        <v>115</v>
      </c>
      <c r="T14">
        <v>190</v>
      </c>
      <c r="U14" s="108">
        <v>45700</v>
      </c>
    </row>
    <row r="15" spans="1:23">
      <c r="A15" t="s">
        <v>25</v>
      </c>
      <c r="B15" t="s">
        <v>26</v>
      </c>
      <c r="C15" t="s">
        <v>2441</v>
      </c>
      <c r="D15" t="s">
        <v>28</v>
      </c>
      <c r="E15" t="s">
        <v>29</v>
      </c>
      <c r="F15" s="108">
        <v>45674</v>
      </c>
      <c r="G15" t="s">
        <v>85</v>
      </c>
      <c r="H15" t="s">
        <v>86</v>
      </c>
      <c r="I15" t="s">
        <v>87</v>
      </c>
      <c r="J15" t="s">
        <v>59</v>
      </c>
      <c r="K15" t="s">
        <v>48</v>
      </c>
      <c r="L15" t="s">
        <v>88</v>
      </c>
      <c r="M15" t="s">
        <v>71</v>
      </c>
      <c r="N15" t="s">
        <v>36</v>
      </c>
      <c r="O15">
        <v>1</v>
      </c>
      <c r="Q15" t="s">
        <v>71</v>
      </c>
      <c r="R15">
        <v>75</v>
      </c>
      <c r="S15">
        <v>0</v>
      </c>
      <c r="T15">
        <v>75</v>
      </c>
      <c r="U15" s="108">
        <v>45700</v>
      </c>
    </row>
    <row r="16" spans="1:23">
      <c r="A16" t="s">
        <v>25</v>
      </c>
      <c r="B16" t="s">
        <v>26</v>
      </c>
      <c r="C16" t="s">
        <v>2441</v>
      </c>
      <c r="D16" t="s">
        <v>28</v>
      </c>
      <c r="E16" t="s">
        <v>29</v>
      </c>
      <c r="F16" s="108">
        <v>45674</v>
      </c>
      <c r="G16" t="s">
        <v>89</v>
      </c>
      <c r="H16" t="s">
        <v>90</v>
      </c>
      <c r="I16" t="s">
        <v>91</v>
      </c>
      <c r="J16" t="s">
        <v>59</v>
      </c>
      <c r="K16" t="s">
        <v>48</v>
      </c>
      <c r="L16" t="s">
        <v>70</v>
      </c>
      <c r="M16" t="s">
        <v>61</v>
      </c>
      <c r="N16" t="s">
        <v>36</v>
      </c>
      <c r="O16">
        <v>1</v>
      </c>
      <c r="Q16" t="s">
        <v>61</v>
      </c>
      <c r="R16">
        <v>75</v>
      </c>
      <c r="S16">
        <v>0</v>
      </c>
      <c r="T16">
        <v>75</v>
      </c>
      <c r="U16" s="108">
        <v>45700</v>
      </c>
    </row>
    <row r="17" spans="1:21">
      <c r="A17" t="s">
        <v>25</v>
      </c>
      <c r="B17" t="s">
        <v>26</v>
      </c>
      <c r="C17" t="s">
        <v>2441</v>
      </c>
      <c r="D17" t="s">
        <v>28</v>
      </c>
      <c r="E17" t="s">
        <v>29</v>
      </c>
      <c r="F17" s="108">
        <v>45674</v>
      </c>
      <c r="G17" t="s">
        <v>92</v>
      </c>
      <c r="H17" t="s">
        <v>93</v>
      </c>
      <c r="I17" t="s">
        <v>94</v>
      </c>
      <c r="J17" t="s">
        <v>95</v>
      </c>
      <c r="K17" t="s">
        <v>33</v>
      </c>
      <c r="L17" t="s">
        <v>60</v>
      </c>
      <c r="M17" t="s">
        <v>82</v>
      </c>
      <c r="N17" t="s">
        <v>36</v>
      </c>
      <c r="O17">
        <v>1</v>
      </c>
      <c r="P17" t="s">
        <v>96</v>
      </c>
      <c r="Q17" t="s">
        <v>96</v>
      </c>
      <c r="R17">
        <v>75</v>
      </c>
      <c r="S17">
        <v>115</v>
      </c>
      <c r="T17">
        <v>190</v>
      </c>
      <c r="U17" s="108">
        <v>45700</v>
      </c>
    </row>
    <row r="18" spans="1:21">
      <c r="A18" t="s">
        <v>25</v>
      </c>
      <c r="B18" t="s">
        <v>26</v>
      </c>
      <c r="C18" t="s">
        <v>2441</v>
      </c>
      <c r="D18" t="s">
        <v>28</v>
      </c>
      <c r="E18" t="s">
        <v>29</v>
      </c>
      <c r="F18" s="108">
        <v>45674</v>
      </c>
      <c r="H18" t="s">
        <v>97</v>
      </c>
      <c r="I18" t="s">
        <v>98</v>
      </c>
      <c r="J18" t="s">
        <v>99</v>
      </c>
      <c r="K18" t="s">
        <v>48</v>
      </c>
      <c r="L18" t="s">
        <v>100</v>
      </c>
      <c r="M18" t="s">
        <v>101</v>
      </c>
      <c r="N18" t="s">
        <v>36</v>
      </c>
      <c r="O18">
        <v>1</v>
      </c>
      <c r="Q18" t="s">
        <v>101</v>
      </c>
      <c r="R18">
        <v>75</v>
      </c>
      <c r="S18">
        <v>0</v>
      </c>
      <c r="T18">
        <v>75</v>
      </c>
      <c r="U18" s="108">
        <v>45712</v>
      </c>
    </row>
    <row r="19" spans="1:21">
      <c r="A19" t="s">
        <v>25</v>
      </c>
      <c r="B19" t="s">
        <v>26</v>
      </c>
      <c r="C19" t="s">
        <v>2441</v>
      </c>
      <c r="D19" t="s">
        <v>28</v>
      </c>
      <c r="E19" t="s">
        <v>29</v>
      </c>
      <c r="F19" s="108">
        <v>45674</v>
      </c>
      <c r="G19" t="s">
        <v>102</v>
      </c>
      <c r="H19" t="s">
        <v>103</v>
      </c>
      <c r="I19" t="s">
        <v>104</v>
      </c>
      <c r="J19" t="s">
        <v>105</v>
      </c>
      <c r="K19" t="s">
        <v>33</v>
      </c>
      <c r="L19" t="s">
        <v>106</v>
      </c>
      <c r="M19" t="s">
        <v>82</v>
      </c>
      <c r="N19" t="s">
        <v>36</v>
      </c>
      <c r="O19">
        <v>1</v>
      </c>
      <c r="Q19" t="s">
        <v>107</v>
      </c>
      <c r="R19">
        <v>75</v>
      </c>
      <c r="S19">
        <v>115</v>
      </c>
      <c r="T19">
        <v>190</v>
      </c>
      <c r="U19" s="108">
        <v>45700</v>
      </c>
    </row>
    <row r="20" spans="1:21">
      <c r="A20" t="s">
        <v>25</v>
      </c>
      <c r="B20" t="s">
        <v>26</v>
      </c>
      <c r="C20" t="s">
        <v>2441</v>
      </c>
      <c r="D20" t="s">
        <v>28</v>
      </c>
      <c r="E20" t="s">
        <v>29</v>
      </c>
      <c r="F20" s="108">
        <v>45716</v>
      </c>
      <c r="G20">
        <v>4016</v>
      </c>
      <c r="H20" t="s">
        <v>108</v>
      </c>
      <c r="I20" t="s">
        <v>109</v>
      </c>
      <c r="J20" t="s">
        <v>110</v>
      </c>
      <c r="K20" t="s">
        <v>48</v>
      </c>
      <c r="L20" t="s">
        <v>111</v>
      </c>
      <c r="M20" t="s">
        <v>112</v>
      </c>
      <c r="N20" t="s">
        <v>36</v>
      </c>
      <c r="O20">
        <v>1</v>
      </c>
      <c r="Q20" t="s">
        <v>112</v>
      </c>
      <c r="R20">
        <v>75</v>
      </c>
      <c r="S20">
        <v>0</v>
      </c>
      <c r="T20">
        <v>75</v>
      </c>
      <c r="U20" s="108">
        <v>45742</v>
      </c>
    </row>
    <row r="21" spans="1:21">
      <c r="A21" t="s">
        <v>154</v>
      </c>
      <c r="B21" t="s">
        <v>155</v>
      </c>
      <c r="C21">
        <v>616866669</v>
      </c>
      <c r="D21" t="s">
        <v>156</v>
      </c>
      <c r="E21" t="s">
        <v>599</v>
      </c>
      <c r="F21" s="108">
        <v>45917</v>
      </c>
      <c r="G21">
        <v>6199</v>
      </c>
      <c r="H21" t="s">
        <v>1031</v>
      </c>
      <c r="I21" t="s">
        <v>1032</v>
      </c>
      <c r="J21" t="s">
        <v>160</v>
      </c>
      <c r="K21" t="s">
        <v>33</v>
      </c>
      <c r="L21" t="s">
        <v>213</v>
      </c>
      <c r="M21" t="s">
        <v>168</v>
      </c>
      <c r="N21" t="s">
        <v>36</v>
      </c>
      <c r="O21">
        <v>1</v>
      </c>
      <c r="P21" t="s">
        <v>1033</v>
      </c>
      <c r="Q21" t="s">
        <v>55</v>
      </c>
      <c r="R21">
        <v>75</v>
      </c>
      <c r="S21">
        <v>163.75</v>
      </c>
      <c r="T21">
        <v>238.75</v>
      </c>
      <c r="U21" s="108">
        <v>45939</v>
      </c>
    </row>
    <row r="22" spans="1:21">
      <c r="A22" t="s">
        <v>25</v>
      </c>
      <c r="B22" t="s">
        <v>26</v>
      </c>
      <c r="C22" t="s">
        <v>2441</v>
      </c>
      <c r="D22" t="s">
        <v>28</v>
      </c>
      <c r="E22" t="s">
        <v>29</v>
      </c>
      <c r="F22" s="108">
        <v>45716</v>
      </c>
      <c r="G22">
        <v>4020</v>
      </c>
      <c r="H22" t="s">
        <v>121</v>
      </c>
      <c r="I22" t="s">
        <v>122</v>
      </c>
      <c r="J22" t="s">
        <v>110</v>
      </c>
      <c r="K22" t="s">
        <v>48</v>
      </c>
      <c r="L22" t="s">
        <v>123</v>
      </c>
      <c r="M22" t="s">
        <v>112</v>
      </c>
      <c r="N22" t="s">
        <v>36</v>
      </c>
      <c r="O22">
        <v>1</v>
      </c>
      <c r="Q22" t="s">
        <v>112</v>
      </c>
      <c r="R22">
        <v>75</v>
      </c>
      <c r="S22">
        <v>0</v>
      </c>
      <c r="T22">
        <v>75</v>
      </c>
      <c r="U22" s="108">
        <v>45793</v>
      </c>
    </row>
    <row r="23" spans="1:21">
      <c r="A23" t="s">
        <v>25</v>
      </c>
      <c r="B23" t="s">
        <v>26</v>
      </c>
      <c r="C23" t="s">
        <v>2441</v>
      </c>
      <c r="D23" t="s">
        <v>28</v>
      </c>
      <c r="E23" t="s">
        <v>29</v>
      </c>
      <c r="F23" s="108">
        <v>45716</v>
      </c>
      <c r="G23">
        <v>4027</v>
      </c>
      <c r="H23" t="s">
        <v>124</v>
      </c>
      <c r="I23" t="s">
        <v>125</v>
      </c>
      <c r="J23" t="s">
        <v>126</v>
      </c>
      <c r="K23" t="s">
        <v>33</v>
      </c>
      <c r="L23" t="s">
        <v>127</v>
      </c>
      <c r="M23" t="s">
        <v>55</v>
      </c>
      <c r="N23" t="s">
        <v>36</v>
      </c>
      <c r="O23">
        <v>1</v>
      </c>
      <c r="Q23" t="s">
        <v>55</v>
      </c>
      <c r="R23">
        <v>75</v>
      </c>
      <c r="S23">
        <v>163.75</v>
      </c>
      <c r="T23">
        <v>238.75</v>
      </c>
      <c r="U23" s="108">
        <v>45793</v>
      </c>
    </row>
    <row r="24" spans="1:21">
      <c r="A24" t="s">
        <v>25</v>
      </c>
      <c r="B24" t="s">
        <v>26</v>
      </c>
      <c r="C24" t="s">
        <v>2441</v>
      </c>
      <c r="D24" t="s">
        <v>28</v>
      </c>
      <c r="E24" t="s">
        <v>29</v>
      </c>
      <c r="F24" s="108">
        <v>45716</v>
      </c>
      <c r="G24">
        <v>4019</v>
      </c>
      <c r="H24" t="s">
        <v>128</v>
      </c>
      <c r="I24" t="s">
        <v>129</v>
      </c>
      <c r="J24" t="s">
        <v>110</v>
      </c>
      <c r="K24" t="s">
        <v>48</v>
      </c>
      <c r="L24" t="s">
        <v>123</v>
      </c>
      <c r="M24" t="s">
        <v>112</v>
      </c>
      <c r="N24" t="s">
        <v>36</v>
      </c>
      <c r="O24">
        <v>1</v>
      </c>
      <c r="Q24" t="s">
        <v>112</v>
      </c>
      <c r="R24">
        <v>75</v>
      </c>
      <c r="S24">
        <v>0</v>
      </c>
      <c r="T24">
        <v>75</v>
      </c>
      <c r="U24" s="108">
        <v>45742</v>
      </c>
    </row>
    <row r="25" spans="1:21">
      <c r="A25" t="s">
        <v>25</v>
      </c>
      <c r="B25" t="s">
        <v>26</v>
      </c>
      <c r="C25" t="s">
        <v>2441</v>
      </c>
      <c r="D25" t="s">
        <v>28</v>
      </c>
      <c r="E25" t="s">
        <v>29</v>
      </c>
      <c r="F25" s="108">
        <v>45716</v>
      </c>
      <c r="G25">
        <v>4026</v>
      </c>
      <c r="H25" t="s">
        <v>130</v>
      </c>
      <c r="I25" t="s">
        <v>131</v>
      </c>
      <c r="J25" t="s">
        <v>132</v>
      </c>
      <c r="K25" t="s">
        <v>33</v>
      </c>
      <c r="L25" t="s">
        <v>133</v>
      </c>
      <c r="M25" t="s">
        <v>134</v>
      </c>
      <c r="N25" t="s">
        <v>36</v>
      </c>
      <c r="O25">
        <v>1</v>
      </c>
      <c r="Q25" t="s">
        <v>134</v>
      </c>
      <c r="R25">
        <v>75</v>
      </c>
      <c r="S25">
        <v>77</v>
      </c>
      <c r="T25">
        <v>152</v>
      </c>
      <c r="U25" s="108">
        <v>45742</v>
      </c>
    </row>
    <row r="26" spans="1:21">
      <c r="A26" t="s">
        <v>25</v>
      </c>
      <c r="B26" t="s">
        <v>26</v>
      </c>
      <c r="C26" t="s">
        <v>2441</v>
      </c>
      <c r="D26" t="s">
        <v>28</v>
      </c>
      <c r="E26" t="s">
        <v>29</v>
      </c>
      <c r="F26" s="108">
        <v>45716</v>
      </c>
      <c r="G26">
        <v>4028</v>
      </c>
      <c r="H26" t="s">
        <v>135</v>
      </c>
      <c r="I26" t="s">
        <v>136</v>
      </c>
      <c r="J26" t="s">
        <v>137</v>
      </c>
      <c r="K26" t="s">
        <v>33</v>
      </c>
      <c r="L26" t="s">
        <v>111</v>
      </c>
      <c r="M26" t="s">
        <v>138</v>
      </c>
      <c r="N26" t="s">
        <v>36</v>
      </c>
      <c r="O26">
        <v>1</v>
      </c>
      <c r="Q26" t="s">
        <v>139</v>
      </c>
      <c r="R26">
        <v>75</v>
      </c>
      <c r="S26">
        <v>215</v>
      </c>
      <c r="T26">
        <v>290</v>
      </c>
      <c r="U26" s="108">
        <v>45793</v>
      </c>
    </row>
    <row r="27" spans="1:21">
      <c r="A27" t="s">
        <v>25</v>
      </c>
      <c r="B27" t="s">
        <v>26</v>
      </c>
      <c r="C27" t="s">
        <v>2441</v>
      </c>
      <c r="D27" t="s">
        <v>28</v>
      </c>
      <c r="E27" t="s">
        <v>29</v>
      </c>
      <c r="F27" s="108">
        <v>45716</v>
      </c>
      <c r="G27">
        <v>4022</v>
      </c>
      <c r="H27" t="s">
        <v>140</v>
      </c>
      <c r="I27" t="s">
        <v>141</v>
      </c>
      <c r="J27" t="s">
        <v>126</v>
      </c>
      <c r="K27" t="s">
        <v>33</v>
      </c>
      <c r="L27" t="s">
        <v>142</v>
      </c>
      <c r="M27" t="s">
        <v>55</v>
      </c>
      <c r="N27" t="s">
        <v>36</v>
      </c>
      <c r="O27">
        <v>1</v>
      </c>
      <c r="Q27" t="s">
        <v>55</v>
      </c>
      <c r="R27">
        <v>75</v>
      </c>
      <c r="S27">
        <v>163.75</v>
      </c>
      <c r="T27">
        <v>238.75</v>
      </c>
      <c r="U27" s="108">
        <v>45793</v>
      </c>
    </row>
    <row r="28" spans="1:21">
      <c r="A28" t="s">
        <v>25</v>
      </c>
      <c r="B28" t="s">
        <v>26</v>
      </c>
      <c r="C28" t="s">
        <v>2441</v>
      </c>
      <c r="D28" t="s">
        <v>28</v>
      </c>
      <c r="E28" t="s">
        <v>29</v>
      </c>
      <c r="F28" s="108">
        <v>45716</v>
      </c>
      <c r="G28">
        <v>4021</v>
      </c>
      <c r="H28" t="s">
        <v>143</v>
      </c>
      <c r="I28" t="s">
        <v>144</v>
      </c>
      <c r="J28" t="s">
        <v>126</v>
      </c>
      <c r="K28" t="s">
        <v>33</v>
      </c>
      <c r="L28" t="s">
        <v>145</v>
      </c>
      <c r="M28" t="s">
        <v>82</v>
      </c>
      <c r="N28" t="s">
        <v>36</v>
      </c>
      <c r="O28">
        <v>1</v>
      </c>
      <c r="Q28" t="s">
        <v>146</v>
      </c>
      <c r="R28">
        <v>75</v>
      </c>
      <c r="S28">
        <v>115</v>
      </c>
      <c r="T28">
        <v>190</v>
      </c>
      <c r="U28" s="108">
        <v>45742</v>
      </c>
    </row>
    <row r="29" spans="1:21">
      <c r="A29" t="s">
        <v>25</v>
      </c>
      <c r="B29" t="s">
        <v>26</v>
      </c>
      <c r="C29" t="s">
        <v>2441</v>
      </c>
      <c r="D29" t="s">
        <v>28</v>
      </c>
      <c r="E29" t="s">
        <v>29</v>
      </c>
      <c r="F29" s="108">
        <v>45716</v>
      </c>
      <c r="G29">
        <v>4018</v>
      </c>
      <c r="H29" t="s">
        <v>93</v>
      </c>
      <c r="I29" t="s">
        <v>94</v>
      </c>
      <c r="J29" t="s">
        <v>126</v>
      </c>
      <c r="K29" t="s">
        <v>48</v>
      </c>
      <c r="L29" t="s">
        <v>60</v>
      </c>
      <c r="M29" t="s">
        <v>117</v>
      </c>
      <c r="N29" t="s">
        <v>36</v>
      </c>
      <c r="O29">
        <v>1</v>
      </c>
      <c r="Q29" t="s">
        <v>117</v>
      </c>
      <c r="R29">
        <v>75</v>
      </c>
      <c r="S29">
        <v>0</v>
      </c>
      <c r="T29">
        <v>75</v>
      </c>
      <c r="U29" s="108">
        <v>45742</v>
      </c>
    </row>
    <row r="30" spans="1:21" ht="29">
      <c r="A30" t="s">
        <v>25</v>
      </c>
      <c r="B30" t="s">
        <v>26</v>
      </c>
      <c r="C30" t="s">
        <v>2441</v>
      </c>
      <c r="D30" t="s">
        <v>28</v>
      </c>
      <c r="E30" t="s">
        <v>29</v>
      </c>
      <c r="F30" s="108">
        <v>45716</v>
      </c>
      <c r="G30">
        <v>4017</v>
      </c>
      <c r="H30" t="s">
        <v>90</v>
      </c>
      <c r="I30" t="s">
        <v>91</v>
      </c>
      <c r="J30" t="s">
        <v>110</v>
      </c>
      <c r="K30" t="s">
        <v>48</v>
      </c>
      <c r="L30" s="110" t="s">
        <v>148</v>
      </c>
      <c r="M30" t="s">
        <v>117</v>
      </c>
      <c r="N30" t="s">
        <v>36</v>
      </c>
      <c r="O30">
        <v>1</v>
      </c>
      <c r="Q30" t="s">
        <v>117</v>
      </c>
      <c r="R30">
        <v>75</v>
      </c>
      <c r="S30">
        <v>0</v>
      </c>
      <c r="T30">
        <v>75</v>
      </c>
      <c r="U30" s="108">
        <v>45742</v>
      </c>
    </row>
    <row r="31" spans="1:21">
      <c r="A31" t="s">
        <v>25</v>
      </c>
      <c r="B31" t="s">
        <v>26</v>
      </c>
      <c r="C31" t="s">
        <v>2441</v>
      </c>
      <c r="D31" t="s">
        <v>28</v>
      </c>
      <c r="E31" t="s">
        <v>29</v>
      </c>
      <c r="F31" s="108">
        <v>45716</v>
      </c>
      <c r="G31">
        <v>4024</v>
      </c>
      <c r="H31" t="s">
        <v>149</v>
      </c>
      <c r="I31" t="s">
        <v>150</v>
      </c>
      <c r="J31" t="s">
        <v>126</v>
      </c>
      <c r="K31" t="s">
        <v>33</v>
      </c>
      <c r="L31" t="s">
        <v>145</v>
      </c>
      <c r="M31" t="s">
        <v>66</v>
      </c>
      <c r="N31" t="s">
        <v>36</v>
      </c>
      <c r="O31">
        <v>1</v>
      </c>
      <c r="P31" t="s">
        <v>792</v>
      </c>
      <c r="Q31" t="s">
        <v>66</v>
      </c>
      <c r="R31">
        <v>75</v>
      </c>
      <c r="S31">
        <v>120</v>
      </c>
      <c r="T31">
        <v>195</v>
      </c>
      <c r="U31" s="108">
        <v>45742</v>
      </c>
    </row>
    <row r="32" spans="1:21">
      <c r="A32" t="s">
        <v>154</v>
      </c>
      <c r="B32" t="s">
        <v>155</v>
      </c>
      <c r="C32">
        <v>616866669</v>
      </c>
      <c r="D32" t="s">
        <v>156</v>
      </c>
      <c r="E32" t="s">
        <v>599</v>
      </c>
      <c r="F32" s="108">
        <v>45728</v>
      </c>
      <c r="G32">
        <v>4041</v>
      </c>
      <c r="H32" t="s">
        <v>158</v>
      </c>
      <c r="I32" t="s">
        <v>159</v>
      </c>
      <c r="J32" t="s">
        <v>160</v>
      </c>
      <c r="K32" t="s">
        <v>33</v>
      </c>
      <c r="L32" t="s">
        <v>161</v>
      </c>
      <c r="M32" t="s">
        <v>82</v>
      </c>
      <c r="N32" t="s">
        <v>36</v>
      </c>
      <c r="O32">
        <v>1</v>
      </c>
      <c r="Q32" t="s">
        <v>162</v>
      </c>
      <c r="R32">
        <v>75</v>
      </c>
      <c r="S32">
        <v>0</v>
      </c>
      <c r="T32">
        <v>75</v>
      </c>
      <c r="U32" s="108">
        <v>45742</v>
      </c>
    </row>
    <row r="33" spans="1:23">
      <c r="A33" t="s">
        <v>154</v>
      </c>
      <c r="B33" t="s">
        <v>155</v>
      </c>
      <c r="C33">
        <v>616866669</v>
      </c>
      <c r="D33" t="s">
        <v>156</v>
      </c>
      <c r="E33" t="s">
        <v>599</v>
      </c>
      <c r="F33" s="108">
        <v>45728</v>
      </c>
      <c r="G33">
        <v>4035</v>
      </c>
      <c r="H33" t="s">
        <v>163</v>
      </c>
      <c r="I33" t="s">
        <v>164</v>
      </c>
      <c r="J33" t="s">
        <v>165</v>
      </c>
      <c r="K33" t="s">
        <v>33</v>
      </c>
      <c r="L33" t="s">
        <v>166</v>
      </c>
      <c r="M33" t="s">
        <v>55</v>
      </c>
      <c r="N33" t="s">
        <v>36</v>
      </c>
      <c r="O33">
        <v>1</v>
      </c>
      <c r="P33" t="s">
        <v>167</v>
      </c>
      <c r="Q33" t="s">
        <v>168</v>
      </c>
      <c r="R33">
        <v>75</v>
      </c>
      <c r="S33">
        <v>163.75</v>
      </c>
      <c r="T33">
        <v>238.75</v>
      </c>
      <c r="U33" s="108">
        <v>45805</v>
      </c>
      <c r="W33" t="s">
        <v>169</v>
      </c>
    </row>
    <row r="34" spans="1:23">
      <c r="A34" t="s">
        <v>154</v>
      </c>
      <c r="B34" t="s">
        <v>155</v>
      </c>
      <c r="C34">
        <v>616866669</v>
      </c>
      <c r="D34" t="s">
        <v>156</v>
      </c>
      <c r="E34" t="s">
        <v>599</v>
      </c>
      <c r="F34" s="108">
        <v>45728</v>
      </c>
      <c r="G34">
        <v>4036</v>
      </c>
      <c r="H34" t="s">
        <v>170</v>
      </c>
      <c r="I34" t="s">
        <v>171</v>
      </c>
      <c r="J34" t="s">
        <v>172</v>
      </c>
      <c r="K34" t="s">
        <v>48</v>
      </c>
      <c r="L34" t="s">
        <v>173</v>
      </c>
      <c r="M34" t="s">
        <v>117</v>
      </c>
      <c r="N34" t="s">
        <v>36</v>
      </c>
      <c r="O34">
        <v>1</v>
      </c>
      <c r="P34" t="s">
        <v>174</v>
      </c>
      <c r="Q34" t="s">
        <v>61</v>
      </c>
      <c r="R34">
        <v>75</v>
      </c>
      <c r="S34">
        <v>0</v>
      </c>
      <c r="T34">
        <v>75</v>
      </c>
      <c r="U34" s="108">
        <v>45793</v>
      </c>
    </row>
    <row r="35" spans="1:23" ht="29">
      <c r="A35" t="s">
        <v>154</v>
      </c>
      <c r="B35" t="s">
        <v>155</v>
      </c>
      <c r="C35">
        <v>616866669</v>
      </c>
      <c r="D35" t="s">
        <v>156</v>
      </c>
      <c r="E35" t="s">
        <v>599</v>
      </c>
      <c r="F35" s="108">
        <v>45728</v>
      </c>
      <c r="G35">
        <v>4040</v>
      </c>
      <c r="H35" t="s">
        <v>175</v>
      </c>
      <c r="I35" t="s">
        <v>176</v>
      </c>
      <c r="J35" t="s">
        <v>165</v>
      </c>
      <c r="K35" t="s">
        <v>33</v>
      </c>
      <c r="L35" s="110" t="s">
        <v>177</v>
      </c>
      <c r="M35" t="s">
        <v>55</v>
      </c>
      <c r="N35" t="s">
        <v>36</v>
      </c>
      <c r="O35">
        <v>1</v>
      </c>
      <c r="Q35" t="s">
        <v>55</v>
      </c>
      <c r="R35">
        <v>75</v>
      </c>
      <c r="S35">
        <v>163.75</v>
      </c>
      <c r="T35">
        <v>238.75</v>
      </c>
      <c r="U35" s="108">
        <v>45742</v>
      </c>
    </row>
    <row r="36" spans="1:23">
      <c r="A36" t="s">
        <v>154</v>
      </c>
      <c r="B36" t="s">
        <v>155</v>
      </c>
      <c r="C36">
        <v>616866669</v>
      </c>
      <c r="D36" t="s">
        <v>156</v>
      </c>
      <c r="E36" t="s">
        <v>599</v>
      </c>
      <c r="F36" s="108">
        <v>45728</v>
      </c>
      <c r="G36">
        <v>4030</v>
      </c>
      <c r="H36" t="s">
        <v>178</v>
      </c>
      <c r="I36" t="s">
        <v>179</v>
      </c>
      <c r="J36" t="s">
        <v>180</v>
      </c>
      <c r="K36" t="s">
        <v>48</v>
      </c>
      <c r="L36" t="s">
        <v>181</v>
      </c>
      <c r="M36" t="s">
        <v>134</v>
      </c>
      <c r="N36" t="s">
        <v>36</v>
      </c>
      <c r="O36">
        <v>1</v>
      </c>
      <c r="Q36" t="s">
        <v>134</v>
      </c>
      <c r="R36">
        <v>75</v>
      </c>
      <c r="S36">
        <v>0</v>
      </c>
      <c r="T36">
        <v>75</v>
      </c>
      <c r="U36" s="108">
        <v>45742</v>
      </c>
    </row>
    <row r="37" spans="1:23">
      <c r="A37" t="s">
        <v>154</v>
      </c>
      <c r="B37" t="s">
        <v>155</v>
      </c>
      <c r="C37">
        <v>616866669</v>
      </c>
      <c r="D37" t="s">
        <v>156</v>
      </c>
      <c r="E37" t="s">
        <v>599</v>
      </c>
      <c r="F37" s="108">
        <v>45728</v>
      </c>
      <c r="G37">
        <v>4039</v>
      </c>
      <c r="H37" t="s">
        <v>182</v>
      </c>
      <c r="I37" t="s">
        <v>183</v>
      </c>
      <c r="J37" t="s">
        <v>184</v>
      </c>
      <c r="K37" t="s">
        <v>33</v>
      </c>
      <c r="L37" t="s">
        <v>173</v>
      </c>
      <c r="M37" t="s">
        <v>117</v>
      </c>
      <c r="N37" t="s">
        <v>36</v>
      </c>
      <c r="O37">
        <v>1</v>
      </c>
      <c r="Q37" t="s">
        <v>185</v>
      </c>
      <c r="R37">
        <v>75</v>
      </c>
      <c r="S37">
        <v>215</v>
      </c>
      <c r="T37">
        <v>290</v>
      </c>
      <c r="U37" s="108">
        <v>45742</v>
      </c>
    </row>
    <row r="38" spans="1:23">
      <c r="A38" t="s">
        <v>154</v>
      </c>
      <c r="B38" t="s">
        <v>155</v>
      </c>
      <c r="C38">
        <v>616866669</v>
      </c>
      <c r="D38" t="s">
        <v>156</v>
      </c>
      <c r="E38" t="s">
        <v>599</v>
      </c>
      <c r="F38" s="108">
        <v>45728</v>
      </c>
      <c r="G38">
        <v>4034</v>
      </c>
      <c r="H38" t="s">
        <v>186</v>
      </c>
      <c r="I38" t="s">
        <v>187</v>
      </c>
      <c r="J38" t="s">
        <v>165</v>
      </c>
      <c r="K38" t="s">
        <v>33</v>
      </c>
      <c r="L38" t="s">
        <v>188</v>
      </c>
      <c r="M38" t="s">
        <v>71</v>
      </c>
      <c r="N38" t="s">
        <v>36</v>
      </c>
      <c r="O38">
        <v>1</v>
      </c>
      <c r="P38" t="s">
        <v>189</v>
      </c>
      <c r="Q38" t="s">
        <v>71</v>
      </c>
      <c r="R38">
        <v>75</v>
      </c>
      <c r="S38">
        <v>120</v>
      </c>
      <c r="T38">
        <v>195</v>
      </c>
      <c r="U38" s="108">
        <v>45793</v>
      </c>
      <c r="W38" t="s">
        <v>169</v>
      </c>
    </row>
    <row r="39" spans="1:23">
      <c r="A39" t="s">
        <v>154</v>
      </c>
      <c r="B39" t="s">
        <v>155</v>
      </c>
      <c r="C39">
        <v>616866669</v>
      </c>
      <c r="D39" t="s">
        <v>156</v>
      </c>
      <c r="E39" t="s">
        <v>599</v>
      </c>
      <c r="F39" s="108">
        <v>45728</v>
      </c>
      <c r="G39">
        <v>4032</v>
      </c>
      <c r="H39" t="s">
        <v>190</v>
      </c>
      <c r="I39" t="s">
        <v>191</v>
      </c>
      <c r="J39" t="s">
        <v>192</v>
      </c>
      <c r="K39" t="s">
        <v>33</v>
      </c>
      <c r="L39" t="s">
        <v>193</v>
      </c>
      <c r="M39" t="s">
        <v>194</v>
      </c>
      <c r="N39" t="s">
        <v>36</v>
      </c>
      <c r="O39">
        <v>1</v>
      </c>
      <c r="Q39" t="s">
        <v>194</v>
      </c>
      <c r="R39">
        <v>75</v>
      </c>
      <c r="S39">
        <v>100</v>
      </c>
      <c r="T39">
        <v>175</v>
      </c>
      <c r="U39" s="108">
        <v>45742</v>
      </c>
    </row>
    <row r="40" spans="1:23">
      <c r="A40" t="s">
        <v>25</v>
      </c>
      <c r="B40" t="s">
        <v>26</v>
      </c>
      <c r="C40" t="s">
        <v>2441</v>
      </c>
      <c r="D40" t="s">
        <v>28</v>
      </c>
      <c r="E40" t="s">
        <v>195</v>
      </c>
      <c r="F40" s="108">
        <v>45733</v>
      </c>
      <c r="G40">
        <v>4068</v>
      </c>
      <c r="H40" t="s">
        <v>196</v>
      </c>
      <c r="I40" t="s">
        <v>197</v>
      </c>
      <c r="J40" t="s">
        <v>160</v>
      </c>
      <c r="K40" t="s">
        <v>33</v>
      </c>
      <c r="L40" t="s">
        <v>198</v>
      </c>
      <c r="M40" t="s">
        <v>55</v>
      </c>
      <c r="N40" t="s">
        <v>36</v>
      </c>
      <c r="O40">
        <v>1</v>
      </c>
      <c r="Q40" t="s">
        <v>55</v>
      </c>
      <c r="R40">
        <v>75</v>
      </c>
      <c r="S40">
        <v>163.75</v>
      </c>
      <c r="T40">
        <v>238.75</v>
      </c>
      <c r="U40" s="108">
        <v>45793</v>
      </c>
    </row>
    <row r="41" spans="1:23">
      <c r="A41" t="s">
        <v>25</v>
      </c>
      <c r="B41" t="s">
        <v>26</v>
      </c>
      <c r="C41" t="s">
        <v>2441</v>
      </c>
      <c r="D41" t="s">
        <v>28</v>
      </c>
      <c r="E41" t="s">
        <v>195</v>
      </c>
      <c r="F41" s="108">
        <v>45733</v>
      </c>
      <c r="G41">
        <v>4067</v>
      </c>
      <c r="H41" t="s">
        <v>199</v>
      </c>
      <c r="I41" t="s">
        <v>200</v>
      </c>
      <c r="J41" t="s">
        <v>201</v>
      </c>
      <c r="K41" t="s">
        <v>48</v>
      </c>
      <c r="L41" t="s">
        <v>202</v>
      </c>
      <c r="M41" t="s">
        <v>203</v>
      </c>
      <c r="N41" t="s">
        <v>36</v>
      </c>
      <c r="O41">
        <v>1</v>
      </c>
      <c r="Q41" t="s">
        <v>203</v>
      </c>
      <c r="R41">
        <v>75</v>
      </c>
      <c r="S41">
        <v>0</v>
      </c>
      <c r="T41">
        <v>75</v>
      </c>
      <c r="U41" s="108">
        <v>45793</v>
      </c>
    </row>
    <row r="42" spans="1:23">
      <c r="A42" t="s">
        <v>154</v>
      </c>
      <c r="B42" t="s">
        <v>155</v>
      </c>
      <c r="C42">
        <v>616866669</v>
      </c>
      <c r="D42" t="s">
        <v>156</v>
      </c>
      <c r="E42" t="s">
        <v>599</v>
      </c>
      <c r="F42" s="108">
        <v>45917</v>
      </c>
      <c r="G42">
        <v>6196</v>
      </c>
      <c r="H42" t="s">
        <v>1020</v>
      </c>
      <c r="I42" t="s">
        <v>1021</v>
      </c>
      <c r="J42" t="s">
        <v>160</v>
      </c>
      <c r="K42" t="s">
        <v>33</v>
      </c>
      <c r="L42" t="s">
        <v>1022</v>
      </c>
      <c r="M42" t="s">
        <v>34</v>
      </c>
      <c r="N42" t="s">
        <v>36</v>
      </c>
      <c r="O42">
        <v>1</v>
      </c>
      <c r="P42" t="s">
        <v>1023</v>
      </c>
      <c r="Q42" t="s">
        <v>117</v>
      </c>
      <c r="R42">
        <v>75</v>
      </c>
      <c r="S42">
        <v>215</v>
      </c>
      <c r="T42">
        <v>290</v>
      </c>
      <c r="U42" s="108">
        <v>45939</v>
      </c>
    </row>
    <row r="43" spans="1:23">
      <c r="A43" t="s">
        <v>25</v>
      </c>
      <c r="B43" t="s">
        <v>26</v>
      </c>
      <c r="C43" t="s">
        <v>2441</v>
      </c>
      <c r="D43" t="s">
        <v>28</v>
      </c>
      <c r="E43" t="s">
        <v>195</v>
      </c>
      <c r="F43" s="108">
        <v>45733</v>
      </c>
      <c r="G43">
        <v>4125</v>
      </c>
      <c r="H43" t="s">
        <v>208</v>
      </c>
      <c r="I43" t="s">
        <v>209</v>
      </c>
      <c r="J43" t="s">
        <v>160</v>
      </c>
      <c r="K43" t="s">
        <v>33</v>
      </c>
      <c r="L43" t="s">
        <v>210</v>
      </c>
      <c r="M43" t="s">
        <v>194</v>
      </c>
      <c r="N43" t="s">
        <v>36</v>
      </c>
      <c r="O43">
        <v>1</v>
      </c>
      <c r="Q43" t="s">
        <v>194</v>
      </c>
      <c r="R43">
        <v>75</v>
      </c>
      <c r="S43">
        <v>100</v>
      </c>
      <c r="T43">
        <v>175</v>
      </c>
      <c r="U43" s="108">
        <v>45742</v>
      </c>
    </row>
    <row r="44" spans="1:23">
      <c r="A44" t="s">
        <v>25</v>
      </c>
      <c r="B44" t="s">
        <v>26</v>
      </c>
      <c r="C44" t="s">
        <v>2441</v>
      </c>
      <c r="D44" t="s">
        <v>28</v>
      </c>
      <c r="E44" t="s">
        <v>195</v>
      </c>
      <c r="F44" s="108">
        <v>45733</v>
      </c>
      <c r="G44">
        <v>4069</v>
      </c>
      <c r="H44" t="s">
        <v>211</v>
      </c>
      <c r="I44" t="s">
        <v>212</v>
      </c>
      <c r="J44" t="s">
        <v>160</v>
      </c>
      <c r="K44" t="s">
        <v>33</v>
      </c>
      <c r="L44" t="s">
        <v>213</v>
      </c>
      <c r="M44" t="s">
        <v>55</v>
      </c>
      <c r="N44" t="s">
        <v>36</v>
      </c>
      <c r="O44">
        <v>1</v>
      </c>
      <c r="Q44" t="s">
        <v>55</v>
      </c>
      <c r="R44">
        <v>75</v>
      </c>
      <c r="S44">
        <v>163.75</v>
      </c>
      <c r="T44">
        <v>238.75</v>
      </c>
      <c r="U44" s="108">
        <v>45793</v>
      </c>
    </row>
    <row r="45" spans="1:23">
      <c r="A45" t="s">
        <v>25</v>
      </c>
      <c r="B45" t="s">
        <v>26</v>
      </c>
      <c r="C45" t="s">
        <v>2441</v>
      </c>
      <c r="D45" t="s">
        <v>28</v>
      </c>
      <c r="E45" t="s">
        <v>195</v>
      </c>
      <c r="F45" s="108">
        <v>45733</v>
      </c>
      <c r="G45">
        <v>4084</v>
      </c>
      <c r="H45" t="s">
        <v>214</v>
      </c>
      <c r="I45" t="s">
        <v>215</v>
      </c>
      <c r="J45" t="s">
        <v>216</v>
      </c>
      <c r="K45" t="s">
        <v>33</v>
      </c>
      <c r="L45" t="s">
        <v>217</v>
      </c>
      <c r="M45" t="s">
        <v>218</v>
      </c>
      <c r="N45" t="s">
        <v>36</v>
      </c>
      <c r="O45">
        <v>1</v>
      </c>
      <c r="Q45" t="s">
        <v>219</v>
      </c>
      <c r="R45">
        <v>75</v>
      </c>
      <c r="S45">
        <v>235</v>
      </c>
      <c r="T45">
        <v>310</v>
      </c>
      <c r="U45" s="108">
        <v>45793</v>
      </c>
    </row>
    <row r="46" spans="1:23">
      <c r="A46" t="s">
        <v>25</v>
      </c>
      <c r="B46" t="s">
        <v>26</v>
      </c>
      <c r="C46" t="s">
        <v>2441</v>
      </c>
      <c r="D46" t="s">
        <v>28</v>
      </c>
      <c r="E46" t="s">
        <v>29</v>
      </c>
      <c r="F46" s="108">
        <v>45744</v>
      </c>
      <c r="G46">
        <v>4100</v>
      </c>
      <c r="H46" t="s">
        <v>220</v>
      </c>
      <c r="I46" t="s">
        <v>221</v>
      </c>
      <c r="J46" t="s">
        <v>222</v>
      </c>
      <c r="K46" t="s">
        <v>33</v>
      </c>
      <c r="L46" t="s">
        <v>223</v>
      </c>
      <c r="M46" t="s">
        <v>55</v>
      </c>
      <c r="N46" t="s">
        <v>36</v>
      </c>
      <c r="O46">
        <v>1</v>
      </c>
      <c r="Q46" t="s">
        <v>55</v>
      </c>
      <c r="R46">
        <v>75</v>
      </c>
      <c r="S46">
        <v>163.75</v>
      </c>
      <c r="T46">
        <v>238.75</v>
      </c>
      <c r="U46" s="108">
        <v>45793</v>
      </c>
    </row>
    <row r="47" spans="1:23">
      <c r="A47" t="s">
        <v>25</v>
      </c>
      <c r="B47" t="s">
        <v>26</v>
      </c>
      <c r="C47" t="s">
        <v>2441</v>
      </c>
      <c r="D47" t="s">
        <v>28</v>
      </c>
      <c r="E47" t="s">
        <v>29</v>
      </c>
      <c r="F47" s="108">
        <v>45744</v>
      </c>
      <c r="G47">
        <v>4120</v>
      </c>
      <c r="H47" t="s">
        <v>224</v>
      </c>
      <c r="I47" t="s">
        <v>225</v>
      </c>
      <c r="J47" t="s">
        <v>226</v>
      </c>
      <c r="K47" t="s">
        <v>33</v>
      </c>
      <c r="L47" t="s">
        <v>227</v>
      </c>
      <c r="M47" t="s">
        <v>138</v>
      </c>
      <c r="N47" t="s">
        <v>36</v>
      </c>
      <c r="O47">
        <v>1</v>
      </c>
      <c r="Q47" t="s">
        <v>138</v>
      </c>
      <c r="R47">
        <v>75</v>
      </c>
      <c r="S47">
        <v>215</v>
      </c>
      <c r="T47">
        <v>290</v>
      </c>
      <c r="U47" s="108">
        <v>45793</v>
      </c>
    </row>
    <row r="48" spans="1:23">
      <c r="A48" t="s">
        <v>25</v>
      </c>
      <c r="B48" t="s">
        <v>26</v>
      </c>
      <c r="C48" t="s">
        <v>2441</v>
      </c>
      <c r="D48" t="s">
        <v>28</v>
      </c>
      <c r="E48" t="s">
        <v>29</v>
      </c>
      <c r="F48" s="108">
        <v>45744</v>
      </c>
      <c r="G48">
        <v>4119</v>
      </c>
      <c r="H48" t="s">
        <v>228</v>
      </c>
      <c r="I48" t="s">
        <v>229</v>
      </c>
      <c r="J48" t="s">
        <v>222</v>
      </c>
      <c r="K48" t="s">
        <v>33</v>
      </c>
      <c r="L48" t="s">
        <v>223</v>
      </c>
      <c r="M48" t="s">
        <v>55</v>
      </c>
      <c r="N48" t="s">
        <v>36</v>
      </c>
      <c r="O48">
        <v>1</v>
      </c>
      <c r="Q48" t="s">
        <v>55</v>
      </c>
      <c r="R48">
        <v>75</v>
      </c>
      <c r="S48">
        <v>163.75</v>
      </c>
      <c r="T48">
        <v>238.75</v>
      </c>
      <c r="U48" s="108">
        <v>45793</v>
      </c>
    </row>
    <row r="49" spans="1:23">
      <c r="A49" t="s">
        <v>25</v>
      </c>
      <c r="B49" t="s">
        <v>26</v>
      </c>
      <c r="C49" t="s">
        <v>2441</v>
      </c>
      <c r="D49" t="s">
        <v>28</v>
      </c>
      <c r="E49" t="s">
        <v>29</v>
      </c>
      <c r="F49" s="108">
        <v>45744</v>
      </c>
      <c r="G49">
        <v>4118</v>
      </c>
      <c r="H49" t="s">
        <v>230</v>
      </c>
      <c r="I49" t="s">
        <v>231</v>
      </c>
      <c r="J49" t="s">
        <v>232</v>
      </c>
      <c r="K49" t="s">
        <v>48</v>
      </c>
      <c r="L49" t="s">
        <v>233</v>
      </c>
      <c r="M49" t="s">
        <v>71</v>
      </c>
      <c r="N49" t="s">
        <v>36</v>
      </c>
      <c r="O49">
        <v>1</v>
      </c>
      <c r="Q49" t="s">
        <v>234</v>
      </c>
      <c r="R49">
        <v>75</v>
      </c>
      <c r="S49">
        <v>0</v>
      </c>
      <c r="T49">
        <v>75</v>
      </c>
      <c r="U49" s="108">
        <v>45793</v>
      </c>
      <c r="W49" t="s">
        <v>235</v>
      </c>
    </row>
    <row r="50" spans="1:23">
      <c r="A50" t="s">
        <v>25</v>
      </c>
      <c r="B50" t="s">
        <v>26</v>
      </c>
      <c r="C50" t="s">
        <v>2441</v>
      </c>
      <c r="D50" t="s">
        <v>28</v>
      </c>
      <c r="E50" t="s">
        <v>29</v>
      </c>
      <c r="F50" s="108">
        <v>45744</v>
      </c>
      <c r="G50">
        <v>4116</v>
      </c>
      <c r="H50" t="s">
        <v>236</v>
      </c>
      <c r="I50" t="s">
        <v>237</v>
      </c>
      <c r="J50" t="s">
        <v>222</v>
      </c>
      <c r="K50" t="s">
        <v>33</v>
      </c>
      <c r="L50" t="s">
        <v>238</v>
      </c>
      <c r="M50" t="s">
        <v>66</v>
      </c>
      <c r="N50" t="s">
        <v>36</v>
      </c>
      <c r="O50">
        <v>1</v>
      </c>
      <c r="Q50" t="s">
        <v>66</v>
      </c>
      <c r="R50">
        <v>75</v>
      </c>
      <c r="S50">
        <v>120</v>
      </c>
      <c r="T50">
        <v>195</v>
      </c>
      <c r="U50" s="108">
        <v>45793</v>
      </c>
    </row>
    <row r="51" spans="1:23">
      <c r="A51" t="s">
        <v>25</v>
      </c>
      <c r="B51" t="s">
        <v>26</v>
      </c>
      <c r="C51" t="s">
        <v>2441</v>
      </c>
      <c r="D51" t="s">
        <v>28</v>
      </c>
      <c r="E51" t="s">
        <v>29</v>
      </c>
      <c r="F51" s="108">
        <v>45744</v>
      </c>
      <c r="G51">
        <v>4115</v>
      </c>
      <c r="H51" t="s">
        <v>239</v>
      </c>
      <c r="I51" t="s">
        <v>240</v>
      </c>
      <c r="J51" t="s">
        <v>222</v>
      </c>
      <c r="K51" t="s">
        <v>33</v>
      </c>
      <c r="L51" t="s">
        <v>241</v>
      </c>
      <c r="M51" t="s">
        <v>55</v>
      </c>
      <c r="N51" t="s">
        <v>36</v>
      </c>
      <c r="O51">
        <v>1</v>
      </c>
      <c r="Q51" t="s">
        <v>55</v>
      </c>
      <c r="R51">
        <v>75</v>
      </c>
      <c r="S51">
        <v>163.75</v>
      </c>
      <c r="T51">
        <v>238.75</v>
      </c>
      <c r="U51" s="108">
        <v>45793</v>
      </c>
    </row>
    <row r="52" spans="1:23">
      <c r="A52" t="s">
        <v>25</v>
      </c>
      <c r="B52" t="s">
        <v>26</v>
      </c>
      <c r="C52" t="s">
        <v>2441</v>
      </c>
      <c r="D52" t="s">
        <v>28</v>
      </c>
      <c r="E52" t="s">
        <v>29</v>
      </c>
      <c r="F52" s="108">
        <v>45744</v>
      </c>
      <c r="G52">
        <v>4114</v>
      </c>
      <c r="H52" t="s">
        <v>79</v>
      </c>
      <c r="I52" t="s">
        <v>80</v>
      </c>
      <c r="J52" t="s">
        <v>232</v>
      </c>
      <c r="K52" t="s">
        <v>48</v>
      </c>
      <c r="L52" t="s">
        <v>227</v>
      </c>
      <c r="M52" t="s">
        <v>117</v>
      </c>
      <c r="N52" t="s">
        <v>36</v>
      </c>
      <c r="O52">
        <v>1</v>
      </c>
      <c r="Q52" t="s">
        <v>117</v>
      </c>
      <c r="R52">
        <v>75</v>
      </c>
      <c r="S52">
        <v>0</v>
      </c>
      <c r="T52">
        <v>75</v>
      </c>
      <c r="U52" s="108">
        <v>45793</v>
      </c>
    </row>
    <row r="53" spans="1:23">
      <c r="A53" t="s">
        <v>25</v>
      </c>
      <c r="B53" t="s">
        <v>26</v>
      </c>
      <c r="C53" t="s">
        <v>2441</v>
      </c>
      <c r="D53" t="s">
        <v>28</v>
      </c>
      <c r="E53" t="s">
        <v>29</v>
      </c>
      <c r="F53" s="108">
        <v>45744</v>
      </c>
      <c r="G53">
        <v>4113</v>
      </c>
      <c r="H53" t="s">
        <v>242</v>
      </c>
      <c r="I53" t="s">
        <v>243</v>
      </c>
      <c r="J53" t="s">
        <v>232</v>
      </c>
      <c r="K53" t="s">
        <v>48</v>
      </c>
      <c r="L53" t="s">
        <v>227</v>
      </c>
      <c r="M53" t="s">
        <v>117</v>
      </c>
      <c r="N53" t="s">
        <v>36</v>
      </c>
      <c r="O53">
        <v>1</v>
      </c>
      <c r="Q53" t="s">
        <v>117</v>
      </c>
      <c r="R53">
        <v>75</v>
      </c>
      <c r="S53">
        <v>0</v>
      </c>
      <c r="T53">
        <v>75</v>
      </c>
      <c r="U53" s="108">
        <v>45793</v>
      </c>
    </row>
    <row r="54" spans="1:23">
      <c r="A54" t="s">
        <v>25</v>
      </c>
      <c r="B54" t="s">
        <v>26</v>
      </c>
      <c r="C54" t="s">
        <v>2441</v>
      </c>
      <c r="D54" t="s">
        <v>28</v>
      </c>
      <c r="E54" t="s">
        <v>29</v>
      </c>
      <c r="F54" s="108">
        <v>45744</v>
      </c>
      <c r="G54">
        <v>4112</v>
      </c>
      <c r="H54" t="s">
        <v>244</v>
      </c>
      <c r="I54" t="s">
        <v>245</v>
      </c>
      <c r="J54" t="s">
        <v>246</v>
      </c>
      <c r="K54" t="s">
        <v>48</v>
      </c>
      <c r="L54" t="s">
        <v>247</v>
      </c>
      <c r="M54" t="s">
        <v>71</v>
      </c>
      <c r="N54" t="s">
        <v>36</v>
      </c>
      <c r="O54">
        <v>1</v>
      </c>
      <c r="Q54" t="s">
        <v>71</v>
      </c>
      <c r="R54">
        <v>75</v>
      </c>
      <c r="S54">
        <v>0</v>
      </c>
      <c r="T54">
        <v>75</v>
      </c>
      <c r="U54" s="108">
        <v>45793</v>
      </c>
    </row>
    <row r="55" spans="1:23">
      <c r="A55" t="s">
        <v>25</v>
      </c>
      <c r="B55" t="s">
        <v>26</v>
      </c>
      <c r="C55" t="s">
        <v>2441</v>
      </c>
      <c r="D55" t="s">
        <v>28</v>
      </c>
      <c r="E55" t="s">
        <v>29</v>
      </c>
      <c r="F55" s="108">
        <v>45744</v>
      </c>
      <c r="G55">
        <v>4111</v>
      </c>
      <c r="H55" t="s">
        <v>248</v>
      </c>
      <c r="I55" t="s">
        <v>249</v>
      </c>
      <c r="J55" t="s">
        <v>222</v>
      </c>
      <c r="K55" t="s">
        <v>33</v>
      </c>
      <c r="L55" t="s">
        <v>250</v>
      </c>
      <c r="M55" t="s">
        <v>251</v>
      </c>
      <c r="N55" t="s">
        <v>36</v>
      </c>
      <c r="O55">
        <v>1</v>
      </c>
      <c r="Q55" t="s">
        <v>252</v>
      </c>
      <c r="R55">
        <v>75</v>
      </c>
      <c r="S55">
        <v>215</v>
      </c>
      <c r="T55">
        <v>290</v>
      </c>
      <c r="U55" s="108">
        <v>45814</v>
      </c>
    </row>
    <row r="56" spans="1:23">
      <c r="A56" t="s">
        <v>25</v>
      </c>
      <c r="B56" t="s">
        <v>26</v>
      </c>
      <c r="C56" t="s">
        <v>2441</v>
      </c>
      <c r="D56" t="s">
        <v>28</v>
      </c>
      <c r="E56" t="s">
        <v>29</v>
      </c>
      <c r="F56" s="108">
        <v>45744</v>
      </c>
      <c r="G56">
        <v>4110</v>
      </c>
      <c r="H56" t="s">
        <v>253</v>
      </c>
      <c r="I56" t="s">
        <v>254</v>
      </c>
      <c r="J56" t="s">
        <v>222</v>
      </c>
      <c r="K56" t="s">
        <v>33</v>
      </c>
      <c r="L56" t="s">
        <v>227</v>
      </c>
      <c r="M56" t="s">
        <v>71</v>
      </c>
      <c r="N56" t="s">
        <v>36</v>
      </c>
      <c r="O56">
        <v>1</v>
      </c>
      <c r="Q56" t="s">
        <v>71</v>
      </c>
      <c r="R56">
        <v>75</v>
      </c>
      <c r="S56">
        <v>120</v>
      </c>
      <c r="T56">
        <v>195</v>
      </c>
      <c r="U56" s="108">
        <v>45805</v>
      </c>
    </row>
    <row r="57" spans="1:23">
      <c r="A57" t="s">
        <v>25</v>
      </c>
      <c r="B57" t="s">
        <v>26</v>
      </c>
      <c r="C57" t="s">
        <v>2441</v>
      </c>
      <c r="D57" t="s">
        <v>28</v>
      </c>
      <c r="E57" t="s">
        <v>29</v>
      </c>
      <c r="F57" s="108">
        <v>45744</v>
      </c>
      <c r="G57">
        <v>4109</v>
      </c>
      <c r="H57" t="s">
        <v>255</v>
      </c>
      <c r="I57" t="s">
        <v>256</v>
      </c>
      <c r="J57" t="s">
        <v>257</v>
      </c>
      <c r="K57" t="s">
        <v>33</v>
      </c>
      <c r="L57" t="s">
        <v>227</v>
      </c>
      <c r="M57" t="s">
        <v>258</v>
      </c>
      <c r="N57" t="s">
        <v>36</v>
      </c>
      <c r="O57">
        <v>1</v>
      </c>
      <c r="Q57" t="s">
        <v>259</v>
      </c>
      <c r="R57">
        <v>75</v>
      </c>
      <c r="S57">
        <v>320</v>
      </c>
      <c r="T57">
        <v>395</v>
      </c>
      <c r="U57" s="108">
        <v>45814</v>
      </c>
    </row>
    <row r="58" spans="1:23">
      <c r="A58" t="s">
        <v>25</v>
      </c>
      <c r="B58" t="s">
        <v>26</v>
      </c>
      <c r="C58" t="s">
        <v>2441</v>
      </c>
      <c r="D58" t="s">
        <v>28</v>
      </c>
      <c r="E58" t="s">
        <v>29</v>
      </c>
      <c r="F58" s="108">
        <v>45744</v>
      </c>
      <c r="G58">
        <v>4107</v>
      </c>
      <c r="H58" t="s">
        <v>30</v>
      </c>
      <c r="I58" t="s">
        <v>31</v>
      </c>
      <c r="J58" t="s">
        <v>160</v>
      </c>
      <c r="K58" t="s">
        <v>33</v>
      </c>
      <c r="L58" t="s">
        <v>260</v>
      </c>
      <c r="M58" t="s">
        <v>261</v>
      </c>
      <c r="N58" t="s">
        <v>36</v>
      </c>
      <c r="O58">
        <v>1</v>
      </c>
      <c r="P58" t="s">
        <v>263</v>
      </c>
      <c r="Q58" t="s">
        <v>261</v>
      </c>
      <c r="R58">
        <v>75</v>
      </c>
      <c r="S58">
        <v>215</v>
      </c>
      <c r="T58">
        <v>290</v>
      </c>
      <c r="U58" s="108">
        <v>45898</v>
      </c>
    </row>
    <row r="59" spans="1:23">
      <c r="A59" t="s">
        <v>25</v>
      </c>
      <c r="B59" t="s">
        <v>26</v>
      </c>
      <c r="C59" t="s">
        <v>2441</v>
      </c>
      <c r="D59" t="s">
        <v>28</v>
      </c>
      <c r="E59" t="s">
        <v>29</v>
      </c>
      <c r="F59" s="108">
        <v>45744</v>
      </c>
      <c r="G59">
        <v>4105</v>
      </c>
      <c r="H59" t="s">
        <v>264</v>
      </c>
      <c r="I59" t="s">
        <v>265</v>
      </c>
      <c r="J59" t="s">
        <v>222</v>
      </c>
      <c r="K59" t="s">
        <v>33</v>
      </c>
      <c r="L59" t="s">
        <v>266</v>
      </c>
      <c r="M59" t="s">
        <v>55</v>
      </c>
      <c r="N59" t="s">
        <v>36</v>
      </c>
      <c r="O59">
        <v>1</v>
      </c>
      <c r="P59" t="s">
        <v>267</v>
      </c>
      <c r="Q59" t="s">
        <v>55</v>
      </c>
      <c r="R59">
        <v>75</v>
      </c>
      <c r="S59">
        <v>109.09</v>
      </c>
      <c r="T59">
        <v>184.09</v>
      </c>
      <c r="U59" s="108">
        <v>45821</v>
      </c>
    </row>
    <row r="60" spans="1:23">
      <c r="A60" t="s">
        <v>25</v>
      </c>
      <c r="B60" t="s">
        <v>26</v>
      </c>
      <c r="C60" t="s">
        <v>2441</v>
      </c>
      <c r="D60" t="s">
        <v>28</v>
      </c>
      <c r="E60" t="s">
        <v>29</v>
      </c>
      <c r="F60" s="108">
        <v>45744</v>
      </c>
      <c r="G60">
        <v>4104</v>
      </c>
      <c r="H60" t="s">
        <v>268</v>
      </c>
      <c r="I60" t="s">
        <v>269</v>
      </c>
      <c r="J60" t="s">
        <v>270</v>
      </c>
      <c r="K60" t="s">
        <v>33</v>
      </c>
      <c r="L60" t="s">
        <v>227</v>
      </c>
      <c r="M60" t="s">
        <v>271</v>
      </c>
      <c r="N60" t="s">
        <v>36</v>
      </c>
      <c r="O60">
        <v>1</v>
      </c>
      <c r="Q60" t="s">
        <v>271</v>
      </c>
      <c r="R60">
        <v>75</v>
      </c>
      <c r="S60" t="s">
        <v>272</v>
      </c>
      <c r="T60">
        <v>75</v>
      </c>
      <c r="U60" s="108">
        <v>45805</v>
      </c>
    </row>
    <row r="61" spans="1:23">
      <c r="A61" t="s">
        <v>25</v>
      </c>
      <c r="B61" t="s">
        <v>26</v>
      </c>
      <c r="C61" t="s">
        <v>2441</v>
      </c>
      <c r="D61" t="s">
        <v>28</v>
      </c>
      <c r="E61" t="s">
        <v>29</v>
      </c>
      <c r="F61" s="108">
        <v>45744</v>
      </c>
      <c r="G61">
        <v>4103</v>
      </c>
      <c r="H61" t="s">
        <v>273</v>
      </c>
      <c r="I61" t="s">
        <v>274</v>
      </c>
      <c r="J61" t="s">
        <v>232</v>
      </c>
      <c r="K61" t="s">
        <v>48</v>
      </c>
      <c r="L61" t="s">
        <v>275</v>
      </c>
      <c r="M61" t="s">
        <v>276</v>
      </c>
      <c r="N61" t="s">
        <v>36</v>
      </c>
      <c r="O61">
        <v>1</v>
      </c>
      <c r="P61" t="s">
        <v>277</v>
      </c>
      <c r="Q61" t="s">
        <v>278</v>
      </c>
      <c r="R61">
        <v>75</v>
      </c>
      <c r="S61">
        <v>0</v>
      </c>
      <c r="T61">
        <v>75</v>
      </c>
      <c r="U61" s="108">
        <v>45805</v>
      </c>
    </row>
    <row r="62" spans="1:23">
      <c r="A62" t="s">
        <v>25</v>
      </c>
      <c r="B62" t="s">
        <v>26</v>
      </c>
      <c r="C62" t="s">
        <v>2441</v>
      </c>
      <c r="D62" t="s">
        <v>28</v>
      </c>
      <c r="E62" t="s">
        <v>29</v>
      </c>
      <c r="F62" s="108">
        <v>45744</v>
      </c>
      <c r="G62">
        <v>4102</v>
      </c>
      <c r="H62" t="s">
        <v>279</v>
      </c>
      <c r="I62" t="s">
        <v>280</v>
      </c>
      <c r="J62" t="s">
        <v>222</v>
      </c>
      <c r="K62" t="s">
        <v>33</v>
      </c>
      <c r="L62" t="s">
        <v>227</v>
      </c>
      <c r="M62" t="s">
        <v>281</v>
      </c>
      <c r="N62" t="s">
        <v>36</v>
      </c>
      <c r="O62">
        <v>1</v>
      </c>
      <c r="Q62" t="s">
        <v>281</v>
      </c>
      <c r="R62">
        <v>75</v>
      </c>
      <c r="S62" t="s">
        <v>282</v>
      </c>
      <c r="T62">
        <v>75</v>
      </c>
      <c r="U62" s="108">
        <v>45805</v>
      </c>
    </row>
    <row r="63" spans="1:23">
      <c r="A63" t="s">
        <v>154</v>
      </c>
      <c r="B63" t="s">
        <v>155</v>
      </c>
      <c r="C63">
        <v>616866669</v>
      </c>
      <c r="D63" t="s">
        <v>156</v>
      </c>
      <c r="E63" t="s">
        <v>283</v>
      </c>
      <c r="F63" s="108">
        <v>45757</v>
      </c>
      <c r="G63">
        <v>4626</v>
      </c>
      <c r="H63" t="s">
        <v>284</v>
      </c>
      <c r="I63" t="s">
        <v>285</v>
      </c>
      <c r="J63" t="s">
        <v>165</v>
      </c>
      <c r="K63" t="s">
        <v>33</v>
      </c>
      <c r="L63" t="s">
        <v>286</v>
      </c>
      <c r="M63" t="s">
        <v>287</v>
      </c>
      <c r="N63" t="s">
        <v>36</v>
      </c>
      <c r="O63">
        <v>1</v>
      </c>
      <c r="Q63" t="s">
        <v>287</v>
      </c>
      <c r="R63">
        <v>75</v>
      </c>
      <c r="S63">
        <v>115</v>
      </c>
      <c r="T63">
        <v>190</v>
      </c>
      <c r="U63" s="108">
        <v>45814</v>
      </c>
    </row>
    <row r="64" spans="1:23">
      <c r="A64" t="s">
        <v>154</v>
      </c>
      <c r="B64" t="s">
        <v>155</v>
      </c>
      <c r="C64">
        <v>616866669</v>
      </c>
      <c r="D64" t="s">
        <v>156</v>
      </c>
      <c r="E64" t="s">
        <v>283</v>
      </c>
      <c r="F64" s="108">
        <v>45757</v>
      </c>
      <c r="G64">
        <v>4627</v>
      </c>
      <c r="H64" t="s">
        <v>288</v>
      </c>
      <c r="I64" t="s">
        <v>289</v>
      </c>
      <c r="J64" t="s">
        <v>165</v>
      </c>
      <c r="K64" t="s">
        <v>33</v>
      </c>
      <c r="L64" t="s">
        <v>290</v>
      </c>
      <c r="M64" t="s">
        <v>291</v>
      </c>
      <c r="N64" t="s">
        <v>36</v>
      </c>
      <c r="O64">
        <v>1</v>
      </c>
      <c r="Q64" t="s">
        <v>84</v>
      </c>
      <c r="R64">
        <v>75</v>
      </c>
      <c r="S64" t="s">
        <v>272</v>
      </c>
      <c r="T64">
        <v>75</v>
      </c>
      <c r="U64" s="108">
        <v>45805</v>
      </c>
    </row>
    <row r="65" spans="1:21">
      <c r="A65" t="s">
        <v>154</v>
      </c>
      <c r="B65" t="s">
        <v>155</v>
      </c>
      <c r="C65">
        <v>616866669</v>
      </c>
      <c r="D65" t="s">
        <v>156</v>
      </c>
      <c r="E65" t="s">
        <v>283</v>
      </c>
      <c r="F65" s="108">
        <v>45757</v>
      </c>
      <c r="G65">
        <v>4628</v>
      </c>
      <c r="H65" t="s">
        <v>292</v>
      </c>
      <c r="I65" t="s">
        <v>293</v>
      </c>
      <c r="J65" t="s">
        <v>165</v>
      </c>
      <c r="K65" t="s">
        <v>33</v>
      </c>
      <c r="L65" t="s">
        <v>294</v>
      </c>
      <c r="M65" t="s">
        <v>295</v>
      </c>
      <c r="N65" t="s">
        <v>36</v>
      </c>
      <c r="O65">
        <v>1</v>
      </c>
      <c r="Q65" t="s">
        <v>295</v>
      </c>
      <c r="R65">
        <v>75</v>
      </c>
      <c r="S65">
        <v>335</v>
      </c>
      <c r="T65">
        <v>410</v>
      </c>
      <c r="U65" s="108">
        <v>45805</v>
      </c>
    </row>
    <row r="66" spans="1:21">
      <c r="A66" t="s">
        <v>154</v>
      </c>
      <c r="B66" t="s">
        <v>155</v>
      </c>
      <c r="C66">
        <v>616866669</v>
      </c>
      <c r="D66" t="s">
        <v>156</v>
      </c>
      <c r="E66" t="s">
        <v>283</v>
      </c>
      <c r="F66" s="108">
        <v>45757</v>
      </c>
      <c r="G66">
        <v>4629</v>
      </c>
      <c r="H66" t="s">
        <v>296</v>
      </c>
      <c r="I66" t="s">
        <v>297</v>
      </c>
      <c r="J66" t="s">
        <v>298</v>
      </c>
      <c r="K66" t="s">
        <v>33</v>
      </c>
      <c r="L66" t="s">
        <v>227</v>
      </c>
      <c r="M66" t="s">
        <v>66</v>
      </c>
      <c r="N66" t="s">
        <v>36</v>
      </c>
      <c r="O66">
        <v>1</v>
      </c>
      <c r="Q66" t="s">
        <v>66</v>
      </c>
      <c r="R66">
        <v>75</v>
      </c>
      <c r="S66">
        <v>120</v>
      </c>
      <c r="T66">
        <v>195</v>
      </c>
      <c r="U66" s="108">
        <v>45805</v>
      </c>
    </row>
    <row r="67" spans="1:21">
      <c r="A67" t="s">
        <v>154</v>
      </c>
      <c r="B67" t="s">
        <v>155</v>
      </c>
      <c r="C67">
        <v>616866669</v>
      </c>
      <c r="D67" t="s">
        <v>156</v>
      </c>
      <c r="E67" t="s">
        <v>283</v>
      </c>
      <c r="F67" s="108">
        <v>45757</v>
      </c>
      <c r="G67">
        <v>4630</v>
      </c>
      <c r="H67" t="s">
        <v>299</v>
      </c>
      <c r="I67" t="s">
        <v>300</v>
      </c>
      <c r="J67" t="s">
        <v>165</v>
      </c>
      <c r="K67" t="s">
        <v>33</v>
      </c>
      <c r="L67" t="s">
        <v>301</v>
      </c>
      <c r="M67" t="s">
        <v>71</v>
      </c>
      <c r="N67" t="s">
        <v>36</v>
      </c>
      <c r="O67">
        <v>1</v>
      </c>
      <c r="Q67" t="s">
        <v>71</v>
      </c>
      <c r="R67">
        <v>75</v>
      </c>
      <c r="S67">
        <v>120</v>
      </c>
      <c r="T67">
        <v>195</v>
      </c>
      <c r="U67" s="108">
        <v>45805</v>
      </c>
    </row>
    <row r="68" spans="1:21">
      <c r="A68" t="s">
        <v>154</v>
      </c>
      <c r="B68" t="s">
        <v>155</v>
      </c>
      <c r="C68">
        <v>616866669</v>
      </c>
      <c r="D68" t="s">
        <v>156</v>
      </c>
      <c r="E68" t="s">
        <v>283</v>
      </c>
      <c r="F68" s="108">
        <v>45757</v>
      </c>
      <c r="G68">
        <v>4631</v>
      </c>
      <c r="H68" t="s">
        <v>309</v>
      </c>
      <c r="I68" t="s">
        <v>310</v>
      </c>
      <c r="J68" t="s">
        <v>192</v>
      </c>
      <c r="K68" t="s">
        <v>33</v>
      </c>
      <c r="L68" t="s">
        <v>311</v>
      </c>
      <c r="M68" t="s">
        <v>71</v>
      </c>
      <c r="N68" t="s">
        <v>36</v>
      </c>
      <c r="O68">
        <v>1</v>
      </c>
      <c r="Q68" t="s">
        <v>71</v>
      </c>
      <c r="R68">
        <v>75</v>
      </c>
      <c r="S68" t="s">
        <v>282</v>
      </c>
      <c r="T68">
        <v>75</v>
      </c>
      <c r="U68" s="108">
        <v>45793</v>
      </c>
    </row>
    <row r="69" spans="1:21">
      <c r="A69" t="s">
        <v>154</v>
      </c>
      <c r="B69" t="s">
        <v>155</v>
      </c>
      <c r="C69">
        <v>616866669</v>
      </c>
      <c r="D69" t="s">
        <v>156</v>
      </c>
      <c r="E69" t="s">
        <v>283</v>
      </c>
      <c r="F69" s="108">
        <v>45757</v>
      </c>
      <c r="G69">
        <v>4632</v>
      </c>
      <c r="H69" t="s">
        <v>312</v>
      </c>
      <c r="I69" t="s">
        <v>313</v>
      </c>
      <c r="J69" t="s">
        <v>172</v>
      </c>
      <c r="K69" t="s">
        <v>48</v>
      </c>
      <c r="L69" t="s">
        <v>314</v>
      </c>
      <c r="M69" t="s">
        <v>34</v>
      </c>
      <c r="N69" t="s">
        <v>36</v>
      </c>
      <c r="O69">
        <v>1</v>
      </c>
      <c r="P69" t="s">
        <v>315</v>
      </c>
      <c r="Q69" t="s">
        <v>34</v>
      </c>
      <c r="R69">
        <v>75</v>
      </c>
      <c r="S69">
        <v>0</v>
      </c>
      <c r="T69">
        <v>75</v>
      </c>
      <c r="U69" s="108">
        <v>45821</v>
      </c>
    </row>
    <row r="70" spans="1:21">
      <c r="A70" t="s">
        <v>154</v>
      </c>
      <c r="B70" t="s">
        <v>155</v>
      </c>
      <c r="C70">
        <v>616866669</v>
      </c>
      <c r="D70" t="s">
        <v>156</v>
      </c>
      <c r="E70" t="s">
        <v>283</v>
      </c>
      <c r="F70" s="108">
        <v>45757</v>
      </c>
      <c r="G70">
        <v>4387</v>
      </c>
      <c r="H70" t="s">
        <v>316</v>
      </c>
      <c r="I70" t="s">
        <v>317</v>
      </c>
      <c r="J70" t="s">
        <v>318</v>
      </c>
      <c r="K70" t="s">
        <v>48</v>
      </c>
      <c r="L70" t="s">
        <v>319</v>
      </c>
      <c r="M70" t="s">
        <v>320</v>
      </c>
      <c r="N70" t="s">
        <v>36</v>
      </c>
      <c r="O70">
        <v>1</v>
      </c>
      <c r="Q70" t="s">
        <v>320</v>
      </c>
      <c r="R70">
        <v>75</v>
      </c>
      <c r="S70">
        <v>0</v>
      </c>
      <c r="T70">
        <v>75</v>
      </c>
      <c r="U70" s="108">
        <v>45805</v>
      </c>
    </row>
    <row r="71" spans="1:21">
      <c r="A71" t="s">
        <v>154</v>
      </c>
      <c r="B71" t="s">
        <v>155</v>
      </c>
      <c r="C71">
        <v>616866669</v>
      </c>
      <c r="D71" t="s">
        <v>156</v>
      </c>
      <c r="E71" t="s">
        <v>283</v>
      </c>
      <c r="F71" s="108">
        <v>45757</v>
      </c>
      <c r="G71">
        <v>4633</v>
      </c>
      <c r="H71" t="s">
        <v>321</v>
      </c>
      <c r="I71" t="s">
        <v>322</v>
      </c>
      <c r="J71" t="s">
        <v>165</v>
      </c>
      <c r="K71" t="s">
        <v>33</v>
      </c>
      <c r="L71" t="s">
        <v>323</v>
      </c>
      <c r="M71" t="s">
        <v>66</v>
      </c>
      <c r="N71" t="s">
        <v>36</v>
      </c>
      <c r="O71">
        <v>1</v>
      </c>
      <c r="Q71" t="s">
        <v>324</v>
      </c>
      <c r="R71">
        <v>75</v>
      </c>
      <c r="S71">
        <v>320</v>
      </c>
      <c r="T71">
        <v>395</v>
      </c>
      <c r="U71" s="108">
        <v>45805</v>
      </c>
    </row>
    <row r="72" spans="1:21">
      <c r="A72" t="s">
        <v>154</v>
      </c>
      <c r="B72" t="s">
        <v>155</v>
      </c>
      <c r="C72">
        <v>616866669</v>
      </c>
      <c r="D72" t="s">
        <v>156</v>
      </c>
      <c r="E72" t="s">
        <v>283</v>
      </c>
      <c r="F72" s="108">
        <v>45757</v>
      </c>
      <c r="G72">
        <v>4634</v>
      </c>
      <c r="H72" t="s">
        <v>325</v>
      </c>
      <c r="I72" t="s">
        <v>326</v>
      </c>
      <c r="J72" t="s">
        <v>165</v>
      </c>
      <c r="K72" t="s">
        <v>33</v>
      </c>
      <c r="L72" t="s">
        <v>327</v>
      </c>
      <c r="M72" t="s">
        <v>328</v>
      </c>
      <c r="N72" t="s">
        <v>36</v>
      </c>
      <c r="O72">
        <v>1</v>
      </c>
      <c r="Q72" t="s">
        <v>328</v>
      </c>
      <c r="R72">
        <v>75</v>
      </c>
      <c r="S72">
        <v>535</v>
      </c>
      <c r="T72">
        <v>610</v>
      </c>
      <c r="U72" s="108">
        <v>45814</v>
      </c>
    </row>
    <row r="73" spans="1:21">
      <c r="A73" t="s">
        <v>154</v>
      </c>
      <c r="B73" t="s">
        <v>155</v>
      </c>
      <c r="C73">
        <v>616866669</v>
      </c>
      <c r="D73" t="s">
        <v>156</v>
      </c>
      <c r="E73" t="s">
        <v>283</v>
      </c>
      <c r="F73" s="108">
        <v>45757</v>
      </c>
      <c r="G73">
        <v>4635</v>
      </c>
      <c r="H73" t="s">
        <v>329</v>
      </c>
      <c r="I73" t="s">
        <v>330</v>
      </c>
      <c r="J73" t="s">
        <v>165</v>
      </c>
      <c r="K73" t="s">
        <v>33</v>
      </c>
      <c r="L73" t="s">
        <v>319</v>
      </c>
      <c r="M73" t="s">
        <v>331</v>
      </c>
      <c r="N73" t="s">
        <v>36</v>
      </c>
      <c r="O73">
        <v>1</v>
      </c>
      <c r="Q73" t="s">
        <v>332</v>
      </c>
      <c r="R73">
        <v>75</v>
      </c>
      <c r="S73">
        <v>215</v>
      </c>
      <c r="T73">
        <v>290</v>
      </c>
      <c r="U73" s="108">
        <v>45814</v>
      </c>
    </row>
    <row r="74" spans="1:21">
      <c r="A74" t="s">
        <v>154</v>
      </c>
      <c r="B74" t="s">
        <v>155</v>
      </c>
      <c r="C74">
        <v>616866669</v>
      </c>
      <c r="D74" t="s">
        <v>156</v>
      </c>
      <c r="E74" t="s">
        <v>283</v>
      </c>
      <c r="F74" s="108">
        <v>45757</v>
      </c>
      <c r="G74">
        <v>4636</v>
      </c>
      <c r="H74" t="s">
        <v>333</v>
      </c>
      <c r="I74" t="s">
        <v>334</v>
      </c>
      <c r="J74" t="s">
        <v>165</v>
      </c>
      <c r="K74" t="s">
        <v>33</v>
      </c>
      <c r="L74" t="s">
        <v>335</v>
      </c>
      <c r="M74" t="s">
        <v>55</v>
      </c>
      <c r="N74" t="s">
        <v>36</v>
      </c>
      <c r="O74">
        <v>1</v>
      </c>
      <c r="Q74" t="s">
        <v>55</v>
      </c>
      <c r="R74">
        <v>75</v>
      </c>
      <c r="S74">
        <v>163.75</v>
      </c>
      <c r="T74">
        <v>238.75</v>
      </c>
      <c r="U74" s="108">
        <v>45814</v>
      </c>
    </row>
    <row r="75" spans="1:21">
      <c r="A75" t="s">
        <v>154</v>
      </c>
      <c r="B75" t="s">
        <v>155</v>
      </c>
      <c r="C75">
        <v>616866669</v>
      </c>
      <c r="D75" t="s">
        <v>156</v>
      </c>
      <c r="E75" t="s">
        <v>283</v>
      </c>
      <c r="F75" s="108">
        <v>45757</v>
      </c>
      <c r="G75">
        <v>4637</v>
      </c>
      <c r="H75" t="s">
        <v>336</v>
      </c>
      <c r="I75" t="s">
        <v>337</v>
      </c>
      <c r="J75" t="s">
        <v>160</v>
      </c>
      <c r="K75" t="s">
        <v>33</v>
      </c>
      <c r="L75" t="s">
        <v>338</v>
      </c>
      <c r="M75" t="s">
        <v>66</v>
      </c>
      <c r="N75" t="s">
        <v>36</v>
      </c>
      <c r="O75">
        <v>1</v>
      </c>
      <c r="Q75" t="s">
        <v>66</v>
      </c>
      <c r="R75">
        <v>75</v>
      </c>
      <c r="S75">
        <v>120</v>
      </c>
      <c r="T75">
        <v>195</v>
      </c>
      <c r="U75" s="108">
        <v>45805</v>
      </c>
    </row>
    <row r="76" spans="1:21">
      <c r="A76" t="s">
        <v>154</v>
      </c>
      <c r="B76" t="s">
        <v>155</v>
      </c>
      <c r="C76">
        <v>616866669</v>
      </c>
      <c r="D76" t="s">
        <v>156</v>
      </c>
      <c r="E76" t="s">
        <v>283</v>
      </c>
      <c r="F76" s="108">
        <v>45757</v>
      </c>
      <c r="G76">
        <v>4638</v>
      </c>
      <c r="H76" t="s">
        <v>339</v>
      </c>
      <c r="I76" t="s">
        <v>340</v>
      </c>
      <c r="J76" t="s">
        <v>165</v>
      </c>
      <c r="K76" t="s">
        <v>33</v>
      </c>
      <c r="L76" t="s">
        <v>341</v>
      </c>
      <c r="M76" t="s">
        <v>342</v>
      </c>
      <c r="N76" t="s">
        <v>36</v>
      </c>
      <c r="O76">
        <v>1</v>
      </c>
      <c r="Q76" t="s">
        <v>342</v>
      </c>
      <c r="R76">
        <v>75</v>
      </c>
      <c r="S76">
        <v>115</v>
      </c>
      <c r="T76">
        <v>190</v>
      </c>
      <c r="U76" s="108">
        <v>45814</v>
      </c>
    </row>
    <row r="77" spans="1:21">
      <c r="A77" t="s">
        <v>154</v>
      </c>
      <c r="B77" t="s">
        <v>155</v>
      </c>
      <c r="C77">
        <v>616866669</v>
      </c>
      <c r="D77" t="s">
        <v>156</v>
      </c>
      <c r="E77" t="s">
        <v>283</v>
      </c>
      <c r="F77" s="108">
        <v>45757</v>
      </c>
      <c r="G77">
        <v>4639</v>
      </c>
      <c r="H77" t="s">
        <v>343</v>
      </c>
      <c r="I77" t="s">
        <v>344</v>
      </c>
      <c r="J77" t="s">
        <v>345</v>
      </c>
      <c r="K77" t="s">
        <v>48</v>
      </c>
      <c r="L77" t="s">
        <v>346</v>
      </c>
      <c r="M77" t="s">
        <v>55</v>
      </c>
      <c r="N77" t="s">
        <v>36</v>
      </c>
      <c r="O77">
        <v>1</v>
      </c>
      <c r="P77" t="s">
        <v>347</v>
      </c>
      <c r="Q77" t="s">
        <v>348</v>
      </c>
      <c r="R77">
        <v>75</v>
      </c>
      <c r="S77">
        <v>0</v>
      </c>
      <c r="T77">
        <v>75</v>
      </c>
      <c r="U77" s="108">
        <v>45821</v>
      </c>
    </row>
    <row r="78" spans="1:21">
      <c r="A78" t="s">
        <v>154</v>
      </c>
      <c r="B78" t="s">
        <v>155</v>
      </c>
      <c r="C78">
        <v>616866669</v>
      </c>
      <c r="D78" t="s">
        <v>156</v>
      </c>
      <c r="E78" t="s">
        <v>283</v>
      </c>
      <c r="F78" s="108">
        <v>45757</v>
      </c>
      <c r="G78">
        <v>4640</v>
      </c>
      <c r="H78" t="s">
        <v>349</v>
      </c>
      <c r="I78" t="s">
        <v>350</v>
      </c>
      <c r="J78" t="s">
        <v>165</v>
      </c>
      <c r="K78" t="s">
        <v>33</v>
      </c>
      <c r="L78" t="s">
        <v>351</v>
      </c>
      <c r="M78" t="s">
        <v>352</v>
      </c>
      <c r="N78" t="s">
        <v>36</v>
      </c>
      <c r="O78">
        <v>1</v>
      </c>
      <c r="P78" t="s">
        <v>262</v>
      </c>
      <c r="Q78" t="s">
        <v>352</v>
      </c>
      <c r="R78">
        <v>75</v>
      </c>
      <c r="S78">
        <v>78.5</v>
      </c>
      <c r="T78">
        <v>153.5</v>
      </c>
      <c r="U78" s="108">
        <v>45821</v>
      </c>
    </row>
    <row r="79" spans="1:21">
      <c r="A79" t="s">
        <v>154</v>
      </c>
      <c r="B79" t="s">
        <v>155</v>
      </c>
      <c r="C79">
        <v>616866669</v>
      </c>
      <c r="D79" t="s">
        <v>156</v>
      </c>
      <c r="E79" t="s">
        <v>283</v>
      </c>
      <c r="F79" s="108">
        <v>45757</v>
      </c>
      <c r="G79">
        <v>4641</v>
      </c>
      <c r="H79" t="s">
        <v>353</v>
      </c>
      <c r="I79" t="s">
        <v>354</v>
      </c>
      <c r="J79" t="s">
        <v>165</v>
      </c>
      <c r="K79" t="s">
        <v>33</v>
      </c>
      <c r="L79" t="s">
        <v>355</v>
      </c>
      <c r="M79" t="s">
        <v>66</v>
      </c>
      <c r="N79" t="s">
        <v>36</v>
      </c>
      <c r="O79">
        <v>1</v>
      </c>
      <c r="P79" t="s">
        <v>356</v>
      </c>
      <c r="Q79" t="s">
        <v>357</v>
      </c>
      <c r="R79">
        <v>75</v>
      </c>
      <c r="S79">
        <v>120</v>
      </c>
      <c r="T79">
        <v>195</v>
      </c>
      <c r="U79" s="108">
        <v>45805</v>
      </c>
    </row>
    <row r="80" spans="1:21">
      <c r="A80" t="s">
        <v>154</v>
      </c>
      <c r="B80" t="s">
        <v>155</v>
      </c>
      <c r="C80">
        <v>616866669</v>
      </c>
      <c r="D80" t="s">
        <v>156</v>
      </c>
      <c r="E80" t="s">
        <v>283</v>
      </c>
      <c r="F80" s="108">
        <v>45757</v>
      </c>
      <c r="G80">
        <v>4642</v>
      </c>
      <c r="H80" t="s">
        <v>358</v>
      </c>
      <c r="I80" t="s">
        <v>359</v>
      </c>
      <c r="J80" t="s">
        <v>298</v>
      </c>
      <c r="K80" t="s">
        <v>33</v>
      </c>
      <c r="L80" t="s">
        <v>360</v>
      </c>
      <c r="M80" t="s">
        <v>66</v>
      </c>
      <c r="N80" t="s">
        <v>36</v>
      </c>
      <c r="O80">
        <v>1</v>
      </c>
      <c r="Q80" t="s">
        <v>361</v>
      </c>
      <c r="R80">
        <v>75</v>
      </c>
      <c r="S80">
        <v>778.75</v>
      </c>
      <c r="T80">
        <v>853.75</v>
      </c>
      <c r="U80" s="108">
        <v>45814</v>
      </c>
    </row>
    <row r="81" spans="1:23">
      <c r="A81" t="s">
        <v>154</v>
      </c>
      <c r="B81" t="s">
        <v>155</v>
      </c>
      <c r="C81">
        <v>616866669</v>
      </c>
      <c r="D81" t="s">
        <v>156</v>
      </c>
      <c r="E81" t="s">
        <v>283</v>
      </c>
      <c r="F81" s="108">
        <v>45757</v>
      </c>
      <c r="G81">
        <v>4643</v>
      </c>
      <c r="H81" t="s">
        <v>362</v>
      </c>
      <c r="I81" t="s">
        <v>363</v>
      </c>
      <c r="J81" t="s">
        <v>165</v>
      </c>
      <c r="K81" t="s">
        <v>33</v>
      </c>
      <c r="L81" t="s">
        <v>364</v>
      </c>
      <c r="M81" t="s">
        <v>365</v>
      </c>
      <c r="N81" t="s">
        <v>36</v>
      </c>
      <c r="O81">
        <v>1</v>
      </c>
      <c r="P81" t="s">
        <v>366</v>
      </c>
      <c r="Q81" t="s">
        <v>367</v>
      </c>
      <c r="R81">
        <v>75</v>
      </c>
      <c r="S81">
        <v>335</v>
      </c>
      <c r="T81">
        <v>410</v>
      </c>
      <c r="U81" s="108">
        <v>45898</v>
      </c>
      <c r="W81" t="s">
        <v>169</v>
      </c>
    </row>
    <row r="82" spans="1:23">
      <c r="A82" t="s">
        <v>25</v>
      </c>
      <c r="B82" t="s">
        <v>26</v>
      </c>
      <c r="C82" t="s">
        <v>2441</v>
      </c>
      <c r="D82" t="s">
        <v>28</v>
      </c>
      <c r="E82" t="s">
        <v>195</v>
      </c>
      <c r="F82" s="108">
        <v>45757</v>
      </c>
      <c r="G82">
        <v>4644</v>
      </c>
      <c r="H82" t="s">
        <v>368</v>
      </c>
      <c r="I82" t="s">
        <v>369</v>
      </c>
      <c r="J82" t="s">
        <v>201</v>
      </c>
      <c r="K82" t="s">
        <v>48</v>
      </c>
      <c r="L82" t="s">
        <v>351</v>
      </c>
      <c r="M82" t="s">
        <v>352</v>
      </c>
      <c r="N82" t="s">
        <v>36</v>
      </c>
      <c r="O82">
        <v>1</v>
      </c>
      <c r="P82" t="s">
        <v>262</v>
      </c>
      <c r="Q82" t="s">
        <v>352</v>
      </c>
      <c r="R82">
        <v>75</v>
      </c>
      <c r="S82">
        <v>119</v>
      </c>
      <c r="T82">
        <v>194</v>
      </c>
      <c r="U82" s="108">
        <v>45821</v>
      </c>
    </row>
    <row r="83" spans="1:23">
      <c r="A83" t="s">
        <v>25</v>
      </c>
      <c r="B83" t="s">
        <v>26</v>
      </c>
      <c r="C83" t="s">
        <v>2441</v>
      </c>
      <c r="D83" t="s">
        <v>28</v>
      </c>
      <c r="E83" t="s">
        <v>195</v>
      </c>
      <c r="F83" s="108">
        <v>45757</v>
      </c>
      <c r="G83">
        <v>4645</v>
      </c>
      <c r="H83" t="s">
        <v>370</v>
      </c>
      <c r="I83" t="s">
        <v>371</v>
      </c>
      <c r="J83" t="s">
        <v>160</v>
      </c>
      <c r="K83" t="s">
        <v>33</v>
      </c>
      <c r="L83" t="s">
        <v>241</v>
      </c>
      <c r="M83" t="s">
        <v>55</v>
      </c>
      <c r="N83" t="s">
        <v>36</v>
      </c>
      <c r="O83">
        <v>1</v>
      </c>
      <c r="Q83" t="s">
        <v>55</v>
      </c>
      <c r="R83">
        <v>75</v>
      </c>
      <c r="S83">
        <v>335</v>
      </c>
      <c r="T83">
        <v>410</v>
      </c>
      <c r="U83" s="108">
        <v>45805</v>
      </c>
    </row>
    <row r="84" spans="1:23">
      <c r="A84" t="s">
        <v>25</v>
      </c>
      <c r="B84" t="s">
        <v>26</v>
      </c>
      <c r="C84" t="s">
        <v>2441</v>
      </c>
      <c r="D84" t="s">
        <v>28</v>
      </c>
      <c r="E84" t="s">
        <v>195</v>
      </c>
      <c r="F84" s="108">
        <v>45757</v>
      </c>
      <c r="G84">
        <v>4646</v>
      </c>
      <c r="H84" t="s">
        <v>372</v>
      </c>
      <c r="I84" t="s">
        <v>373</v>
      </c>
      <c r="J84" t="s">
        <v>374</v>
      </c>
      <c r="K84" t="s">
        <v>33</v>
      </c>
      <c r="L84" t="s">
        <v>375</v>
      </c>
      <c r="M84" t="s">
        <v>376</v>
      </c>
      <c r="N84" t="s">
        <v>36</v>
      </c>
      <c r="O84">
        <v>1</v>
      </c>
      <c r="Q84" t="s">
        <v>376</v>
      </c>
      <c r="R84">
        <v>75</v>
      </c>
      <c r="S84">
        <v>220</v>
      </c>
      <c r="T84">
        <v>295</v>
      </c>
      <c r="U84" s="108">
        <v>45805</v>
      </c>
    </row>
    <row r="85" spans="1:23">
      <c r="A85" t="s">
        <v>25</v>
      </c>
      <c r="B85" t="s">
        <v>26</v>
      </c>
      <c r="C85" t="s">
        <v>2441</v>
      </c>
      <c r="D85" t="s">
        <v>28</v>
      </c>
      <c r="E85" t="s">
        <v>195</v>
      </c>
      <c r="F85" s="108">
        <v>45757</v>
      </c>
      <c r="G85">
        <v>4647</v>
      </c>
      <c r="H85" t="s">
        <v>377</v>
      </c>
      <c r="I85" t="s">
        <v>378</v>
      </c>
      <c r="J85" t="s">
        <v>379</v>
      </c>
      <c r="K85" t="s">
        <v>48</v>
      </c>
      <c r="L85" t="s">
        <v>241</v>
      </c>
      <c r="M85" t="s">
        <v>55</v>
      </c>
      <c r="N85" t="s">
        <v>36</v>
      </c>
      <c r="O85">
        <v>1</v>
      </c>
      <c r="Q85" t="s">
        <v>55</v>
      </c>
      <c r="R85">
        <v>75</v>
      </c>
      <c r="S85">
        <v>0</v>
      </c>
      <c r="T85">
        <v>75</v>
      </c>
      <c r="U85" s="108">
        <v>45805</v>
      </c>
    </row>
    <row r="86" spans="1:23">
      <c r="A86" t="s">
        <v>25</v>
      </c>
      <c r="B86" t="s">
        <v>26</v>
      </c>
      <c r="C86" t="s">
        <v>2441</v>
      </c>
      <c r="D86" t="s">
        <v>28</v>
      </c>
      <c r="E86" t="s">
        <v>195</v>
      </c>
      <c r="F86" s="108">
        <v>45757</v>
      </c>
      <c r="G86">
        <v>4648</v>
      </c>
      <c r="H86" t="s">
        <v>380</v>
      </c>
      <c r="I86" t="s">
        <v>381</v>
      </c>
      <c r="J86" t="s">
        <v>382</v>
      </c>
      <c r="K86" t="s">
        <v>33</v>
      </c>
      <c r="L86" t="s">
        <v>383</v>
      </c>
      <c r="M86" t="s">
        <v>384</v>
      </c>
      <c r="N86" t="s">
        <v>36</v>
      </c>
      <c r="O86">
        <v>1</v>
      </c>
      <c r="Q86" t="s">
        <v>385</v>
      </c>
      <c r="R86">
        <v>75</v>
      </c>
      <c r="S86">
        <v>115</v>
      </c>
      <c r="T86">
        <v>190</v>
      </c>
      <c r="U86" s="108">
        <v>45805</v>
      </c>
    </row>
    <row r="87" spans="1:23">
      <c r="A87" t="s">
        <v>25</v>
      </c>
      <c r="B87" t="s">
        <v>26</v>
      </c>
      <c r="C87" t="s">
        <v>2441</v>
      </c>
      <c r="D87" t="s">
        <v>28</v>
      </c>
      <c r="E87" t="s">
        <v>195</v>
      </c>
      <c r="F87" s="108">
        <v>45757</v>
      </c>
      <c r="G87">
        <v>4649</v>
      </c>
      <c r="H87" t="s">
        <v>386</v>
      </c>
      <c r="I87" t="s">
        <v>387</v>
      </c>
      <c r="J87" t="s">
        <v>382</v>
      </c>
      <c r="K87" t="s">
        <v>33</v>
      </c>
      <c r="L87" t="s">
        <v>213</v>
      </c>
      <c r="M87" t="s">
        <v>55</v>
      </c>
      <c r="N87" t="s">
        <v>36</v>
      </c>
      <c r="O87">
        <v>1</v>
      </c>
      <c r="P87" t="s">
        <v>267</v>
      </c>
      <c r="Q87" t="s">
        <v>55</v>
      </c>
      <c r="R87">
        <v>75</v>
      </c>
      <c r="S87">
        <v>106.61</v>
      </c>
      <c r="T87">
        <v>181.61</v>
      </c>
      <c r="U87" s="108">
        <v>45821</v>
      </c>
    </row>
    <row r="88" spans="1:23">
      <c r="A88" t="s">
        <v>25</v>
      </c>
      <c r="B88" t="s">
        <v>26</v>
      </c>
      <c r="C88" t="s">
        <v>2441</v>
      </c>
      <c r="D88" t="s">
        <v>28</v>
      </c>
      <c r="E88" t="s">
        <v>195</v>
      </c>
      <c r="F88" s="108">
        <v>45757</v>
      </c>
      <c r="G88">
        <v>4650</v>
      </c>
      <c r="H88" t="s">
        <v>388</v>
      </c>
      <c r="I88" t="s">
        <v>389</v>
      </c>
      <c r="J88" t="s">
        <v>382</v>
      </c>
      <c r="K88" t="s">
        <v>33</v>
      </c>
      <c r="L88" t="s">
        <v>213</v>
      </c>
      <c r="M88" t="s">
        <v>390</v>
      </c>
      <c r="N88" t="s">
        <v>36</v>
      </c>
      <c r="O88">
        <v>1</v>
      </c>
      <c r="Q88" t="s">
        <v>390</v>
      </c>
      <c r="R88">
        <v>75</v>
      </c>
      <c r="S88">
        <v>283.75</v>
      </c>
      <c r="T88">
        <v>358.75</v>
      </c>
      <c r="U88" s="108">
        <v>45805</v>
      </c>
    </row>
    <row r="89" spans="1:23">
      <c r="A89" t="s">
        <v>25</v>
      </c>
      <c r="B89" t="s">
        <v>26</v>
      </c>
      <c r="C89" t="s">
        <v>2441</v>
      </c>
      <c r="D89" t="s">
        <v>28</v>
      </c>
      <c r="E89" t="s">
        <v>195</v>
      </c>
      <c r="F89" s="108">
        <v>45757</v>
      </c>
      <c r="G89">
        <v>4651</v>
      </c>
      <c r="H89" t="s">
        <v>391</v>
      </c>
      <c r="I89" t="s">
        <v>392</v>
      </c>
      <c r="J89" t="s">
        <v>345</v>
      </c>
      <c r="K89" t="s">
        <v>48</v>
      </c>
      <c r="L89" t="s">
        <v>393</v>
      </c>
      <c r="M89" t="s">
        <v>66</v>
      </c>
      <c r="N89" t="s">
        <v>36</v>
      </c>
      <c r="O89">
        <v>1</v>
      </c>
      <c r="Q89" t="s">
        <v>66</v>
      </c>
      <c r="R89">
        <v>75</v>
      </c>
      <c r="S89">
        <v>0</v>
      </c>
      <c r="T89">
        <v>75</v>
      </c>
      <c r="U89" s="108">
        <v>45805</v>
      </c>
    </row>
    <row r="90" spans="1:23">
      <c r="A90" t="s">
        <v>25</v>
      </c>
      <c r="B90" t="s">
        <v>26</v>
      </c>
      <c r="C90" t="s">
        <v>2441</v>
      </c>
      <c r="D90" t="s">
        <v>28</v>
      </c>
      <c r="E90" t="s">
        <v>195</v>
      </c>
      <c r="F90" s="108">
        <v>45839</v>
      </c>
      <c r="G90" t="s">
        <v>394</v>
      </c>
      <c r="H90" t="s">
        <v>395</v>
      </c>
      <c r="I90" t="s">
        <v>396</v>
      </c>
      <c r="J90" t="s">
        <v>397</v>
      </c>
      <c r="K90" t="s">
        <v>48</v>
      </c>
      <c r="L90" t="s">
        <v>210</v>
      </c>
      <c r="M90" t="s">
        <v>194</v>
      </c>
      <c r="N90" t="s">
        <v>36</v>
      </c>
      <c r="O90">
        <v>1</v>
      </c>
      <c r="P90" t="s">
        <v>398</v>
      </c>
      <c r="Q90" t="s">
        <v>194</v>
      </c>
      <c r="R90">
        <v>75</v>
      </c>
      <c r="S90">
        <v>0</v>
      </c>
      <c r="T90">
        <v>75</v>
      </c>
      <c r="U90" s="108">
        <v>45805</v>
      </c>
      <c r="W90" t="s">
        <v>399</v>
      </c>
    </row>
    <row r="91" spans="1:23">
      <c r="A91" t="s">
        <v>25</v>
      </c>
      <c r="B91" t="s">
        <v>26</v>
      </c>
      <c r="C91" t="s">
        <v>2441</v>
      </c>
      <c r="D91" t="s">
        <v>28</v>
      </c>
      <c r="E91" t="s">
        <v>195</v>
      </c>
      <c r="F91" s="108">
        <v>45757</v>
      </c>
      <c r="G91">
        <v>4653</v>
      </c>
      <c r="H91" t="s">
        <v>400</v>
      </c>
      <c r="I91" t="s">
        <v>401</v>
      </c>
      <c r="J91" t="s">
        <v>160</v>
      </c>
      <c r="K91" t="s">
        <v>33</v>
      </c>
      <c r="L91" t="s">
        <v>402</v>
      </c>
      <c r="M91" t="s">
        <v>55</v>
      </c>
      <c r="N91" t="s">
        <v>36</v>
      </c>
      <c r="O91">
        <v>1</v>
      </c>
      <c r="P91" t="s">
        <v>262</v>
      </c>
      <c r="Q91" t="s">
        <v>55</v>
      </c>
      <c r="R91">
        <v>75</v>
      </c>
      <c r="S91">
        <v>132</v>
      </c>
      <c r="T91">
        <v>207</v>
      </c>
      <c r="U91" s="108">
        <v>45821</v>
      </c>
    </row>
    <row r="92" spans="1:23">
      <c r="A92" t="s">
        <v>25</v>
      </c>
      <c r="B92" t="s">
        <v>26</v>
      </c>
      <c r="C92" t="s">
        <v>2441</v>
      </c>
      <c r="D92" t="s">
        <v>28</v>
      </c>
      <c r="E92" t="s">
        <v>29</v>
      </c>
      <c r="F92" s="108">
        <v>45761</v>
      </c>
      <c r="G92">
        <v>4654</v>
      </c>
      <c r="H92" t="s">
        <v>403</v>
      </c>
      <c r="I92" t="s">
        <v>404</v>
      </c>
      <c r="J92" t="s">
        <v>115</v>
      </c>
      <c r="K92" t="s">
        <v>33</v>
      </c>
      <c r="L92" t="s">
        <v>405</v>
      </c>
      <c r="M92" t="s">
        <v>406</v>
      </c>
      <c r="N92" t="s">
        <v>36</v>
      </c>
      <c r="O92">
        <v>1</v>
      </c>
      <c r="Q92" t="s">
        <v>407</v>
      </c>
      <c r="R92">
        <v>75</v>
      </c>
      <c r="S92">
        <v>243.75</v>
      </c>
      <c r="T92">
        <v>318.75</v>
      </c>
      <c r="U92" s="108">
        <v>45814</v>
      </c>
    </row>
    <row r="93" spans="1:23">
      <c r="A93" t="s">
        <v>25</v>
      </c>
      <c r="B93" t="s">
        <v>26</v>
      </c>
      <c r="C93" t="s">
        <v>2441</v>
      </c>
      <c r="D93" t="s">
        <v>28</v>
      </c>
      <c r="E93" t="s">
        <v>29</v>
      </c>
      <c r="F93" s="108">
        <v>45761</v>
      </c>
      <c r="G93">
        <v>4656</v>
      </c>
      <c r="H93" t="s">
        <v>408</v>
      </c>
      <c r="I93" t="s">
        <v>409</v>
      </c>
      <c r="J93" t="s">
        <v>115</v>
      </c>
      <c r="K93" t="s">
        <v>33</v>
      </c>
      <c r="L93" t="s">
        <v>405</v>
      </c>
      <c r="M93" t="s">
        <v>55</v>
      </c>
      <c r="N93" t="s">
        <v>36</v>
      </c>
      <c r="O93">
        <v>1</v>
      </c>
      <c r="Q93" t="s">
        <v>55</v>
      </c>
      <c r="R93">
        <v>75</v>
      </c>
      <c r="S93">
        <v>163.75</v>
      </c>
      <c r="T93">
        <v>238.75</v>
      </c>
      <c r="U93" s="108">
        <v>45805</v>
      </c>
    </row>
    <row r="94" spans="1:23">
      <c r="A94" t="s">
        <v>25</v>
      </c>
      <c r="B94" t="s">
        <v>26</v>
      </c>
      <c r="C94" t="s">
        <v>2441</v>
      </c>
      <c r="D94" t="s">
        <v>28</v>
      </c>
      <c r="E94" t="s">
        <v>29</v>
      </c>
      <c r="F94" s="108">
        <v>45761</v>
      </c>
      <c r="G94">
        <v>4657</v>
      </c>
      <c r="H94" t="s">
        <v>410</v>
      </c>
      <c r="I94" t="s">
        <v>411</v>
      </c>
      <c r="J94" t="s">
        <v>115</v>
      </c>
      <c r="K94" t="s">
        <v>33</v>
      </c>
      <c r="L94" t="s">
        <v>412</v>
      </c>
      <c r="M94" t="s">
        <v>194</v>
      </c>
      <c r="N94" t="s">
        <v>36</v>
      </c>
      <c r="O94">
        <v>1</v>
      </c>
      <c r="P94" t="s">
        <v>413</v>
      </c>
      <c r="Q94" t="s">
        <v>194</v>
      </c>
      <c r="R94">
        <v>75</v>
      </c>
      <c r="S94">
        <v>52</v>
      </c>
      <c r="T94">
        <v>127</v>
      </c>
      <c r="U94" s="108">
        <v>45821</v>
      </c>
    </row>
    <row r="95" spans="1:23">
      <c r="A95" t="s">
        <v>25</v>
      </c>
      <c r="B95" t="s">
        <v>26</v>
      </c>
      <c r="C95" t="s">
        <v>2441</v>
      </c>
      <c r="D95" t="s">
        <v>28</v>
      </c>
      <c r="E95" t="s">
        <v>29</v>
      </c>
      <c r="F95" s="108">
        <v>45761</v>
      </c>
      <c r="G95">
        <v>4658</v>
      </c>
      <c r="H95" t="s">
        <v>414</v>
      </c>
      <c r="I95" t="s">
        <v>415</v>
      </c>
      <c r="J95" t="s">
        <v>115</v>
      </c>
      <c r="K95" t="s">
        <v>33</v>
      </c>
      <c r="L95" t="s">
        <v>173</v>
      </c>
      <c r="M95" t="s">
        <v>416</v>
      </c>
      <c r="N95" t="s">
        <v>36</v>
      </c>
      <c r="O95">
        <v>1</v>
      </c>
      <c r="Q95" t="s">
        <v>416</v>
      </c>
      <c r="R95">
        <v>75</v>
      </c>
      <c r="S95">
        <v>215</v>
      </c>
      <c r="T95">
        <v>290</v>
      </c>
      <c r="U95" s="108">
        <v>45814</v>
      </c>
    </row>
    <row r="96" spans="1:23">
      <c r="A96" t="s">
        <v>25</v>
      </c>
      <c r="B96" t="s">
        <v>26</v>
      </c>
      <c r="C96" t="s">
        <v>2441</v>
      </c>
      <c r="D96" t="s">
        <v>28</v>
      </c>
      <c r="E96" t="s">
        <v>29</v>
      </c>
      <c r="F96" s="108">
        <v>45761</v>
      </c>
      <c r="G96">
        <v>4659</v>
      </c>
      <c r="H96" t="s">
        <v>417</v>
      </c>
      <c r="I96" t="s">
        <v>418</v>
      </c>
      <c r="J96" t="s">
        <v>115</v>
      </c>
      <c r="K96" t="s">
        <v>33</v>
      </c>
      <c r="L96" t="s">
        <v>419</v>
      </c>
      <c r="M96" t="s">
        <v>251</v>
      </c>
      <c r="N96" t="s">
        <v>36</v>
      </c>
      <c r="O96">
        <v>1</v>
      </c>
      <c r="Q96" t="s">
        <v>420</v>
      </c>
      <c r="R96">
        <v>75</v>
      </c>
      <c r="S96">
        <v>215</v>
      </c>
      <c r="T96">
        <v>290</v>
      </c>
      <c r="U96" s="108">
        <v>45814</v>
      </c>
    </row>
    <row r="97" spans="1:21">
      <c r="A97" t="s">
        <v>25</v>
      </c>
      <c r="B97" t="s">
        <v>26</v>
      </c>
      <c r="C97" t="s">
        <v>2441</v>
      </c>
      <c r="D97" t="s">
        <v>28</v>
      </c>
      <c r="E97" t="s">
        <v>29</v>
      </c>
      <c r="F97" s="108">
        <v>45761</v>
      </c>
      <c r="G97">
        <v>4660</v>
      </c>
      <c r="H97" t="s">
        <v>421</v>
      </c>
      <c r="I97" t="s">
        <v>422</v>
      </c>
      <c r="J97" t="s">
        <v>115</v>
      </c>
      <c r="K97" t="s">
        <v>33</v>
      </c>
      <c r="L97" t="s">
        <v>419</v>
      </c>
      <c r="M97" t="s">
        <v>423</v>
      </c>
      <c r="N97" t="s">
        <v>36</v>
      </c>
      <c r="O97">
        <v>1</v>
      </c>
      <c r="Q97" t="s">
        <v>423</v>
      </c>
      <c r="R97">
        <v>75</v>
      </c>
      <c r="S97">
        <v>80</v>
      </c>
      <c r="T97">
        <v>155</v>
      </c>
      <c r="U97" s="108">
        <v>45814</v>
      </c>
    </row>
    <row r="98" spans="1:21">
      <c r="A98" t="s">
        <v>25</v>
      </c>
      <c r="B98" t="s">
        <v>26</v>
      </c>
      <c r="C98" t="s">
        <v>2441</v>
      </c>
      <c r="D98" t="s">
        <v>28</v>
      </c>
      <c r="E98" t="s">
        <v>29</v>
      </c>
      <c r="F98" s="108">
        <v>45761</v>
      </c>
      <c r="G98">
        <v>4661</v>
      </c>
      <c r="H98" t="s">
        <v>424</v>
      </c>
      <c r="I98" t="s">
        <v>425</v>
      </c>
      <c r="J98" t="s">
        <v>115</v>
      </c>
      <c r="K98" t="s">
        <v>33</v>
      </c>
      <c r="L98" t="s">
        <v>405</v>
      </c>
      <c r="M98" t="s">
        <v>55</v>
      </c>
      <c r="N98" t="s">
        <v>36</v>
      </c>
      <c r="O98">
        <v>1</v>
      </c>
      <c r="Q98" t="s">
        <v>55</v>
      </c>
      <c r="R98">
        <v>75</v>
      </c>
      <c r="S98">
        <v>163.75</v>
      </c>
      <c r="T98">
        <v>238.75</v>
      </c>
      <c r="U98" s="108">
        <v>45805</v>
      </c>
    </row>
    <row r="99" spans="1:21">
      <c r="A99" t="s">
        <v>25</v>
      </c>
      <c r="B99" t="s">
        <v>26</v>
      </c>
      <c r="C99" t="s">
        <v>2441</v>
      </c>
      <c r="D99" t="s">
        <v>28</v>
      </c>
      <c r="E99" t="s">
        <v>29</v>
      </c>
      <c r="F99" s="108">
        <v>45761</v>
      </c>
      <c r="G99">
        <v>4662</v>
      </c>
      <c r="H99" t="s">
        <v>426</v>
      </c>
      <c r="I99" t="s">
        <v>427</v>
      </c>
      <c r="J99" t="s">
        <v>428</v>
      </c>
      <c r="K99" t="s">
        <v>48</v>
      </c>
      <c r="L99" t="s">
        <v>429</v>
      </c>
      <c r="M99" t="s">
        <v>117</v>
      </c>
      <c r="N99" t="s">
        <v>36</v>
      </c>
      <c r="O99">
        <v>1</v>
      </c>
      <c r="P99" t="s">
        <v>347</v>
      </c>
      <c r="Q99" t="s">
        <v>117</v>
      </c>
      <c r="R99">
        <v>75</v>
      </c>
      <c r="S99">
        <v>0</v>
      </c>
      <c r="T99">
        <v>75</v>
      </c>
      <c r="U99" s="108">
        <v>45821</v>
      </c>
    </row>
    <row r="100" spans="1:21">
      <c r="A100" t="s">
        <v>25</v>
      </c>
      <c r="B100" t="s">
        <v>26</v>
      </c>
      <c r="C100" t="s">
        <v>2441</v>
      </c>
      <c r="D100" t="s">
        <v>28</v>
      </c>
      <c r="E100" t="s">
        <v>29</v>
      </c>
      <c r="F100" s="108">
        <v>45761</v>
      </c>
      <c r="G100">
        <v>4663</v>
      </c>
      <c r="H100" t="s">
        <v>430</v>
      </c>
      <c r="I100" t="s">
        <v>431</v>
      </c>
      <c r="J100" t="s">
        <v>432</v>
      </c>
      <c r="K100" t="s">
        <v>33</v>
      </c>
      <c r="L100" t="s">
        <v>419</v>
      </c>
      <c r="M100" t="s">
        <v>66</v>
      </c>
      <c r="N100" t="s">
        <v>36</v>
      </c>
      <c r="O100">
        <v>1</v>
      </c>
      <c r="Q100" t="s">
        <v>66</v>
      </c>
      <c r="R100">
        <v>75</v>
      </c>
      <c r="S100" t="s">
        <v>282</v>
      </c>
      <c r="T100">
        <v>75</v>
      </c>
      <c r="U100" s="108">
        <v>45805</v>
      </c>
    </row>
    <row r="101" spans="1:21">
      <c r="A101" t="s">
        <v>25</v>
      </c>
      <c r="B101" t="s">
        <v>26</v>
      </c>
      <c r="C101" t="s">
        <v>2441</v>
      </c>
      <c r="D101" t="s">
        <v>28</v>
      </c>
      <c r="E101" t="s">
        <v>29</v>
      </c>
      <c r="F101" s="108">
        <v>45761</v>
      </c>
      <c r="G101">
        <v>4664</v>
      </c>
      <c r="H101" t="s">
        <v>433</v>
      </c>
      <c r="I101" t="s">
        <v>434</v>
      </c>
      <c r="J101" t="s">
        <v>432</v>
      </c>
      <c r="K101" t="s">
        <v>33</v>
      </c>
      <c r="L101" t="s">
        <v>405</v>
      </c>
      <c r="M101" t="s">
        <v>348</v>
      </c>
      <c r="N101" t="s">
        <v>36</v>
      </c>
      <c r="O101">
        <v>1</v>
      </c>
      <c r="Q101" t="s">
        <v>348</v>
      </c>
      <c r="R101">
        <v>75</v>
      </c>
      <c r="S101">
        <v>163.75</v>
      </c>
      <c r="T101">
        <v>238.75</v>
      </c>
      <c r="U101" s="108">
        <v>45814</v>
      </c>
    </row>
    <row r="102" spans="1:21">
      <c r="A102" t="s">
        <v>25</v>
      </c>
      <c r="B102" t="s">
        <v>26</v>
      </c>
      <c r="C102" t="s">
        <v>2441</v>
      </c>
      <c r="D102" t="s">
        <v>28</v>
      </c>
      <c r="E102" t="s">
        <v>29</v>
      </c>
      <c r="F102" s="108">
        <v>45761</v>
      </c>
      <c r="G102">
        <v>4665</v>
      </c>
      <c r="H102" t="s">
        <v>435</v>
      </c>
      <c r="I102" t="s">
        <v>436</v>
      </c>
      <c r="J102" t="s">
        <v>115</v>
      </c>
      <c r="K102" t="s">
        <v>33</v>
      </c>
      <c r="L102" t="s">
        <v>437</v>
      </c>
      <c r="M102" t="s">
        <v>438</v>
      </c>
      <c r="N102" t="s">
        <v>36</v>
      </c>
      <c r="O102">
        <v>1</v>
      </c>
      <c r="Q102" t="s">
        <v>438</v>
      </c>
      <c r="R102">
        <v>75</v>
      </c>
      <c r="S102">
        <v>115</v>
      </c>
      <c r="T102">
        <v>190</v>
      </c>
      <c r="U102" s="108">
        <v>45814</v>
      </c>
    </row>
    <row r="103" spans="1:21">
      <c r="A103" t="s">
        <v>25</v>
      </c>
      <c r="B103" t="s">
        <v>26</v>
      </c>
      <c r="C103" t="s">
        <v>2441</v>
      </c>
      <c r="D103" t="s">
        <v>28</v>
      </c>
      <c r="E103" t="s">
        <v>29</v>
      </c>
      <c r="F103" s="108">
        <v>45761</v>
      </c>
      <c r="G103">
        <v>4666</v>
      </c>
      <c r="H103" t="s">
        <v>439</v>
      </c>
      <c r="I103" t="s">
        <v>440</v>
      </c>
      <c r="J103" t="s">
        <v>441</v>
      </c>
      <c r="K103" t="s">
        <v>33</v>
      </c>
      <c r="L103" t="s">
        <v>351</v>
      </c>
      <c r="M103" t="s">
        <v>442</v>
      </c>
      <c r="N103" t="s">
        <v>36</v>
      </c>
      <c r="O103">
        <v>1</v>
      </c>
      <c r="Q103" t="s">
        <v>442</v>
      </c>
      <c r="R103">
        <v>75</v>
      </c>
      <c r="S103">
        <v>483.75</v>
      </c>
      <c r="T103">
        <v>558.75</v>
      </c>
      <c r="U103" s="108">
        <v>45814</v>
      </c>
    </row>
    <row r="104" spans="1:21">
      <c r="A104" t="s">
        <v>25</v>
      </c>
      <c r="B104" t="s">
        <v>26</v>
      </c>
      <c r="C104" t="s">
        <v>2441</v>
      </c>
      <c r="D104" t="s">
        <v>28</v>
      </c>
      <c r="E104" t="s">
        <v>29</v>
      </c>
      <c r="F104" s="108">
        <v>45761</v>
      </c>
      <c r="G104" t="s">
        <v>443</v>
      </c>
      <c r="H104" t="s">
        <v>149</v>
      </c>
      <c r="I104" t="s">
        <v>150</v>
      </c>
      <c r="J104" t="s">
        <v>115</v>
      </c>
      <c r="K104" t="s">
        <v>33</v>
      </c>
      <c r="L104" t="s">
        <v>444</v>
      </c>
      <c r="M104" t="s">
        <v>445</v>
      </c>
      <c r="N104" t="s">
        <v>36</v>
      </c>
      <c r="O104">
        <v>1</v>
      </c>
      <c r="P104" t="s">
        <v>446</v>
      </c>
      <c r="Q104" t="s">
        <v>445</v>
      </c>
      <c r="R104">
        <v>75</v>
      </c>
      <c r="S104">
        <v>335</v>
      </c>
      <c r="T104">
        <v>410</v>
      </c>
      <c r="U104" s="108">
        <v>45898</v>
      </c>
    </row>
    <row r="105" spans="1:21">
      <c r="A105" t="s">
        <v>25</v>
      </c>
      <c r="B105" t="s">
        <v>26</v>
      </c>
      <c r="C105" t="s">
        <v>2441</v>
      </c>
      <c r="D105" t="s">
        <v>28</v>
      </c>
      <c r="E105" t="s">
        <v>29</v>
      </c>
      <c r="F105" s="108">
        <v>45761</v>
      </c>
      <c r="G105">
        <v>4668</v>
      </c>
      <c r="H105" t="s">
        <v>93</v>
      </c>
      <c r="I105" t="s">
        <v>94</v>
      </c>
      <c r="J105" t="s">
        <v>441</v>
      </c>
      <c r="K105" t="s">
        <v>33</v>
      </c>
      <c r="L105" t="s">
        <v>419</v>
      </c>
      <c r="M105" t="s">
        <v>447</v>
      </c>
      <c r="N105" t="s">
        <v>36</v>
      </c>
      <c r="O105">
        <v>1</v>
      </c>
      <c r="Q105" t="s">
        <v>447</v>
      </c>
      <c r="R105">
        <v>75</v>
      </c>
      <c r="S105">
        <v>120</v>
      </c>
      <c r="T105">
        <v>195</v>
      </c>
      <c r="U105" s="108">
        <v>45814</v>
      </c>
    </row>
    <row r="106" spans="1:21">
      <c r="A106" t="s">
        <v>25</v>
      </c>
      <c r="B106" t="s">
        <v>26</v>
      </c>
      <c r="C106" t="s">
        <v>2441</v>
      </c>
      <c r="D106" t="s">
        <v>28</v>
      </c>
      <c r="E106" t="s">
        <v>29</v>
      </c>
      <c r="F106" s="108">
        <v>45761</v>
      </c>
      <c r="G106">
        <v>4669</v>
      </c>
      <c r="H106" t="s">
        <v>448</v>
      </c>
      <c r="I106" t="s">
        <v>449</v>
      </c>
      <c r="J106" t="s">
        <v>115</v>
      </c>
      <c r="K106" t="s">
        <v>33</v>
      </c>
      <c r="L106" t="s">
        <v>419</v>
      </c>
      <c r="M106" t="s">
        <v>450</v>
      </c>
      <c r="N106" t="s">
        <v>36</v>
      </c>
      <c r="O106">
        <v>1</v>
      </c>
      <c r="P106" t="s">
        <v>413</v>
      </c>
      <c r="Q106" t="s">
        <v>450</v>
      </c>
      <c r="R106">
        <v>75</v>
      </c>
      <c r="S106">
        <v>260</v>
      </c>
      <c r="T106">
        <v>335</v>
      </c>
      <c r="U106" s="108">
        <v>45898</v>
      </c>
    </row>
    <row r="107" spans="1:21">
      <c r="A107" t="s">
        <v>25</v>
      </c>
      <c r="B107" t="s">
        <v>26</v>
      </c>
      <c r="C107" t="s">
        <v>2441</v>
      </c>
      <c r="D107" t="s">
        <v>28</v>
      </c>
      <c r="E107" t="s">
        <v>29</v>
      </c>
      <c r="F107" s="108">
        <v>45761</v>
      </c>
      <c r="G107">
        <v>4670</v>
      </c>
      <c r="H107" t="s">
        <v>451</v>
      </c>
      <c r="I107" t="s">
        <v>452</v>
      </c>
      <c r="J107" t="s">
        <v>115</v>
      </c>
      <c r="K107" t="s">
        <v>33</v>
      </c>
      <c r="L107" t="s">
        <v>419</v>
      </c>
      <c r="M107" t="s">
        <v>261</v>
      </c>
      <c r="N107" t="s">
        <v>36</v>
      </c>
      <c r="O107">
        <v>1</v>
      </c>
      <c r="P107" t="s">
        <v>453</v>
      </c>
      <c r="Q107" t="s">
        <v>261</v>
      </c>
      <c r="R107">
        <v>75</v>
      </c>
      <c r="S107">
        <v>215</v>
      </c>
      <c r="T107">
        <v>290</v>
      </c>
      <c r="U107" s="108">
        <v>45898</v>
      </c>
    </row>
    <row r="108" spans="1:21">
      <c r="A108" t="s">
        <v>25</v>
      </c>
      <c r="B108" t="s">
        <v>26</v>
      </c>
      <c r="C108" t="s">
        <v>2441</v>
      </c>
      <c r="D108" t="s">
        <v>28</v>
      </c>
      <c r="E108" t="s">
        <v>29</v>
      </c>
      <c r="F108" s="108">
        <v>45761</v>
      </c>
      <c r="G108">
        <v>4671</v>
      </c>
      <c r="H108" t="s">
        <v>454</v>
      </c>
      <c r="I108" t="s">
        <v>455</v>
      </c>
      <c r="J108" t="s">
        <v>115</v>
      </c>
      <c r="K108" t="s">
        <v>33</v>
      </c>
      <c r="L108" t="s">
        <v>456</v>
      </c>
      <c r="M108" t="s">
        <v>457</v>
      </c>
      <c r="N108" t="s">
        <v>36</v>
      </c>
      <c r="O108">
        <v>1</v>
      </c>
      <c r="P108" t="s">
        <v>262</v>
      </c>
      <c r="Q108" t="s">
        <v>457</v>
      </c>
      <c r="R108">
        <v>75</v>
      </c>
      <c r="S108">
        <v>132</v>
      </c>
      <c r="T108">
        <v>207</v>
      </c>
      <c r="U108" s="108">
        <v>45821</v>
      </c>
    </row>
    <row r="109" spans="1:21">
      <c r="A109" t="s">
        <v>25</v>
      </c>
      <c r="B109" t="s">
        <v>26</v>
      </c>
      <c r="C109" t="s">
        <v>2441</v>
      </c>
      <c r="D109" t="s">
        <v>28</v>
      </c>
      <c r="E109" t="s">
        <v>29</v>
      </c>
      <c r="F109" s="108">
        <v>45761</v>
      </c>
      <c r="G109">
        <v>4672</v>
      </c>
      <c r="H109" t="s">
        <v>458</v>
      </c>
      <c r="I109" t="s">
        <v>459</v>
      </c>
      <c r="J109" t="s">
        <v>441</v>
      </c>
      <c r="K109" t="s">
        <v>33</v>
      </c>
      <c r="L109" t="s">
        <v>405</v>
      </c>
      <c r="M109" t="s">
        <v>460</v>
      </c>
      <c r="N109" t="s">
        <v>36</v>
      </c>
      <c r="O109">
        <v>1</v>
      </c>
      <c r="P109" t="s">
        <v>413</v>
      </c>
      <c r="Q109" t="s">
        <v>460</v>
      </c>
      <c r="R109">
        <v>75</v>
      </c>
      <c r="S109">
        <v>357</v>
      </c>
      <c r="T109">
        <v>432</v>
      </c>
      <c r="U109" s="108">
        <v>45821</v>
      </c>
    </row>
    <row r="110" spans="1:21">
      <c r="A110" t="s">
        <v>25</v>
      </c>
      <c r="B110" t="s">
        <v>26</v>
      </c>
      <c r="C110" t="s">
        <v>2441</v>
      </c>
      <c r="D110" t="s">
        <v>28</v>
      </c>
      <c r="E110" t="s">
        <v>29</v>
      </c>
      <c r="F110" s="108">
        <v>45761</v>
      </c>
      <c r="G110">
        <v>4673</v>
      </c>
      <c r="H110" t="s">
        <v>461</v>
      </c>
      <c r="I110" t="s">
        <v>462</v>
      </c>
      <c r="J110" t="s">
        <v>463</v>
      </c>
      <c r="K110" t="s">
        <v>48</v>
      </c>
      <c r="L110" t="s">
        <v>464</v>
      </c>
      <c r="M110" t="s">
        <v>34</v>
      </c>
      <c r="N110" t="s">
        <v>36</v>
      </c>
      <c r="O110">
        <v>1</v>
      </c>
      <c r="P110" t="s">
        <v>315</v>
      </c>
      <c r="Q110" t="s">
        <v>117</v>
      </c>
      <c r="R110">
        <v>75</v>
      </c>
      <c r="S110">
        <v>0</v>
      </c>
      <c r="T110">
        <v>75</v>
      </c>
      <c r="U110" s="108">
        <v>45821</v>
      </c>
    </row>
    <row r="111" spans="1:21">
      <c r="A111" t="s">
        <v>25</v>
      </c>
      <c r="B111" t="s">
        <v>26</v>
      </c>
      <c r="C111" t="s">
        <v>2441</v>
      </c>
      <c r="D111" t="s">
        <v>28</v>
      </c>
      <c r="E111" t="s">
        <v>195</v>
      </c>
      <c r="F111" s="108">
        <v>45786</v>
      </c>
      <c r="G111">
        <v>4674</v>
      </c>
      <c r="H111" t="s">
        <v>465</v>
      </c>
      <c r="I111" t="s">
        <v>466</v>
      </c>
      <c r="J111" t="s">
        <v>137</v>
      </c>
      <c r="K111" t="s">
        <v>33</v>
      </c>
      <c r="L111" t="s">
        <v>173</v>
      </c>
      <c r="M111" t="s">
        <v>467</v>
      </c>
      <c r="N111" t="s">
        <v>36</v>
      </c>
      <c r="O111">
        <v>1</v>
      </c>
      <c r="P111" t="s">
        <v>413</v>
      </c>
      <c r="Q111" t="s">
        <v>467</v>
      </c>
      <c r="R111">
        <v>75</v>
      </c>
      <c r="S111">
        <v>475</v>
      </c>
      <c r="T111">
        <v>550</v>
      </c>
      <c r="U111" s="108">
        <v>45821</v>
      </c>
    </row>
    <row r="112" spans="1:21">
      <c r="A112" t="s">
        <v>25</v>
      </c>
      <c r="B112" t="s">
        <v>26</v>
      </c>
      <c r="C112" t="s">
        <v>2441</v>
      </c>
      <c r="D112" t="s">
        <v>28</v>
      </c>
      <c r="E112" t="s">
        <v>195</v>
      </c>
      <c r="F112" s="108">
        <v>45786</v>
      </c>
      <c r="G112">
        <v>4675</v>
      </c>
      <c r="H112" t="s">
        <v>468</v>
      </c>
      <c r="I112" t="s">
        <v>469</v>
      </c>
      <c r="J112" t="s">
        <v>115</v>
      </c>
      <c r="K112" t="s">
        <v>33</v>
      </c>
      <c r="L112" t="s">
        <v>470</v>
      </c>
      <c r="M112" t="s">
        <v>348</v>
      </c>
      <c r="N112" t="s">
        <v>36</v>
      </c>
      <c r="O112">
        <v>1</v>
      </c>
      <c r="P112" t="s">
        <v>37</v>
      </c>
      <c r="Q112" t="s">
        <v>348</v>
      </c>
      <c r="R112">
        <v>75</v>
      </c>
      <c r="S112">
        <v>163.75</v>
      </c>
      <c r="T112">
        <v>238.75</v>
      </c>
      <c r="U112" s="108">
        <v>45821</v>
      </c>
    </row>
    <row r="113" spans="1:21">
      <c r="A113" t="s">
        <v>25</v>
      </c>
      <c r="B113" t="s">
        <v>26</v>
      </c>
      <c r="C113" t="s">
        <v>2441</v>
      </c>
      <c r="D113" t="s">
        <v>28</v>
      </c>
      <c r="E113" t="s">
        <v>195</v>
      </c>
      <c r="F113" s="108">
        <v>45786</v>
      </c>
      <c r="G113">
        <v>4676</v>
      </c>
      <c r="H113" t="s">
        <v>471</v>
      </c>
      <c r="I113" t="s">
        <v>472</v>
      </c>
      <c r="J113" t="s">
        <v>115</v>
      </c>
      <c r="K113" t="s">
        <v>33</v>
      </c>
      <c r="L113" t="s">
        <v>473</v>
      </c>
      <c r="M113" t="s">
        <v>474</v>
      </c>
      <c r="N113" t="s">
        <v>36</v>
      </c>
      <c r="O113">
        <v>1</v>
      </c>
      <c r="P113" t="s">
        <v>413</v>
      </c>
      <c r="Q113" t="s">
        <v>475</v>
      </c>
      <c r="R113">
        <v>75</v>
      </c>
      <c r="S113">
        <v>109.09</v>
      </c>
      <c r="T113">
        <v>184.09</v>
      </c>
      <c r="U113" s="108">
        <v>45821</v>
      </c>
    </row>
    <row r="114" spans="1:21">
      <c r="A114" t="s">
        <v>25</v>
      </c>
      <c r="B114" t="s">
        <v>26</v>
      </c>
      <c r="C114" t="s">
        <v>2441</v>
      </c>
      <c r="D114" t="s">
        <v>28</v>
      </c>
      <c r="E114" t="s">
        <v>195</v>
      </c>
      <c r="F114" s="108">
        <v>45786</v>
      </c>
      <c r="G114">
        <v>4677</v>
      </c>
      <c r="H114" t="s">
        <v>476</v>
      </c>
      <c r="I114" t="s">
        <v>477</v>
      </c>
      <c r="J114" t="s">
        <v>115</v>
      </c>
      <c r="K114" t="s">
        <v>33</v>
      </c>
      <c r="L114" t="s">
        <v>478</v>
      </c>
      <c r="M114" t="s">
        <v>406</v>
      </c>
      <c r="N114" t="s">
        <v>36</v>
      </c>
      <c r="O114">
        <v>1</v>
      </c>
      <c r="P114" t="s">
        <v>413</v>
      </c>
      <c r="Q114" t="s">
        <v>406</v>
      </c>
      <c r="R114">
        <v>75</v>
      </c>
      <c r="S114">
        <v>158.09</v>
      </c>
      <c r="T114">
        <v>233.09</v>
      </c>
      <c r="U114" s="108">
        <v>45821</v>
      </c>
    </row>
    <row r="115" spans="1:21">
      <c r="A115" t="s">
        <v>25</v>
      </c>
      <c r="B115" t="s">
        <v>26</v>
      </c>
      <c r="C115" t="s">
        <v>2441</v>
      </c>
      <c r="D115" t="s">
        <v>28</v>
      </c>
      <c r="E115" t="s">
        <v>195</v>
      </c>
      <c r="F115" s="108">
        <v>45786</v>
      </c>
      <c r="G115">
        <v>4678</v>
      </c>
      <c r="H115" t="s">
        <v>479</v>
      </c>
      <c r="I115" t="s">
        <v>480</v>
      </c>
      <c r="J115" t="s">
        <v>432</v>
      </c>
      <c r="K115" t="s">
        <v>33</v>
      </c>
      <c r="L115" t="s">
        <v>478</v>
      </c>
      <c r="M115" t="s">
        <v>348</v>
      </c>
      <c r="N115" t="s">
        <v>36</v>
      </c>
      <c r="O115">
        <v>1</v>
      </c>
      <c r="P115" t="s">
        <v>413</v>
      </c>
      <c r="Q115" t="s">
        <v>348</v>
      </c>
      <c r="R115">
        <v>75</v>
      </c>
      <c r="S115">
        <v>106.61</v>
      </c>
      <c r="T115">
        <v>181.61</v>
      </c>
      <c r="U115" s="108">
        <v>45821</v>
      </c>
    </row>
    <row r="116" spans="1:21">
      <c r="A116" t="s">
        <v>25</v>
      </c>
      <c r="B116" t="s">
        <v>26</v>
      </c>
      <c r="C116" t="s">
        <v>2441</v>
      </c>
      <c r="D116" t="s">
        <v>28</v>
      </c>
      <c r="E116" t="s">
        <v>195</v>
      </c>
      <c r="F116" s="108">
        <v>45786</v>
      </c>
      <c r="G116">
        <v>4679</v>
      </c>
      <c r="H116" t="s">
        <v>481</v>
      </c>
      <c r="I116" t="s">
        <v>482</v>
      </c>
      <c r="J116" t="s">
        <v>115</v>
      </c>
      <c r="K116" t="s">
        <v>33</v>
      </c>
      <c r="L116" t="s">
        <v>478</v>
      </c>
      <c r="M116" t="s">
        <v>348</v>
      </c>
      <c r="N116" t="s">
        <v>36</v>
      </c>
      <c r="O116">
        <v>1</v>
      </c>
      <c r="P116" t="s">
        <v>413</v>
      </c>
      <c r="Q116" t="s">
        <v>348</v>
      </c>
      <c r="R116">
        <v>75</v>
      </c>
      <c r="S116">
        <v>109.09</v>
      </c>
      <c r="T116">
        <v>184.09</v>
      </c>
      <c r="U116" s="108">
        <v>45821</v>
      </c>
    </row>
    <row r="117" spans="1:21">
      <c r="A117" t="s">
        <v>25</v>
      </c>
      <c r="B117" t="s">
        <v>26</v>
      </c>
      <c r="C117" t="s">
        <v>2441</v>
      </c>
      <c r="D117" t="s">
        <v>28</v>
      </c>
      <c r="E117" t="s">
        <v>195</v>
      </c>
      <c r="F117" s="108">
        <v>45839</v>
      </c>
      <c r="G117">
        <v>5354</v>
      </c>
      <c r="H117" t="s">
        <v>483</v>
      </c>
      <c r="I117" t="s">
        <v>484</v>
      </c>
      <c r="J117" t="s">
        <v>485</v>
      </c>
      <c r="K117" t="s">
        <v>48</v>
      </c>
      <c r="L117" t="s">
        <v>486</v>
      </c>
      <c r="M117" t="s">
        <v>487</v>
      </c>
      <c r="N117" t="s">
        <v>36</v>
      </c>
      <c r="O117">
        <v>1</v>
      </c>
      <c r="P117" t="s">
        <v>37</v>
      </c>
      <c r="Q117" t="s">
        <v>487</v>
      </c>
      <c r="R117">
        <v>75</v>
      </c>
      <c r="S117">
        <v>0</v>
      </c>
      <c r="T117">
        <v>75</v>
      </c>
      <c r="U117" s="108">
        <v>45898</v>
      </c>
    </row>
    <row r="118" spans="1:21">
      <c r="A118" t="s">
        <v>25</v>
      </c>
      <c r="B118" t="s">
        <v>26</v>
      </c>
      <c r="C118" t="s">
        <v>2441</v>
      </c>
      <c r="D118" t="s">
        <v>28</v>
      </c>
      <c r="E118" t="s">
        <v>195</v>
      </c>
      <c r="F118" s="108">
        <v>45839</v>
      </c>
      <c r="G118">
        <v>5353</v>
      </c>
      <c r="H118" t="s">
        <v>488</v>
      </c>
      <c r="I118" t="s">
        <v>489</v>
      </c>
      <c r="J118" t="s">
        <v>485</v>
      </c>
      <c r="K118" t="s">
        <v>48</v>
      </c>
      <c r="L118" t="s">
        <v>490</v>
      </c>
      <c r="M118" t="s">
        <v>55</v>
      </c>
      <c r="N118" t="s">
        <v>36</v>
      </c>
      <c r="O118">
        <v>1</v>
      </c>
      <c r="P118" t="s">
        <v>37</v>
      </c>
      <c r="Q118" t="s">
        <v>457</v>
      </c>
      <c r="R118">
        <v>75</v>
      </c>
      <c r="S118">
        <v>0</v>
      </c>
      <c r="T118">
        <v>75</v>
      </c>
      <c r="U118" s="108">
        <v>45898</v>
      </c>
    </row>
    <row r="119" spans="1:21">
      <c r="A119" t="s">
        <v>25</v>
      </c>
      <c r="B119" t="s">
        <v>26</v>
      </c>
      <c r="C119" t="s">
        <v>2441</v>
      </c>
      <c r="D119" t="s">
        <v>28</v>
      </c>
      <c r="E119" t="s">
        <v>195</v>
      </c>
      <c r="F119" s="108">
        <v>45839</v>
      </c>
      <c r="G119">
        <v>5352</v>
      </c>
      <c r="H119" t="s">
        <v>491</v>
      </c>
      <c r="I119" t="s">
        <v>492</v>
      </c>
      <c r="J119" t="s">
        <v>397</v>
      </c>
      <c r="K119" t="s">
        <v>48</v>
      </c>
      <c r="L119" t="s">
        <v>493</v>
      </c>
      <c r="M119" t="s">
        <v>494</v>
      </c>
      <c r="N119" t="s">
        <v>36</v>
      </c>
      <c r="O119">
        <v>1</v>
      </c>
      <c r="P119" t="s">
        <v>37</v>
      </c>
      <c r="Q119" t="s">
        <v>117</v>
      </c>
      <c r="R119">
        <v>75</v>
      </c>
      <c r="S119">
        <v>0</v>
      </c>
      <c r="T119">
        <v>75</v>
      </c>
      <c r="U119" s="108">
        <v>45898</v>
      </c>
    </row>
    <row r="120" spans="1:21">
      <c r="A120" t="s">
        <v>154</v>
      </c>
      <c r="B120" t="s">
        <v>155</v>
      </c>
      <c r="C120">
        <v>616866669</v>
      </c>
      <c r="D120" t="s">
        <v>156</v>
      </c>
      <c r="E120" t="s">
        <v>599</v>
      </c>
      <c r="F120" s="108">
        <v>45917</v>
      </c>
      <c r="G120">
        <v>6194</v>
      </c>
      <c r="H120" t="s">
        <v>1012</v>
      </c>
      <c r="I120" t="s">
        <v>1013</v>
      </c>
      <c r="J120" t="s">
        <v>201</v>
      </c>
      <c r="K120" t="s">
        <v>48</v>
      </c>
      <c r="L120" t="s">
        <v>351</v>
      </c>
      <c r="M120" t="s">
        <v>1014</v>
      </c>
      <c r="N120" t="s">
        <v>36</v>
      </c>
      <c r="O120">
        <v>1</v>
      </c>
      <c r="P120" t="s">
        <v>1015</v>
      </c>
      <c r="Q120" t="s">
        <v>352</v>
      </c>
      <c r="R120">
        <v>75</v>
      </c>
      <c r="S120">
        <v>260</v>
      </c>
      <c r="T120">
        <v>335</v>
      </c>
      <c r="U120" s="108">
        <v>45939</v>
      </c>
    </row>
    <row r="121" spans="1:21">
      <c r="A121" t="s">
        <v>25</v>
      </c>
      <c r="B121" t="s">
        <v>26</v>
      </c>
      <c r="C121" t="s">
        <v>2441</v>
      </c>
      <c r="D121" t="s">
        <v>28</v>
      </c>
      <c r="E121" t="s">
        <v>195</v>
      </c>
      <c r="F121" s="108">
        <v>45839</v>
      </c>
      <c r="G121">
        <v>5350</v>
      </c>
      <c r="H121" t="s">
        <v>500</v>
      </c>
      <c r="I121" t="s">
        <v>501</v>
      </c>
      <c r="J121" t="s">
        <v>502</v>
      </c>
      <c r="K121" t="s">
        <v>33</v>
      </c>
      <c r="L121" t="s">
        <v>503</v>
      </c>
      <c r="M121" t="s">
        <v>504</v>
      </c>
      <c r="N121" t="s">
        <v>36</v>
      </c>
      <c r="O121">
        <v>1</v>
      </c>
      <c r="P121" t="s">
        <v>505</v>
      </c>
      <c r="Q121" t="s">
        <v>504</v>
      </c>
      <c r="R121">
        <v>75</v>
      </c>
      <c r="S121">
        <v>395.5</v>
      </c>
      <c r="T121">
        <v>470.5</v>
      </c>
      <c r="U121" s="108">
        <v>45898</v>
      </c>
    </row>
    <row r="122" spans="1:21">
      <c r="A122" t="s">
        <v>25</v>
      </c>
      <c r="B122" t="s">
        <v>26</v>
      </c>
      <c r="C122" t="s">
        <v>2441</v>
      </c>
      <c r="D122" t="s">
        <v>28</v>
      </c>
      <c r="E122" t="s">
        <v>195</v>
      </c>
      <c r="F122" s="108">
        <v>45839</v>
      </c>
      <c r="G122">
        <v>5349</v>
      </c>
      <c r="H122" t="s">
        <v>506</v>
      </c>
      <c r="I122" t="s">
        <v>507</v>
      </c>
      <c r="J122" t="s">
        <v>160</v>
      </c>
      <c r="K122" t="s">
        <v>33</v>
      </c>
      <c r="L122" t="s">
        <v>213</v>
      </c>
      <c r="M122" t="s">
        <v>508</v>
      </c>
      <c r="N122" t="s">
        <v>36</v>
      </c>
      <c r="O122">
        <v>1</v>
      </c>
      <c r="P122" t="s">
        <v>505</v>
      </c>
      <c r="Q122" t="s">
        <v>509</v>
      </c>
      <c r="R122">
        <v>75</v>
      </c>
      <c r="S122">
        <v>283.75</v>
      </c>
      <c r="T122">
        <v>358.75</v>
      </c>
      <c r="U122" s="108">
        <v>45898</v>
      </c>
    </row>
    <row r="123" spans="1:21">
      <c r="A123" t="s">
        <v>25</v>
      </c>
      <c r="B123" t="s">
        <v>26</v>
      </c>
      <c r="C123" t="s">
        <v>2441</v>
      </c>
      <c r="D123" t="s">
        <v>28</v>
      </c>
      <c r="E123" t="s">
        <v>195</v>
      </c>
      <c r="F123" s="108">
        <v>45839</v>
      </c>
      <c r="G123">
        <v>5359</v>
      </c>
      <c r="H123" t="s">
        <v>510</v>
      </c>
      <c r="I123" t="s">
        <v>511</v>
      </c>
      <c r="J123" t="s">
        <v>160</v>
      </c>
      <c r="K123" t="s">
        <v>33</v>
      </c>
      <c r="L123" t="s">
        <v>512</v>
      </c>
      <c r="M123" t="s">
        <v>513</v>
      </c>
      <c r="N123" t="s">
        <v>36</v>
      </c>
      <c r="O123">
        <v>1</v>
      </c>
      <c r="P123" t="s">
        <v>505</v>
      </c>
      <c r="Q123" t="s">
        <v>513</v>
      </c>
      <c r="R123">
        <v>75</v>
      </c>
      <c r="S123">
        <v>120</v>
      </c>
      <c r="T123">
        <v>195</v>
      </c>
      <c r="U123" s="108">
        <v>45898</v>
      </c>
    </row>
    <row r="124" spans="1:21">
      <c r="A124" t="s">
        <v>25</v>
      </c>
      <c r="B124" t="s">
        <v>26</v>
      </c>
      <c r="C124" t="s">
        <v>2441</v>
      </c>
      <c r="D124" t="s">
        <v>28</v>
      </c>
      <c r="E124" t="s">
        <v>195</v>
      </c>
      <c r="F124" s="108">
        <v>45839</v>
      </c>
      <c r="G124">
        <v>5358</v>
      </c>
      <c r="H124" t="s">
        <v>514</v>
      </c>
      <c r="I124" t="s">
        <v>515</v>
      </c>
      <c r="J124" t="s">
        <v>160</v>
      </c>
      <c r="K124" t="s">
        <v>33</v>
      </c>
      <c r="L124" t="s">
        <v>71</v>
      </c>
      <c r="M124" t="s">
        <v>71</v>
      </c>
      <c r="N124" t="s">
        <v>36</v>
      </c>
      <c r="O124">
        <v>1</v>
      </c>
      <c r="P124" t="s">
        <v>37</v>
      </c>
      <c r="Q124" t="s">
        <v>71</v>
      </c>
      <c r="R124">
        <v>75</v>
      </c>
      <c r="S124">
        <v>120</v>
      </c>
      <c r="T124">
        <v>195</v>
      </c>
      <c r="U124" s="108">
        <v>45898</v>
      </c>
    </row>
    <row r="125" spans="1:21">
      <c r="A125" t="s">
        <v>25</v>
      </c>
      <c r="B125" t="s">
        <v>26</v>
      </c>
      <c r="C125" t="s">
        <v>2441</v>
      </c>
      <c r="D125" t="s">
        <v>28</v>
      </c>
      <c r="E125" t="s">
        <v>195</v>
      </c>
      <c r="F125" s="108">
        <v>45853</v>
      </c>
      <c r="G125">
        <v>5450</v>
      </c>
      <c r="H125" t="s">
        <v>516</v>
      </c>
      <c r="I125" t="s">
        <v>517</v>
      </c>
      <c r="J125" t="s">
        <v>115</v>
      </c>
      <c r="K125" t="s">
        <v>33</v>
      </c>
      <c r="L125" t="s">
        <v>518</v>
      </c>
      <c r="M125" t="s">
        <v>519</v>
      </c>
      <c r="N125" t="s">
        <v>36</v>
      </c>
      <c r="O125">
        <v>1</v>
      </c>
      <c r="P125" t="s">
        <v>37</v>
      </c>
      <c r="Q125" t="s">
        <v>519</v>
      </c>
      <c r="R125">
        <v>75</v>
      </c>
      <c r="S125">
        <v>335</v>
      </c>
      <c r="T125">
        <v>410</v>
      </c>
      <c r="U125" s="108">
        <v>45908</v>
      </c>
    </row>
    <row r="126" spans="1:21">
      <c r="A126" t="s">
        <v>25</v>
      </c>
      <c r="B126" t="s">
        <v>26</v>
      </c>
      <c r="C126" t="s">
        <v>2441</v>
      </c>
      <c r="D126" t="s">
        <v>28</v>
      </c>
      <c r="E126" t="s">
        <v>195</v>
      </c>
      <c r="F126" s="108">
        <v>45853</v>
      </c>
      <c r="G126">
        <v>5451</v>
      </c>
      <c r="H126" t="s">
        <v>520</v>
      </c>
      <c r="I126" t="s">
        <v>521</v>
      </c>
      <c r="J126" t="s">
        <v>115</v>
      </c>
      <c r="K126" t="s">
        <v>33</v>
      </c>
      <c r="L126" t="s">
        <v>522</v>
      </c>
      <c r="M126" t="s">
        <v>117</v>
      </c>
      <c r="N126" t="s">
        <v>36</v>
      </c>
      <c r="O126">
        <v>1</v>
      </c>
      <c r="P126" t="s">
        <v>37</v>
      </c>
      <c r="Q126" t="s">
        <v>117</v>
      </c>
      <c r="R126">
        <v>75</v>
      </c>
      <c r="S126">
        <v>215</v>
      </c>
      <c r="T126">
        <v>290</v>
      </c>
      <c r="U126" s="108">
        <v>45908</v>
      </c>
    </row>
    <row r="127" spans="1:21">
      <c r="A127" t="s">
        <v>25</v>
      </c>
      <c r="B127" t="s">
        <v>26</v>
      </c>
      <c r="C127" t="s">
        <v>2441</v>
      </c>
      <c r="D127" t="s">
        <v>28</v>
      </c>
      <c r="E127" t="s">
        <v>195</v>
      </c>
      <c r="F127" s="108">
        <v>45853</v>
      </c>
      <c r="G127">
        <v>5452</v>
      </c>
      <c r="H127" t="s">
        <v>523</v>
      </c>
      <c r="I127" t="s">
        <v>524</v>
      </c>
      <c r="J127" t="s">
        <v>115</v>
      </c>
      <c r="K127" t="s">
        <v>33</v>
      </c>
      <c r="L127" t="s">
        <v>518</v>
      </c>
      <c r="M127" t="s">
        <v>525</v>
      </c>
      <c r="N127" t="s">
        <v>36</v>
      </c>
      <c r="O127">
        <v>1</v>
      </c>
      <c r="P127" t="s">
        <v>37</v>
      </c>
      <c r="Q127" t="s">
        <v>526</v>
      </c>
      <c r="R127">
        <v>75</v>
      </c>
      <c r="S127">
        <v>378.75</v>
      </c>
      <c r="T127">
        <v>453.75</v>
      </c>
      <c r="U127" s="108">
        <v>45908</v>
      </c>
    </row>
    <row r="128" spans="1:21">
      <c r="A128" t="s">
        <v>154</v>
      </c>
      <c r="B128" t="s">
        <v>155</v>
      </c>
      <c r="C128">
        <v>616866669</v>
      </c>
      <c r="D128" t="s">
        <v>156</v>
      </c>
      <c r="E128" t="s">
        <v>599</v>
      </c>
      <c r="F128" s="108">
        <v>45917</v>
      </c>
      <c r="G128">
        <v>6193</v>
      </c>
      <c r="H128" t="s">
        <v>1008</v>
      </c>
      <c r="I128" t="s">
        <v>1009</v>
      </c>
      <c r="J128" t="s">
        <v>160</v>
      </c>
      <c r="K128" t="s">
        <v>33</v>
      </c>
      <c r="L128" t="s">
        <v>512</v>
      </c>
      <c r="M128" t="s">
        <v>406</v>
      </c>
      <c r="N128" t="s">
        <v>36</v>
      </c>
      <c r="O128">
        <v>1</v>
      </c>
      <c r="P128" t="s">
        <v>1010</v>
      </c>
      <c r="Q128" t="s">
        <v>1011</v>
      </c>
      <c r="R128">
        <v>75</v>
      </c>
      <c r="S128">
        <v>275.5</v>
      </c>
      <c r="T128">
        <v>350.5</v>
      </c>
      <c r="U128" s="108">
        <v>45939</v>
      </c>
    </row>
    <row r="129" spans="1:21">
      <c r="A129" t="s">
        <v>25</v>
      </c>
      <c r="B129" t="s">
        <v>26</v>
      </c>
      <c r="C129" t="s">
        <v>2441</v>
      </c>
      <c r="D129" t="s">
        <v>28</v>
      </c>
      <c r="E129" t="s">
        <v>195</v>
      </c>
      <c r="F129" s="108">
        <v>45853</v>
      </c>
      <c r="G129">
        <v>5454</v>
      </c>
      <c r="H129" t="s">
        <v>531</v>
      </c>
      <c r="I129" t="s">
        <v>532</v>
      </c>
      <c r="J129" t="s">
        <v>115</v>
      </c>
      <c r="K129" t="s">
        <v>33</v>
      </c>
      <c r="L129" t="s">
        <v>533</v>
      </c>
      <c r="M129" t="s">
        <v>55</v>
      </c>
      <c r="N129" t="s">
        <v>36</v>
      </c>
      <c r="O129">
        <v>1</v>
      </c>
      <c r="P129" t="s">
        <v>37</v>
      </c>
      <c r="Q129" t="s">
        <v>55</v>
      </c>
      <c r="R129">
        <v>75</v>
      </c>
      <c r="S129">
        <v>163.75</v>
      </c>
      <c r="T129">
        <v>238.75</v>
      </c>
      <c r="U129" s="108">
        <v>45908</v>
      </c>
    </row>
    <row r="130" spans="1:21">
      <c r="A130" t="s">
        <v>25</v>
      </c>
      <c r="B130" t="s">
        <v>26</v>
      </c>
      <c r="C130" t="s">
        <v>2441</v>
      </c>
      <c r="D130" t="s">
        <v>28</v>
      </c>
      <c r="E130" t="s">
        <v>195</v>
      </c>
      <c r="F130" s="108">
        <v>45853</v>
      </c>
      <c r="G130">
        <v>5455</v>
      </c>
      <c r="H130" t="s">
        <v>534</v>
      </c>
      <c r="I130" t="s">
        <v>535</v>
      </c>
      <c r="J130" t="s">
        <v>115</v>
      </c>
      <c r="K130" t="s">
        <v>33</v>
      </c>
      <c r="L130" t="s">
        <v>536</v>
      </c>
      <c r="M130" t="s">
        <v>457</v>
      </c>
      <c r="N130" t="s">
        <v>36</v>
      </c>
      <c r="O130">
        <v>1</v>
      </c>
      <c r="P130" t="s">
        <v>37</v>
      </c>
      <c r="Q130" t="s">
        <v>55</v>
      </c>
      <c r="R130">
        <v>75</v>
      </c>
      <c r="S130">
        <v>163.75</v>
      </c>
      <c r="T130">
        <v>238.75</v>
      </c>
      <c r="U130" s="108">
        <v>45908</v>
      </c>
    </row>
    <row r="131" spans="1:21">
      <c r="A131" t="s">
        <v>25</v>
      </c>
      <c r="B131" t="s">
        <v>26</v>
      </c>
      <c r="C131" t="s">
        <v>2441</v>
      </c>
      <c r="D131" t="s">
        <v>28</v>
      </c>
      <c r="E131" t="s">
        <v>195</v>
      </c>
      <c r="F131" s="108">
        <v>45853</v>
      </c>
      <c r="G131">
        <v>5456</v>
      </c>
      <c r="H131" t="s">
        <v>537</v>
      </c>
      <c r="I131" t="s">
        <v>538</v>
      </c>
      <c r="J131" t="s">
        <v>115</v>
      </c>
      <c r="K131" t="s">
        <v>33</v>
      </c>
      <c r="L131" t="s">
        <v>539</v>
      </c>
      <c r="M131" t="s">
        <v>540</v>
      </c>
      <c r="N131" t="s">
        <v>36</v>
      </c>
      <c r="O131">
        <v>1</v>
      </c>
      <c r="P131" t="s">
        <v>37</v>
      </c>
      <c r="Q131" t="s">
        <v>541</v>
      </c>
      <c r="R131">
        <v>75</v>
      </c>
      <c r="S131">
        <v>283.75</v>
      </c>
      <c r="T131">
        <v>358.75</v>
      </c>
      <c r="U131" s="108">
        <v>45908</v>
      </c>
    </row>
    <row r="132" spans="1:21">
      <c r="A132" t="s">
        <v>25</v>
      </c>
      <c r="B132" t="s">
        <v>26</v>
      </c>
      <c r="C132" t="s">
        <v>2441</v>
      </c>
      <c r="D132" t="s">
        <v>28</v>
      </c>
      <c r="E132" t="s">
        <v>195</v>
      </c>
      <c r="F132" s="108">
        <v>45853</v>
      </c>
      <c r="G132">
        <v>5457</v>
      </c>
      <c r="H132" t="s">
        <v>542</v>
      </c>
      <c r="I132" t="s">
        <v>543</v>
      </c>
      <c r="J132" t="s">
        <v>115</v>
      </c>
      <c r="K132" t="s">
        <v>33</v>
      </c>
      <c r="L132" t="s">
        <v>544</v>
      </c>
      <c r="M132" t="s">
        <v>55</v>
      </c>
      <c r="N132" t="s">
        <v>36</v>
      </c>
      <c r="O132">
        <v>1</v>
      </c>
      <c r="P132" t="s">
        <v>37</v>
      </c>
      <c r="Q132" t="s">
        <v>55</v>
      </c>
      <c r="R132">
        <v>75</v>
      </c>
      <c r="S132">
        <v>163.75</v>
      </c>
      <c r="T132">
        <v>238.75</v>
      </c>
      <c r="U132" s="108">
        <v>45908</v>
      </c>
    </row>
    <row r="133" spans="1:21">
      <c r="A133" t="s">
        <v>154</v>
      </c>
      <c r="B133" t="s">
        <v>155</v>
      </c>
      <c r="C133">
        <v>616866669</v>
      </c>
      <c r="D133" t="s">
        <v>156</v>
      </c>
      <c r="E133" t="s">
        <v>599</v>
      </c>
      <c r="F133" s="108">
        <v>45917</v>
      </c>
      <c r="G133">
        <v>6192</v>
      </c>
      <c r="H133" t="s">
        <v>1004</v>
      </c>
      <c r="I133" t="s">
        <v>1005</v>
      </c>
      <c r="J133" t="s">
        <v>160</v>
      </c>
      <c r="K133" t="s">
        <v>33</v>
      </c>
      <c r="L133" t="s">
        <v>241</v>
      </c>
      <c r="M133" t="s">
        <v>1006</v>
      </c>
      <c r="N133" t="s">
        <v>36</v>
      </c>
      <c r="O133">
        <v>1</v>
      </c>
      <c r="P133" t="s">
        <v>1007</v>
      </c>
      <c r="Q133" t="s">
        <v>457</v>
      </c>
      <c r="R133">
        <v>75</v>
      </c>
      <c r="S133">
        <v>163.75</v>
      </c>
      <c r="T133">
        <v>238.75</v>
      </c>
      <c r="U133" s="108">
        <v>45939</v>
      </c>
    </row>
    <row r="134" spans="1:21">
      <c r="A134" t="s">
        <v>25</v>
      </c>
      <c r="B134" t="s">
        <v>26</v>
      </c>
      <c r="C134" t="s">
        <v>2441</v>
      </c>
      <c r="D134" t="s">
        <v>28</v>
      </c>
      <c r="E134" t="s">
        <v>195</v>
      </c>
      <c r="F134" s="108">
        <v>45853</v>
      </c>
      <c r="G134">
        <v>5459</v>
      </c>
      <c r="H134" t="s">
        <v>548</v>
      </c>
      <c r="I134" t="s">
        <v>549</v>
      </c>
      <c r="J134" t="s">
        <v>115</v>
      </c>
      <c r="K134" t="s">
        <v>33</v>
      </c>
      <c r="L134" t="s">
        <v>817</v>
      </c>
      <c r="M134" t="s">
        <v>818</v>
      </c>
      <c r="N134" t="s">
        <v>36</v>
      </c>
      <c r="O134">
        <v>1</v>
      </c>
      <c r="P134" t="s">
        <v>819</v>
      </c>
      <c r="Q134" t="s">
        <v>818</v>
      </c>
      <c r="R134">
        <v>75</v>
      </c>
      <c r="S134">
        <v>395.5</v>
      </c>
      <c r="T134">
        <v>470.5</v>
      </c>
      <c r="U134" s="108">
        <v>45939</v>
      </c>
    </row>
    <row r="135" spans="1:21">
      <c r="A135" t="s">
        <v>154</v>
      </c>
      <c r="B135" t="s">
        <v>155</v>
      </c>
      <c r="C135">
        <v>616866669</v>
      </c>
      <c r="D135" t="s">
        <v>156</v>
      </c>
      <c r="E135" t="s">
        <v>599</v>
      </c>
      <c r="F135" s="108">
        <v>45917</v>
      </c>
      <c r="G135">
        <v>6191</v>
      </c>
      <c r="H135" t="s">
        <v>999</v>
      </c>
      <c r="I135" t="s">
        <v>1000</v>
      </c>
      <c r="J135" t="s">
        <v>160</v>
      </c>
      <c r="K135" t="s">
        <v>33</v>
      </c>
      <c r="L135" t="s">
        <v>1001</v>
      </c>
      <c r="M135" t="s">
        <v>1002</v>
      </c>
      <c r="N135" t="s">
        <v>36</v>
      </c>
      <c r="O135">
        <v>1</v>
      </c>
      <c r="P135" t="s">
        <v>1003</v>
      </c>
      <c r="Q135" t="s">
        <v>457</v>
      </c>
      <c r="R135">
        <v>75</v>
      </c>
      <c r="S135">
        <v>163.75</v>
      </c>
      <c r="T135">
        <v>238.75</v>
      </c>
      <c r="U135" s="108">
        <v>45939</v>
      </c>
    </row>
    <row r="136" spans="1:21">
      <c r="A136" t="s">
        <v>25</v>
      </c>
      <c r="B136" t="s">
        <v>26</v>
      </c>
      <c r="C136" t="s">
        <v>2441</v>
      </c>
      <c r="D136" t="s">
        <v>28</v>
      </c>
      <c r="E136" t="s">
        <v>195</v>
      </c>
      <c r="F136" s="108">
        <v>45853</v>
      </c>
      <c r="G136">
        <v>5461</v>
      </c>
      <c r="H136" t="s">
        <v>556</v>
      </c>
      <c r="I136" t="s">
        <v>557</v>
      </c>
      <c r="J136" t="s">
        <v>558</v>
      </c>
      <c r="K136" t="s">
        <v>48</v>
      </c>
      <c r="L136" t="s">
        <v>821</v>
      </c>
      <c r="M136" t="s">
        <v>457</v>
      </c>
      <c r="N136" t="s">
        <v>36</v>
      </c>
      <c r="O136">
        <v>1</v>
      </c>
      <c r="P136" t="s">
        <v>822</v>
      </c>
      <c r="Q136" t="s">
        <v>55</v>
      </c>
      <c r="R136">
        <v>75</v>
      </c>
      <c r="S136">
        <v>163.75</v>
      </c>
      <c r="T136">
        <v>238.75</v>
      </c>
      <c r="U136" s="108">
        <v>45939</v>
      </c>
    </row>
    <row r="137" spans="1:21">
      <c r="A137" t="s">
        <v>25</v>
      </c>
      <c r="B137" t="s">
        <v>26</v>
      </c>
      <c r="C137" t="s">
        <v>2441</v>
      </c>
      <c r="D137" t="s">
        <v>28</v>
      </c>
      <c r="E137" t="s">
        <v>195</v>
      </c>
      <c r="F137" s="108">
        <v>45853</v>
      </c>
      <c r="G137">
        <v>5462</v>
      </c>
      <c r="H137" t="s">
        <v>562</v>
      </c>
      <c r="I137" t="s">
        <v>563</v>
      </c>
      <c r="J137" t="s">
        <v>115</v>
      </c>
      <c r="K137" t="s">
        <v>33</v>
      </c>
      <c r="L137" t="s">
        <v>564</v>
      </c>
      <c r="M137" t="s">
        <v>565</v>
      </c>
      <c r="N137" t="s">
        <v>36</v>
      </c>
      <c r="O137">
        <v>1</v>
      </c>
      <c r="P137" t="s">
        <v>413</v>
      </c>
      <c r="Q137" t="s">
        <v>55</v>
      </c>
      <c r="R137">
        <v>75</v>
      </c>
      <c r="S137">
        <v>163.75</v>
      </c>
      <c r="T137">
        <v>238.75</v>
      </c>
      <c r="U137" s="108">
        <v>45908</v>
      </c>
    </row>
    <row r="138" spans="1:21">
      <c r="A138" t="s">
        <v>154</v>
      </c>
      <c r="B138" t="s">
        <v>940</v>
      </c>
      <c r="C138" t="s">
        <v>2443</v>
      </c>
      <c r="D138" t="s">
        <v>156</v>
      </c>
      <c r="E138" t="s">
        <v>942</v>
      </c>
      <c r="F138" s="108">
        <v>45911</v>
      </c>
      <c r="G138">
        <v>6186</v>
      </c>
      <c r="H138" t="s">
        <v>973</v>
      </c>
      <c r="I138" t="s">
        <v>974</v>
      </c>
      <c r="J138" t="s">
        <v>160</v>
      </c>
      <c r="K138" t="s">
        <v>33</v>
      </c>
      <c r="L138" t="s">
        <v>975</v>
      </c>
      <c r="M138" t="s">
        <v>976</v>
      </c>
      <c r="N138" t="s">
        <v>36</v>
      </c>
      <c r="O138">
        <v>1</v>
      </c>
      <c r="P138" t="s">
        <v>977</v>
      </c>
      <c r="Q138" t="s">
        <v>978</v>
      </c>
      <c r="R138">
        <v>75</v>
      </c>
      <c r="S138">
        <v>183.75</v>
      </c>
      <c r="T138">
        <v>258.75</v>
      </c>
      <c r="U138" s="108">
        <v>45939</v>
      </c>
    </row>
    <row r="139" spans="1:21">
      <c r="A139" t="s">
        <v>154</v>
      </c>
      <c r="B139" t="s">
        <v>940</v>
      </c>
      <c r="C139" t="s">
        <v>2443</v>
      </c>
      <c r="D139" t="s">
        <v>156</v>
      </c>
      <c r="E139" t="s">
        <v>942</v>
      </c>
      <c r="F139" s="108">
        <v>45911</v>
      </c>
      <c r="G139">
        <v>6185</v>
      </c>
      <c r="H139" t="s">
        <v>970</v>
      </c>
      <c r="I139" t="s">
        <v>971</v>
      </c>
      <c r="J139" t="s">
        <v>160</v>
      </c>
      <c r="K139" t="s">
        <v>33</v>
      </c>
      <c r="L139" t="s">
        <v>213</v>
      </c>
      <c r="M139" t="s">
        <v>55</v>
      </c>
      <c r="N139" t="s">
        <v>36</v>
      </c>
      <c r="O139">
        <v>1</v>
      </c>
      <c r="P139" t="s">
        <v>972</v>
      </c>
      <c r="Q139" t="s">
        <v>457</v>
      </c>
      <c r="R139">
        <v>75</v>
      </c>
      <c r="S139">
        <v>163.75</v>
      </c>
      <c r="T139">
        <v>238.75</v>
      </c>
      <c r="U139" s="108">
        <v>45939</v>
      </c>
    </row>
    <row r="140" spans="1:21">
      <c r="A140" t="s">
        <v>25</v>
      </c>
      <c r="B140" t="s">
        <v>26</v>
      </c>
      <c r="C140" t="s">
        <v>2441</v>
      </c>
      <c r="D140" t="s">
        <v>28</v>
      </c>
      <c r="E140" t="s">
        <v>195</v>
      </c>
      <c r="F140" s="108">
        <v>45853</v>
      </c>
      <c r="G140">
        <v>5465</v>
      </c>
      <c r="H140" t="s">
        <v>575</v>
      </c>
      <c r="I140" t="s">
        <v>576</v>
      </c>
      <c r="J140" t="s">
        <v>428</v>
      </c>
      <c r="K140" t="s">
        <v>48</v>
      </c>
      <c r="L140" t="s">
        <v>351</v>
      </c>
      <c r="M140" t="s">
        <v>577</v>
      </c>
      <c r="N140" t="s">
        <v>36</v>
      </c>
      <c r="O140">
        <v>1</v>
      </c>
      <c r="P140" t="s">
        <v>578</v>
      </c>
      <c r="Q140" t="s">
        <v>352</v>
      </c>
      <c r="R140">
        <v>75</v>
      </c>
      <c r="S140">
        <v>160</v>
      </c>
      <c r="T140">
        <v>235</v>
      </c>
      <c r="U140" s="108">
        <v>45908</v>
      </c>
    </row>
    <row r="141" spans="1:21">
      <c r="A141" t="s">
        <v>25</v>
      </c>
      <c r="B141" t="s">
        <v>26</v>
      </c>
      <c r="C141" t="s">
        <v>2441</v>
      </c>
      <c r="D141" t="s">
        <v>28</v>
      </c>
      <c r="E141" t="s">
        <v>195</v>
      </c>
      <c r="F141" s="108">
        <v>45853</v>
      </c>
      <c r="G141">
        <v>5466</v>
      </c>
      <c r="H141" t="s">
        <v>579</v>
      </c>
      <c r="I141" t="s">
        <v>580</v>
      </c>
      <c r="J141" t="s">
        <v>428</v>
      </c>
      <c r="K141" t="s">
        <v>48</v>
      </c>
      <c r="L141" t="s">
        <v>351</v>
      </c>
      <c r="M141" t="s">
        <v>577</v>
      </c>
      <c r="N141" t="s">
        <v>36</v>
      </c>
      <c r="O141">
        <v>1</v>
      </c>
      <c r="P141" t="s">
        <v>578</v>
      </c>
      <c r="Q141" t="s">
        <v>352</v>
      </c>
      <c r="R141">
        <v>75</v>
      </c>
      <c r="S141">
        <v>160</v>
      </c>
      <c r="T141">
        <v>235</v>
      </c>
      <c r="U141" s="108">
        <v>45908</v>
      </c>
    </row>
    <row r="142" spans="1:21">
      <c r="A142" t="s">
        <v>25</v>
      </c>
      <c r="B142" t="s">
        <v>26</v>
      </c>
      <c r="C142" t="s">
        <v>2441</v>
      </c>
      <c r="D142" t="s">
        <v>28</v>
      </c>
      <c r="E142" t="s">
        <v>195</v>
      </c>
      <c r="F142" s="108">
        <v>45853</v>
      </c>
      <c r="G142">
        <v>5468</v>
      </c>
      <c r="H142" t="s">
        <v>581</v>
      </c>
      <c r="I142" t="s">
        <v>582</v>
      </c>
      <c r="J142" t="s">
        <v>583</v>
      </c>
      <c r="K142" t="s">
        <v>48</v>
      </c>
      <c r="L142" t="s">
        <v>553</v>
      </c>
      <c r="M142" t="s">
        <v>513</v>
      </c>
      <c r="N142" t="s">
        <v>36</v>
      </c>
      <c r="O142">
        <v>1</v>
      </c>
      <c r="P142" t="s">
        <v>584</v>
      </c>
      <c r="Q142" t="s">
        <v>258</v>
      </c>
      <c r="R142">
        <v>75</v>
      </c>
      <c r="S142">
        <v>0</v>
      </c>
      <c r="T142">
        <v>75</v>
      </c>
      <c r="U142" s="108">
        <v>45908</v>
      </c>
    </row>
    <row r="143" spans="1:21">
      <c r="A143" t="s">
        <v>25</v>
      </c>
      <c r="B143" t="s">
        <v>26</v>
      </c>
      <c r="C143" t="s">
        <v>2441</v>
      </c>
      <c r="D143" t="s">
        <v>28</v>
      </c>
      <c r="E143" t="s">
        <v>195</v>
      </c>
      <c r="F143" s="108">
        <v>45853</v>
      </c>
      <c r="G143">
        <v>5469</v>
      </c>
      <c r="H143" t="s">
        <v>585</v>
      </c>
      <c r="I143" t="s">
        <v>586</v>
      </c>
      <c r="J143" t="s">
        <v>428</v>
      </c>
      <c r="K143" t="s">
        <v>48</v>
      </c>
      <c r="L143" t="s">
        <v>587</v>
      </c>
      <c r="M143" t="s">
        <v>423</v>
      </c>
      <c r="N143" t="s">
        <v>36</v>
      </c>
      <c r="O143">
        <v>1</v>
      </c>
      <c r="P143" t="s">
        <v>37</v>
      </c>
      <c r="Q143" t="s">
        <v>423</v>
      </c>
      <c r="R143">
        <v>75</v>
      </c>
      <c r="S143">
        <v>0</v>
      </c>
      <c r="T143">
        <v>75</v>
      </c>
      <c r="U143" s="108">
        <v>45939</v>
      </c>
    </row>
    <row r="144" spans="1:21">
      <c r="A144" t="s">
        <v>25</v>
      </c>
      <c r="B144" t="s">
        <v>26</v>
      </c>
      <c r="C144" t="s">
        <v>2441</v>
      </c>
      <c r="D144" t="s">
        <v>28</v>
      </c>
      <c r="E144" t="s">
        <v>195</v>
      </c>
      <c r="F144" s="108">
        <v>45853</v>
      </c>
      <c r="G144">
        <v>5470</v>
      </c>
      <c r="H144" t="s">
        <v>588</v>
      </c>
      <c r="I144" t="s">
        <v>589</v>
      </c>
      <c r="J144" t="s">
        <v>463</v>
      </c>
      <c r="K144" t="s">
        <v>48</v>
      </c>
      <c r="L144" t="s">
        <v>241</v>
      </c>
      <c r="M144" t="s">
        <v>457</v>
      </c>
      <c r="N144" t="s">
        <v>36</v>
      </c>
      <c r="O144">
        <v>1</v>
      </c>
      <c r="P144" t="s">
        <v>590</v>
      </c>
      <c r="Q144" t="s">
        <v>457</v>
      </c>
      <c r="R144">
        <v>75</v>
      </c>
      <c r="S144">
        <v>0</v>
      </c>
      <c r="T144">
        <v>75</v>
      </c>
      <c r="U144" s="108">
        <v>45908</v>
      </c>
    </row>
    <row r="145" spans="1:23">
      <c r="A145" t="s">
        <v>154</v>
      </c>
      <c r="B145" t="s">
        <v>940</v>
      </c>
      <c r="C145" t="s">
        <v>2443</v>
      </c>
      <c r="D145" t="s">
        <v>156</v>
      </c>
      <c r="E145" t="s">
        <v>942</v>
      </c>
      <c r="F145" s="108">
        <v>45911</v>
      </c>
      <c r="G145">
        <v>6180</v>
      </c>
      <c r="H145" t="s">
        <v>951</v>
      </c>
      <c r="I145" t="s">
        <v>952</v>
      </c>
      <c r="J145" t="s">
        <v>756</v>
      </c>
      <c r="K145" t="s">
        <v>33</v>
      </c>
      <c r="L145" t="s">
        <v>953</v>
      </c>
      <c r="M145" t="s">
        <v>55</v>
      </c>
      <c r="N145" t="s">
        <v>36</v>
      </c>
      <c r="O145">
        <v>1</v>
      </c>
      <c r="P145" t="s">
        <v>954</v>
      </c>
      <c r="Q145" t="s">
        <v>348</v>
      </c>
      <c r="R145">
        <v>75</v>
      </c>
      <c r="S145">
        <v>163.75</v>
      </c>
      <c r="T145">
        <v>238.75</v>
      </c>
      <c r="U145" s="108">
        <v>45939</v>
      </c>
    </row>
    <row r="146" spans="1:23">
      <c r="A146" t="s">
        <v>25</v>
      </c>
      <c r="B146" t="s">
        <v>26</v>
      </c>
      <c r="C146" t="s">
        <v>2441</v>
      </c>
      <c r="D146" t="s">
        <v>28</v>
      </c>
      <c r="E146" t="s">
        <v>195</v>
      </c>
      <c r="F146" s="108">
        <v>45853</v>
      </c>
      <c r="G146">
        <v>5472</v>
      </c>
      <c r="H146" t="s">
        <v>594</v>
      </c>
      <c r="I146" t="s">
        <v>595</v>
      </c>
      <c r="J146" t="s">
        <v>115</v>
      </c>
      <c r="K146" t="s">
        <v>33</v>
      </c>
      <c r="L146" t="s">
        <v>596</v>
      </c>
      <c r="M146" t="s">
        <v>597</v>
      </c>
      <c r="N146" t="s">
        <v>36</v>
      </c>
      <c r="O146">
        <v>1</v>
      </c>
      <c r="P146" t="s">
        <v>598</v>
      </c>
      <c r="Q146" t="s">
        <v>597</v>
      </c>
      <c r="R146">
        <v>75</v>
      </c>
      <c r="S146">
        <v>183.75</v>
      </c>
      <c r="T146">
        <v>258.75</v>
      </c>
      <c r="U146" s="108">
        <v>45908</v>
      </c>
    </row>
    <row r="147" spans="1:23">
      <c r="A147" t="s">
        <v>154</v>
      </c>
      <c r="B147" t="s">
        <v>155</v>
      </c>
      <c r="C147">
        <v>616866669</v>
      </c>
      <c r="D147" t="s">
        <v>156</v>
      </c>
      <c r="E147" t="s">
        <v>599</v>
      </c>
      <c r="F147" s="108">
        <v>45853</v>
      </c>
      <c r="G147">
        <v>5473</v>
      </c>
      <c r="H147" t="s">
        <v>600</v>
      </c>
      <c r="I147" t="s">
        <v>601</v>
      </c>
      <c r="J147" t="s">
        <v>165</v>
      </c>
      <c r="K147" t="s">
        <v>33</v>
      </c>
      <c r="L147" t="s">
        <v>602</v>
      </c>
      <c r="M147" t="s">
        <v>603</v>
      </c>
      <c r="N147" t="s">
        <v>36</v>
      </c>
      <c r="O147">
        <v>1</v>
      </c>
      <c r="P147" t="s">
        <v>604</v>
      </c>
      <c r="Q147" t="s">
        <v>605</v>
      </c>
      <c r="R147">
        <v>75</v>
      </c>
      <c r="S147">
        <v>395.5</v>
      </c>
      <c r="T147">
        <v>470.5</v>
      </c>
      <c r="U147" s="108">
        <v>45908</v>
      </c>
    </row>
    <row r="148" spans="1:23">
      <c r="A148" t="s">
        <v>25</v>
      </c>
      <c r="B148" t="s">
        <v>26</v>
      </c>
      <c r="C148" t="s">
        <v>2441</v>
      </c>
      <c r="D148" t="s">
        <v>28</v>
      </c>
      <c r="E148" t="s">
        <v>195</v>
      </c>
      <c r="F148" s="108">
        <v>45911</v>
      </c>
      <c r="G148">
        <v>6177</v>
      </c>
      <c r="H148" t="s">
        <v>934</v>
      </c>
      <c r="I148" t="s">
        <v>935</v>
      </c>
      <c r="J148" t="s">
        <v>463</v>
      </c>
      <c r="K148" t="s">
        <v>48</v>
      </c>
      <c r="L148" t="s">
        <v>936</v>
      </c>
      <c r="M148" t="s">
        <v>937</v>
      </c>
      <c r="N148" t="s">
        <v>36</v>
      </c>
      <c r="O148">
        <v>1</v>
      </c>
      <c r="P148" t="s">
        <v>938</v>
      </c>
      <c r="Q148" t="s">
        <v>939</v>
      </c>
      <c r="R148">
        <v>75</v>
      </c>
      <c r="S148">
        <v>0</v>
      </c>
      <c r="T148">
        <v>75</v>
      </c>
      <c r="U148" s="108">
        <v>45939</v>
      </c>
    </row>
    <row r="149" spans="1:23">
      <c r="A149" t="s">
        <v>154</v>
      </c>
      <c r="B149" t="s">
        <v>155</v>
      </c>
      <c r="C149">
        <v>616866669</v>
      </c>
      <c r="D149" t="s">
        <v>156</v>
      </c>
      <c r="E149" t="s">
        <v>599</v>
      </c>
      <c r="F149" s="108">
        <v>45853</v>
      </c>
      <c r="G149">
        <v>5475</v>
      </c>
      <c r="H149" t="s">
        <v>609</v>
      </c>
      <c r="I149" t="s">
        <v>610</v>
      </c>
      <c r="J149" t="s">
        <v>165</v>
      </c>
      <c r="K149" t="s">
        <v>33</v>
      </c>
      <c r="L149" t="s">
        <v>241</v>
      </c>
      <c r="M149" t="s">
        <v>457</v>
      </c>
      <c r="N149" t="s">
        <v>36</v>
      </c>
      <c r="O149">
        <v>1</v>
      </c>
      <c r="P149" t="s">
        <v>611</v>
      </c>
      <c r="Q149" t="s">
        <v>55</v>
      </c>
      <c r="R149">
        <v>75</v>
      </c>
      <c r="S149">
        <v>163.75</v>
      </c>
      <c r="T149">
        <v>238.75</v>
      </c>
      <c r="U149" s="108">
        <v>45908</v>
      </c>
    </row>
    <row r="150" spans="1:23">
      <c r="A150" t="s">
        <v>154</v>
      </c>
      <c r="B150" t="s">
        <v>155</v>
      </c>
      <c r="C150">
        <v>616866669</v>
      </c>
      <c r="D150" t="s">
        <v>156</v>
      </c>
      <c r="E150" t="s">
        <v>599</v>
      </c>
      <c r="F150" s="108">
        <v>45853</v>
      </c>
      <c r="G150">
        <v>5476</v>
      </c>
      <c r="H150" t="s">
        <v>612</v>
      </c>
      <c r="I150" t="s">
        <v>613</v>
      </c>
      <c r="J150" t="s">
        <v>165</v>
      </c>
      <c r="K150" t="s">
        <v>33</v>
      </c>
      <c r="L150" t="s">
        <v>241</v>
      </c>
      <c r="M150" t="s">
        <v>406</v>
      </c>
      <c r="N150" t="s">
        <v>36</v>
      </c>
      <c r="O150">
        <v>1</v>
      </c>
      <c r="P150" t="s">
        <v>37</v>
      </c>
      <c r="Q150" t="s">
        <v>614</v>
      </c>
      <c r="R150">
        <v>75</v>
      </c>
      <c r="S150">
        <v>275.5</v>
      </c>
      <c r="T150">
        <v>350.5</v>
      </c>
      <c r="U150" s="108">
        <v>45908</v>
      </c>
    </row>
    <row r="151" spans="1:23">
      <c r="A151" t="s">
        <v>154</v>
      </c>
      <c r="B151" t="s">
        <v>155</v>
      </c>
      <c r="C151">
        <v>616866669</v>
      </c>
      <c r="D151" t="s">
        <v>156</v>
      </c>
      <c r="E151" t="s">
        <v>599</v>
      </c>
      <c r="F151" s="108">
        <v>45853</v>
      </c>
      <c r="G151">
        <v>5477</v>
      </c>
      <c r="H151" t="s">
        <v>615</v>
      </c>
      <c r="I151" t="s">
        <v>616</v>
      </c>
      <c r="J151" t="s">
        <v>165</v>
      </c>
      <c r="K151" t="s">
        <v>33</v>
      </c>
      <c r="L151" t="s">
        <v>241</v>
      </c>
      <c r="M151" t="s">
        <v>457</v>
      </c>
      <c r="N151" t="s">
        <v>36</v>
      </c>
      <c r="O151">
        <v>1</v>
      </c>
      <c r="P151" t="s">
        <v>37</v>
      </c>
      <c r="Q151" t="s">
        <v>55</v>
      </c>
      <c r="R151">
        <v>75</v>
      </c>
      <c r="S151">
        <v>163.75</v>
      </c>
      <c r="T151">
        <v>238.75</v>
      </c>
      <c r="U151" s="108">
        <v>45908</v>
      </c>
    </row>
    <row r="152" spans="1:23">
      <c r="A152" t="s">
        <v>154</v>
      </c>
      <c r="B152" t="s">
        <v>155</v>
      </c>
      <c r="C152">
        <v>616866669</v>
      </c>
      <c r="D152" t="s">
        <v>156</v>
      </c>
      <c r="E152" t="s">
        <v>599</v>
      </c>
      <c r="F152" s="108">
        <v>45853</v>
      </c>
      <c r="G152">
        <v>5478</v>
      </c>
      <c r="H152" t="s">
        <v>353</v>
      </c>
      <c r="I152" t="s">
        <v>354</v>
      </c>
      <c r="J152" t="s">
        <v>165</v>
      </c>
      <c r="K152" t="s">
        <v>33</v>
      </c>
      <c r="L152" t="s">
        <v>470</v>
      </c>
      <c r="M152" t="s">
        <v>457</v>
      </c>
      <c r="N152" t="s">
        <v>36</v>
      </c>
      <c r="O152">
        <v>1</v>
      </c>
      <c r="P152" t="s">
        <v>611</v>
      </c>
      <c r="Q152" t="s">
        <v>55</v>
      </c>
      <c r="R152">
        <v>75</v>
      </c>
      <c r="S152">
        <v>163.75</v>
      </c>
      <c r="T152">
        <v>238.75</v>
      </c>
      <c r="U152" s="108">
        <v>45908</v>
      </c>
    </row>
    <row r="153" spans="1:23">
      <c r="A153" t="s">
        <v>154</v>
      </c>
      <c r="B153" t="s">
        <v>155</v>
      </c>
      <c r="C153">
        <v>616866669</v>
      </c>
      <c r="D153" t="s">
        <v>156</v>
      </c>
      <c r="E153" t="s">
        <v>599</v>
      </c>
      <c r="F153" s="108">
        <v>45853</v>
      </c>
      <c r="G153">
        <v>5479</v>
      </c>
      <c r="H153" t="s">
        <v>617</v>
      </c>
      <c r="I153" t="s">
        <v>618</v>
      </c>
      <c r="J153" t="s">
        <v>165</v>
      </c>
      <c r="K153" t="s">
        <v>33</v>
      </c>
      <c r="L153" t="s">
        <v>619</v>
      </c>
      <c r="M153" t="s">
        <v>457</v>
      </c>
      <c r="N153" t="s">
        <v>36</v>
      </c>
      <c r="O153">
        <v>1</v>
      </c>
      <c r="P153" t="s">
        <v>620</v>
      </c>
      <c r="Q153" t="s">
        <v>55</v>
      </c>
      <c r="R153">
        <v>75</v>
      </c>
      <c r="S153">
        <v>163.75</v>
      </c>
      <c r="T153">
        <v>238.75</v>
      </c>
      <c r="U153" s="108">
        <v>45908</v>
      </c>
    </row>
    <row r="154" spans="1:23">
      <c r="A154" t="s">
        <v>25</v>
      </c>
      <c r="B154" t="s">
        <v>26</v>
      </c>
      <c r="C154" t="s">
        <v>2441</v>
      </c>
      <c r="D154" t="s">
        <v>28</v>
      </c>
      <c r="E154" t="s">
        <v>195</v>
      </c>
      <c r="F154" s="108">
        <v>45911</v>
      </c>
      <c r="G154">
        <v>6173</v>
      </c>
      <c r="H154" t="s">
        <v>914</v>
      </c>
      <c r="I154" t="s">
        <v>472</v>
      </c>
      <c r="J154" t="s">
        <v>115</v>
      </c>
      <c r="K154" t="s">
        <v>33</v>
      </c>
      <c r="L154" t="s">
        <v>884</v>
      </c>
      <c r="M154" t="s">
        <v>915</v>
      </c>
      <c r="N154" t="s">
        <v>36</v>
      </c>
      <c r="O154">
        <v>1</v>
      </c>
      <c r="P154" t="s">
        <v>916</v>
      </c>
      <c r="Q154" t="s">
        <v>917</v>
      </c>
      <c r="R154">
        <v>75</v>
      </c>
      <c r="S154">
        <v>240</v>
      </c>
      <c r="T154">
        <v>315</v>
      </c>
      <c r="U154" s="108">
        <v>45939</v>
      </c>
      <c r="W154" t="s">
        <v>918</v>
      </c>
    </row>
    <row r="155" spans="1:23">
      <c r="A155" t="s">
        <v>154</v>
      </c>
      <c r="B155" t="s">
        <v>155</v>
      </c>
      <c r="C155">
        <v>616866669</v>
      </c>
      <c r="D155" t="s">
        <v>156</v>
      </c>
      <c r="E155" t="s">
        <v>599</v>
      </c>
      <c r="F155" s="108">
        <v>45853</v>
      </c>
      <c r="G155">
        <v>5481</v>
      </c>
      <c r="H155" t="s">
        <v>624</v>
      </c>
      <c r="I155" t="s">
        <v>625</v>
      </c>
      <c r="J155" t="s">
        <v>165</v>
      </c>
      <c r="K155" t="s">
        <v>33</v>
      </c>
      <c r="L155" t="s">
        <v>626</v>
      </c>
      <c r="M155" t="s">
        <v>627</v>
      </c>
      <c r="N155" t="s">
        <v>36</v>
      </c>
      <c r="O155">
        <v>1</v>
      </c>
      <c r="P155" t="s">
        <v>37</v>
      </c>
      <c r="Q155" t="s">
        <v>628</v>
      </c>
      <c r="R155">
        <v>75</v>
      </c>
      <c r="S155">
        <v>183.75</v>
      </c>
      <c r="T155">
        <v>258.75</v>
      </c>
      <c r="U155" s="108">
        <v>45908</v>
      </c>
    </row>
    <row r="156" spans="1:23">
      <c r="A156" t="s">
        <v>154</v>
      </c>
      <c r="B156" t="s">
        <v>155</v>
      </c>
      <c r="C156">
        <v>616866669</v>
      </c>
      <c r="D156" t="s">
        <v>156</v>
      </c>
      <c r="E156" t="s">
        <v>599</v>
      </c>
      <c r="F156" s="108">
        <v>45853</v>
      </c>
      <c r="G156">
        <v>5482</v>
      </c>
      <c r="H156" t="s">
        <v>629</v>
      </c>
      <c r="I156" t="s">
        <v>630</v>
      </c>
      <c r="J156" t="s">
        <v>192</v>
      </c>
      <c r="K156" t="s">
        <v>33</v>
      </c>
      <c r="L156" t="s">
        <v>631</v>
      </c>
      <c r="M156" t="s">
        <v>632</v>
      </c>
      <c r="N156" t="s">
        <v>36</v>
      </c>
      <c r="O156">
        <v>1</v>
      </c>
      <c r="P156" t="s">
        <v>37</v>
      </c>
      <c r="Q156" t="s">
        <v>633</v>
      </c>
      <c r="R156">
        <v>75</v>
      </c>
      <c r="S156">
        <v>140</v>
      </c>
      <c r="T156">
        <v>215</v>
      </c>
      <c r="U156" s="108">
        <v>45908</v>
      </c>
    </row>
    <row r="157" spans="1:23">
      <c r="A157" t="s">
        <v>154</v>
      </c>
      <c r="B157" t="s">
        <v>155</v>
      </c>
      <c r="C157">
        <v>616866669</v>
      </c>
      <c r="D157" t="s">
        <v>156</v>
      </c>
      <c r="E157" t="s">
        <v>599</v>
      </c>
      <c r="F157" s="108">
        <v>45853</v>
      </c>
      <c r="G157">
        <v>5483</v>
      </c>
      <c r="H157" t="s">
        <v>634</v>
      </c>
      <c r="I157" t="s">
        <v>635</v>
      </c>
      <c r="J157" t="s">
        <v>192</v>
      </c>
      <c r="K157" t="s">
        <v>33</v>
      </c>
      <c r="L157" t="s">
        <v>636</v>
      </c>
      <c r="M157" t="s">
        <v>637</v>
      </c>
      <c r="N157" t="s">
        <v>36</v>
      </c>
      <c r="O157">
        <v>1</v>
      </c>
      <c r="P157" t="s">
        <v>37</v>
      </c>
      <c r="Q157" t="s">
        <v>637</v>
      </c>
      <c r="R157">
        <v>75</v>
      </c>
      <c r="S157">
        <v>315</v>
      </c>
      <c r="T157">
        <v>390</v>
      </c>
      <c r="U157" s="108">
        <v>45908</v>
      </c>
    </row>
    <row r="158" spans="1:23">
      <c r="A158" t="s">
        <v>25</v>
      </c>
      <c r="B158" t="s">
        <v>26</v>
      </c>
      <c r="C158" t="s">
        <v>2441</v>
      </c>
      <c r="D158" t="s">
        <v>28</v>
      </c>
      <c r="E158" t="s">
        <v>195</v>
      </c>
      <c r="F158" s="108">
        <v>45862</v>
      </c>
      <c r="G158">
        <v>5484</v>
      </c>
      <c r="H158" t="s">
        <v>638</v>
      </c>
      <c r="I158" t="s">
        <v>639</v>
      </c>
      <c r="J158" t="s">
        <v>160</v>
      </c>
      <c r="K158" t="s">
        <v>33</v>
      </c>
      <c r="L158" t="s">
        <v>640</v>
      </c>
      <c r="M158" t="s">
        <v>641</v>
      </c>
      <c r="N158" t="s">
        <v>36</v>
      </c>
      <c r="O158">
        <v>1</v>
      </c>
      <c r="P158" t="s">
        <v>37</v>
      </c>
      <c r="Q158" t="s">
        <v>641</v>
      </c>
      <c r="R158">
        <v>75</v>
      </c>
      <c r="S158">
        <v>283.75</v>
      </c>
      <c r="T158">
        <v>358.75</v>
      </c>
      <c r="U158" s="108">
        <v>45908</v>
      </c>
    </row>
    <row r="159" spans="1:23">
      <c r="A159" t="s">
        <v>25</v>
      </c>
      <c r="B159" t="s">
        <v>26</v>
      </c>
      <c r="C159" t="s">
        <v>2441</v>
      </c>
      <c r="D159" t="s">
        <v>28</v>
      </c>
      <c r="E159" t="s">
        <v>195</v>
      </c>
      <c r="F159" s="108">
        <v>45862</v>
      </c>
      <c r="G159">
        <v>5485</v>
      </c>
      <c r="H159" t="s">
        <v>638</v>
      </c>
      <c r="I159" t="s">
        <v>642</v>
      </c>
      <c r="J159" t="s">
        <v>160</v>
      </c>
      <c r="K159" t="s">
        <v>33</v>
      </c>
      <c r="L159" t="s">
        <v>640</v>
      </c>
      <c r="M159" t="s">
        <v>251</v>
      </c>
      <c r="N159" t="s">
        <v>36</v>
      </c>
      <c r="O159">
        <v>1</v>
      </c>
      <c r="P159" t="s">
        <v>37</v>
      </c>
      <c r="Q159" t="s">
        <v>251</v>
      </c>
      <c r="R159">
        <v>75</v>
      </c>
      <c r="S159">
        <v>215</v>
      </c>
      <c r="T159">
        <v>290</v>
      </c>
      <c r="U159" s="108">
        <v>45898</v>
      </c>
    </row>
    <row r="160" spans="1:23">
      <c r="A160" t="s">
        <v>25</v>
      </c>
      <c r="B160" t="s">
        <v>26</v>
      </c>
      <c r="C160" t="s">
        <v>2441</v>
      </c>
      <c r="D160" t="s">
        <v>28</v>
      </c>
      <c r="E160" t="s">
        <v>195</v>
      </c>
      <c r="F160" s="108">
        <v>45862</v>
      </c>
      <c r="G160">
        <v>5486</v>
      </c>
      <c r="H160" t="s">
        <v>643</v>
      </c>
      <c r="I160" t="s">
        <v>644</v>
      </c>
      <c r="J160" t="s">
        <v>397</v>
      </c>
      <c r="K160" t="s">
        <v>48</v>
      </c>
      <c r="L160" t="s">
        <v>645</v>
      </c>
      <c r="M160" t="s">
        <v>117</v>
      </c>
      <c r="N160" t="s">
        <v>36</v>
      </c>
      <c r="O160">
        <v>1</v>
      </c>
      <c r="P160" t="s">
        <v>37</v>
      </c>
      <c r="Q160" t="s">
        <v>117</v>
      </c>
      <c r="R160">
        <v>75</v>
      </c>
      <c r="S160">
        <v>215</v>
      </c>
      <c r="T160">
        <v>290</v>
      </c>
      <c r="U160" s="108">
        <v>45908</v>
      </c>
    </row>
    <row r="161" spans="1:21">
      <c r="A161" t="s">
        <v>25</v>
      </c>
      <c r="B161" t="s">
        <v>26</v>
      </c>
      <c r="C161" t="s">
        <v>2441</v>
      </c>
      <c r="D161" t="s">
        <v>28</v>
      </c>
      <c r="E161" t="s">
        <v>195</v>
      </c>
      <c r="F161" s="108">
        <v>45862</v>
      </c>
      <c r="G161">
        <v>5487</v>
      </c>
      <c r="H161" t="s">
        <v>647</v>
      </c>
      <c r="I161" t="s">
        <v>215</v>
      </c>
      <c r="J161" t="s">
        <v>216</v>
      </c>
      <c r="K161" t="s">
        <v>33</v>
      </c>
      <c r="L161" t="s">
        <v>648</v>
      </c>
      <c r="M161" t="s">
        <v>603</v>
      </c>
      <c r="N161" t="s">
        <v>36</v>
      </c>
      <c r="O161">
        <v>1</v>
      </c>
      <c r="P161" t="s">
        <v>37</v>
      </c>
      <c r="Q161" t="s">
        <v>649</v>
      </c>
      <c r="R161">
        <v>75</v>
      </c>
      <c r="S161" t="s">
        <v>650</v>
      </c>
      <c r="T161">
        <v>75</v>
      </c>
      <c r="U161" s="108">
        <v>45898</v>
      </c>
    </row>
    <row r="162" spans="1:21">
      <c r="A162" t="s">
        <v>25</v>
      </c>
      <c r="B162" t="s">
        <v>26</v>
      </c>
      <c r="C162" t="s">
        <v>2441</v>
      </c>
      <c r="D162" t="s">
        <v>28</v>
      </c>
      <c r="E162" t="s">
        <v>195</v>
      </c>
      <c r="F162" s="108">
        <v>45862</v>
      </c>
      <c r="G162">
        <v>5488</v>
      </c>
      <c r="H162" t="s">
        <v>651</v>
      </c>
      <c r="I162" t="s">
        <v>652</v>
      </c>
      <c r="J162" t="s">
        <v>485</v>
      </c>
      <c r="K162" t="s">
        <v>48</v>
      </c>
      <c r="L162" t="s">
        <v>653</v>
      </c>
      <c r="M162" t="s">
        <v>654</v>
      </c>
      <c r="N162" t="s">
        <v>36</v>
      </c>
      <c r="O162">
        <v>1</v>
      </c>
      <c r="P162" t="s">
        <v>655</v>
      </c>
      <c r="Q162" t="s">
        <v>656</v>
      </c>
      <c r="R162">
        <v>75</v>
      </c>
      <c r="S162">
        <v>0</v>
      </c>
      <c r="T162">
        <v>75</v>
      </c>
      <c r="U162" s="108">
        <v>45898</v>
      </c>
    </row>
    <row r="163" spans="1:21">
      <c r="A163" t="s">
        <v>25</v>
      </c>
      <c r="B163" t="s">
        <v>26</v>
      </c>
      <c r="C163" t="s">
        <v>2441</v>
      </c>
      <c r="D163" t="s">
        <v>28</v>
      </c>
      <c r="E163" t="s">
        <v>195</v>
      </c>
      <c r="F163" s="108">
        <v>45862</v>
      </c>
      <c r="G163">
        <v>5489</v>
      </c>
      <c r="H163" t="s">
        <v>657</v>
      </c>
      <c r="I163" t="s">
        <v>658</v>
      </c>
      <c r="J163" t="s">
        <v>160</v>
      </c>
      <c r="K163" t="s">
        <v>33</v>
      </c>
      <c r="L163" t="s">
        <v>659</v>
      </c>
      <c r="M163" t="s">
        <v>457</v>
      </c>
      <c r="N163" t="s">
        <v>36</v>
      </c>
      <c r="O163">
        <v>1</v>
      </c>
      <c r="P163" t="s">
        <v>660</v>
      </c>
      <c r="Q163" t="s">
        <v>661</v>
      </c>
      <c r="R163">
        <v>75</v>
      </c>
      <c r="S163">
        <v>163.75</v>
      </c>
      <c r="T163">
        <v>238.75</v>
      </c>
      <c r="U163" s="108">
        <v>45898</v>
      </c>
    </row>
    <row r="164" spans="1:21">
      <c r="A164" t="s">
        <v>25</v>
      </c>
      <c r="B164" t="s">
        <v>26</v>
      </c>
      <c r="C164" t="s">
        <v>2441</v>
      </c>
      <c r="D164" t="s">
        <v>28</v>
      </c>
      <c r="E164" t="s">
        <v>195</v>
      </c>
      <c r="F164" s="108">
        <v>45862</v>
      </c>
      <c r="G164">
        <v>5490</v>
      </c>
      <c r="H164" t="s">
        <v>662</v>
      </c>
      <c r="I164" t="s">
        <v>663</v>
      </c>
      <c r="J164" t="s">
        <v>502</v>
      </c>
      <c r="K164" t="s">
        <v>33</v>
      </c>
      <c r="L164" t="s">
        <v>664</v>
      </c>
      <c r="M164" t="s">
        <v>423</v>
      </c>
      <c r="N164" t="s">
        <v>36</v>
      </c>
      <c r="O164">
        <v>1</v>
      </c>
      <c r="P164" t="s">
        <v>665</v>
      </c>
      <c r="Q164" t="s">
        <v>423</v>
      </c>
      <c r="R164">
        <v>75</v>
      </c>
      <c r="S164">
        <v>111.75</v>
      </c>
      <c r="T164">
        <v>186.75</v>
      </c>
      <c r="U164" s="108">
        <v>45898</v>
      </c>
    </row>
    <row r="165" spans="1:21">
      <c r="A165" t="s">
        <v>25</v>
      </c>
      <c r="B165" t="s">
        <v>26</v>
      </c>
      <c r="C165" t="s">
        <v>2441</v>
      </c>
      <c r="D165" t="s">
        <v>28</v>
      </c>
      <c r="E165" t="s">
        <v>195</v>
      </c>
      <c r="F165" s="108">
        <v>45862</v>
      </c>
      <c r="G165">
        <v>5491</v>
      </c>
      <c r="H165" t="s">
        <v>666</v>
      </c>
      <c r="I165" t="s">
        <v>667</v>
      </c>
      <c r="J165" t="s">
        <v>201</v>
      </c>
      <c r="K165" t="s">
        <v>33</v>
      </c>
      <c r="L165" t="s">
        <v>668</v>
      </c>
      <c r="M165" t="s">
        <v>669</v>
      </c>
      <c r="N165" t="s">
        <v>36</v>
      </c>
      <c r="O165">
        <v>1</v>
      </c>
      <c r="P165" t="s">
        <v>37</v>
      </c>
      <c r="Q165" t="s">
        <v>670</v>
      </c>
      <c r="R165">
        <v>75</v>
      </c>
      <c r="S165">
        <v>70</v>
      </c>
      <c r="T165">
        <v>145</v>
      </c>
      <c r="U165" s="108">
        <v>45898</v>
      </c>
    </row>
    <row r="166" spans="1:21">
      <c r="A166" t="s">
        <v>25</v>
      </c>
      <c r="B166" t="s">
        <v>26</v>
      </c>
      <c r="C166" t="s">
        <v>2441</v>
      </c>
      <c r="D166" t="s">
        <v>28</v>
      </c>
      <c r="E166" t="s">
        <v>195</v>
      </c>
      <c r="F166" s="108">
        <v>45862</v>
      </c>
      <c r="G166" t="s">
        <v>836</v>
      </c>
      <c r="H166" t="s">
        <v>671</v>
      </c>
      <c r="I166" t="s">
        <v>672</v>
      </c>
      <c r="J166" t="s">
        <v>379</v>
      </c>
      <c r="K166" t="s">
        <v>48</v>
      </c>
      <c r="L166" t="s">
        <v>673</v>
      </c>
      <c r="M166" t="s">
        <v>112</v>
      </c>
      <c r="N166" t="s">
        <v>36</v>
      </c>
      <c r="O166">
        <v>1</v>
      </c>
      <c r="P166" t="s">
        <v>37</v>
      </c>
      <c r="Q166" t="s">
        <v>117</v>
      </c>
      <c r="R166">
        <v>75</v>
      </c>
      <c r="S166">
        <v>0</v>
      </c>
      <c r="T166">
        <v>75</v>
      </c>
      <c r="U166" s="108">
        <v>45898</v>
      </c>
    </row>
    <row r="167" spans="1:21">
      <c r="A167" t="s">
        <v>25</v>
      </c>
      <c r="B167" t="s">
        <v>26</v>
      </c>
      <c r="C167" t="s">
        <v>2441</v>
      </c>
      <c r="D167" t="s">
        <v>28</v>
      </c>
      <c r="E167" t="s">
        <v>195</v>
      </c>
      <c r="F167" s="108">
        <v>45862</v>
      </c>
      <c r="G167">
        <v>5493</v>
      </c>
      <c r="H167" t="s">
        <v>674</v>
      </c>
      <c r="I167" t="s">
        <v>675</v>
      </c>
      <c r="J167" t="s">
        <v>216</v>
      </c>
      <c r="K167" t="s">
        <v>33</v>
      </c>
      <c r="L167" t="s">
        <v>676</v>
      </c>
      <c r="M167" t="s">
        <v>258</v>
      </c>
      <c r="N167" t="s">
        <v>36</v>
      </c>
      <c r="O167">
        <v>1</v>
      </c>
      <c r="P167" t="s">
        <v>677</v>
      </c>
      <c r="Q167" t="s">
        <v>259</v>
      </c>
      <c r="R167">
        <v>75</v>
      </c>
      <c r="S167">
        <v>320</v>
      </c>
      <c r="T167">
        <v>395</v>
      </c>
      <c r="U167" s="108">
        <v>45908</v>
      </c>
    </row>
    <row r="168" spans="1:21">
      <c r="A168" t="s">
        <v>25</v>
      </c>
      <c r="B168" t="s">
        <v>26</v>
      </c>
      <c r="C168" t="s">
        <v>2441</v>
      </c>
      <c r="D168" t="s">
        <v>28</v>
      </c>
      <c r="E168" t="s">
        <v>195</v>
      </c>
      <c r="F168" s="108">
        <v>45911</v>
      </c>
      <c r="G168">
        <v>6172</v>
      </c>
      <c r="H168" t="s">
        <v>908</v>
      </c>
      <c r="I168" t="s">
        <v>909</v>
      </c>
      <c r="J168" t="s">
        <v>115</v>
      </c>
      <c r="K168" t="s">
        <v>33</v>
      </c>
      <c r="L168" t="s">
        <v>910</v>
      </c>
      <c r="M168" t="s">
        <v>911</v>
      </c>
      <c r="N168" t="s">
        <v>36</v>
      </c>
      <c r="O168">
        <v>1</v>
      </c>
      <c r="P168" t="s">
        <v>912</v>
      </c>
      <c r="Q168" t="s">
        <v>911</v>
      </c>
      <c r="R168">
        <v>75</v>
      </c>
      <c r="S168">
        <v>378.75</v>
      </c>
      <c r="T168">
        <v>453.75</v>
      </c>
      <c r="U168" s="108">
        <v>45939</v>
      </c>
    </row>
    <row r="169" spans="1:21">
      <c r="A169" t="s">
        <v>25</v>
      </c>
      <c r="B169" t="s">
        <v>26</v>
      </c>
      <c r="C169" t="s">
        <v>2441</v>
      </c>
      <c r="D169" t="s">
        <v>28</v>
      </c>
      <c r="E169" t="s">
        <v>195</v>
      </c>
      <c r="F169" s="108">
        <v>45862</v>
      </c>
      <c r="G169">
        <v>5495</v>
      </c>
      <c r="H169" t="s">
        <v>683</v>
      </c>
      <c r="I169" t="s">
        <v>684</v>
      </c>
      <c r="J169" t="s">
        <v>160</v>
      </c>
      <c r="K169" t="s">
        <v>33</v>
      </c>
      <c r="L169" t="s">
        <v>685</v>
      </c>
      <c r="M169" t="s">
        <v>117</v>
      </c>
      <c r="N169" t="s">
        <v>36</v>
      </c>
      <c r="O169">
        <v>1</v>
      </c>
      <c r="P169" t="s">
        <v>686</v>
      </c>
      <c r="Q169" t="s">
        <v>117</v>
      </c>
      <c r="R169">
        <v>75</v>
      </c>
      <c r="S169">
        <v>215</v>
      </c>
      <c r="T169">
        <v>290</v>
      </c>
      <c r="U169" s="108">
        <v>45908</v>
      </c>
    </row>
    <row r="170" spans="1:21">
      <c r="A170" t="s">
        <v>25</v>
      </c>
      <c r="B170" t="s">
        <v>26</v>
      </c>
      <c r="C170" t="s">
        <v>2441</v>
      </c>
      <c r="D170" t="s">
        <v>28</v>
      </c>
      <c r="E170" t="s">
        <v>195</v>
      </c>
      <c r="F170" s="108">
        <v>45862</v>
      </c>
      <c r="G170">
        <v>5496</v>
      </c>
      <c r="H170" t="s">
        <v>687</v>
      </c>
      <c r="I170" t="s">
        <v>688</v>
      </c>
      <c r="J170" t="s">
        <v>502</v>
      </c>
      <c r="K170" t="s">
        <v>33</v>
      </c>
      <c r="L170" t="s">
        <v>689</v>
      </c>
      <c r="M170" t="s">
        <v>840</v>
      </c>
      <c r="N170" t="s">
        <v>36</v>
      </c>
      <c r="O170">
        <v>1</v>
      </c>
      <c r="P170" t="s">
        <v>691</v>
      </c>
      <c r="Q170" t="s">
        <v>840</v>
      </c>
      <c r="R170">
        <v>75</v>
      </c>
      <c r="S170">
        <v>0</v>
      </c>
      <c r="T170">
        <v>75</v>
      </c>
      <c r="U170" s="108">
        <v>45939</v>
      </c>
    </row>
    <row r="171" spans="1:21">
      <c r="A171" t="s">
        <v>25</v>
      </c>
      <c r="B171" t="s">
        <v>26</v>
      </c>
      <c r="C171" t="s">
        <v>2441</v>
      </c>
      <c r="D171" t="s">
        <v>28</v>
      </c>
      <c r="E171" t="s">
        <v>195</v>
      </c>
      <c r="F171" s="108">
        <v>45874</v>
      </c>
      <c r="G171">
        <v>5685</v>
      </c>
      <c r="H171" t="s">
        <v>692</v>
      </c>
      <c r="I171" t="s">
        <v>693</v>
      </c>
      <c r="J171" t="s">
        <v>115</v>
      </c>
      <c r="K171" t="s">
        <v>33</v>
      </c>
      <c r="L171" t="s">
        <v>694</v>
      </c>
      <c r="M171" t="s">
        <v>117</v>
      </c>
      <c r="N171" t="s">
        <v>36</v>
      </c>
      <c r="O171">
        <v>1</v>
      </c>
      <c r="P171" t="s">
        <v>695</v>
      </c>
      <c r="Q171" t="s">
        <v>117</v>
      </c>
      <c r="R171">
        <v>75</v>
      </c>
      <c r="S171">
        <v>215</v>
      </c>
      <c r="T171">
        <v>290</v>
      </c>
      <c r="U171" s="108">
        <v>45908</v>
      </c>
    </row>
    <row r="172" spans="1:21">
      <c r="A172" t="s">
        <v>25</v>
      </c>
      <c r="B172" t="s">
        <v>26</v>
      </c>
      <c r="C172" t="s">
        <v>2441</v>
      </c>
      <c r="D172" t="s">
        <v>28</v>
      </c>
      <c r="E172" t="s">
        <v>195</v>
      </c>
      <c r="F172" s="108">
        <v>45874</v>
      </c>
      <c r="G172">
        <v>5773</v>
      </c>
      <c r="H172" t="s">
        <v>696</v>
      </c>
      <c r="I172" t="s">
        <v>697</v>
      </c>
      <c r="J172" t="s">
        <v>115</v>
      </c>
      <c r="K172" t="s">
        <v>33</v>
      </c>
      <c r="L172" t="s">
        <v>698</v>
      </c>
      <c r="M172" t="s">
        <v>842</v>
      </c>
      <c r="N172" t="s">
        <v>36</v>
      </c>
      <c r="O172">
        <v>1</v>
      </c>
      <c r="P172" t="s">
        <v>843</v>
      </c>
      <c r="Q172" t="s">
        <v>842</v>
      </c>
      <c r="R172">
        <v>75</v>
      </c>
      <c r="S172">
        <v>374.45</v>
      </c>
      <c r="T172">
        <v>449.45</v>
      </c>
      <c r="U172" s="108">
        <v>45939</v>
      </c>
    </row>
    <row r="173" spans="1:21">
      <c r="A173" t="s">
        <v>25</v>
      </c>
      <c r="B173" t="s">
        <v>26</v>
      </c>
      <c r="C173" t="s">
        <v>2441</v>
      </c>
      <c r="D173" t="s">
        <v>28</v>
      </c>
      <c r="E173" t="s">
        <v>195</v>
      </c>
      <c r="F173" s="108">
        <v>45874</v>
      </c>
      <c r="G173">
        <v>5774</v>
      </c>
      <c r="H173" t="s">
        <v>699</v>
      </c>
      <c r="I173" t="s">
        <v>700</v>
      </c>
      <c r="J173" t="s">
        <v>115</v>
      </c>
      <c r="K173" t="s">
        <v>33</v>
      </c>
      <c r="L173" t="s">
        <v>701</v>
      </c>
      <c r="M173" t="s">
        <v>733</v>
      </c>
      <c r="N173" t="s">
        <v>36</v>
      </c>
      <c r="O173">
        <v>1</v>
      </c>
      <c r="P173" t="s">
        <v>37</v>
      </c>
      <c r="Q173" t="s">
        <v>733</v>
      </c>
      <c r="R173">
        <v>75</v>
      </c>
      <c r="S173">
        <v>335</v>
      </c>
      <c r="T173">
        <v>410</v>
      </c>
      <c r="U173" s="108">
        <v>45939</v>
      </c>
    </row>
    <row r="174" spans="1:21">
      <c r="A174" t="s">
        <v>25</v>
      </c>
      <c r="B174" t="s">
        <v>26</v>
      </c>
      <c r="C174" t="s">
        <v>2441</v>
      </c>
      <c r="D174" t="s">
        <v>28</v>
      </c>
      <c r="E174" t="s">
        <v>195</v>
      </c>
      <c r="F174" s="108">
        <v>45874</v>
      </c>
      <c r="G174">
        <v>5776</v>
      </c>
      <c r="H174" t="s">
        <v>703</v>
      </c>
      <c r="I174" t="s">
        <v>704</v>
      </c>
      <c r="J174" t="s">
        <v>432</v>
      </c>
      <c r="K174" t="s">
        <v>33</v>
      </c>
      <c r="L174" t="s">
        <v>705</v>
      </c>
      <c r="M174" t="s">
        <v>117</v>
      </c>
      <c r="N174" t="s">
        <v>36</v>
      </c>
      <c r="O174">
        <v>1</v>
      </c>
      <c r="P174" t="s">
        <v>174</v>
      </c>
      <c r="Q174" t="s">
        <v>117</v>
      </c>
      <c r="R174">
        <v>75</v>
      </c>
      <c r="S174">
        <v>215</v>
      </c>
      <c r="T174">
        <v>290</v>
      </c>
      <c r="U174" s="108">
        <v>45908</v>
      </c>
    </row>
    <row r="175" spans="1:21">
      <c r="A175" t="s">
        <v>25</v>
      </c>
      <c r="B175" t="s">
        <v>26</v>
      </c>
      <c r="C175" t="s">
        <v>2441</v>
      </c>
      <c r="D175" t="s">
        <v>28</v>
      </c>
      <c r="E175" t="s">
        <v>195</v>
      </c>
      <c r="F175" s="108">
        <v>45874</v>
      </c>
      <c r="G175">
        <v>5785</v>
      </c>
      <c r="H175" t="s">
        <v>706</v>
      </c>
      <c r="I175" t="s">
        <v>707</v>
      </c>
      <c r="J175" t="s">
        <v>583</v>
      </c>
      <c r="K175" t="s">
        <v>33</v>
      </c>
      <c r="L175" t="s">
        <v>351</v>
      </c>
      <c r="M175" t="s">
        <v>352</v>
      </c>
      <c r="N175" t="s">
        <v>36</v>
      </c>
      <c r="O175">
        <v>1</v>
      </c>
      <c r="P175" t="s">
        <v>708</v>
      </c>
      <c r="Q175" t="s">
        <v>352</v>
      </c>
      <c r="R175">
        <v>75</v>
      </c>
      <c r="S175">
        <v>120</v>
      </c>
      <c r="T175">
        <v>195</v>
      </c>
      <c r="U175" s="108">
        <v>45908</v>
      </c>
    </row>
    <row r="176" spans="1:21">
      <c r="A176" t="s">
        <v>25</v>
      </c>
      <c r="B176" t="s">
        <v>26</v>
      </c>
      <c r="C176" t="s">
        <v>2441</v>
      </c>
      <c r="D176" t="s">
        <v>28</v>
      </c>
      <c r="E176" t="s">
        <v>195</v>
      </c>
      <c r="F176" s="108">
        <v>45874</v>
      </c>
      <c r="G176">
        <v>5786</v>
      </c>
      <c r="H176" t="s">
        <v>709</v>
      </c>
      <c r="I176" t="s">
        <v>710</v>
      </c>
      <c r="J176" t="s">
        <v>428</v>
      </c>
      <c r="K176" t="s">
        <v>33</v>
      </c>
      <c r="L176" t="s">
        <v>351</v>
      </c>
      <c r="M176" t="s">
        <v>258</v>
      </c>
      <c r="N176" t="s">
        <v>36</v>
      </c>
      <c r="O176">
        <v>1</v>
      </c>
      <c r="P176" t="s">
        <v>578</v>
      </c>
      <c r="Q176" t="s">
        <v>352</v>
      </c>
      <c r="R176">
        <v>75</v>
      </c>
      <c r="S176">
        <v>120</v>
      </c>
      <c r="T176">
        <v>195</v>
      </c>
      <c r="U176" s="108">
        <v>45908</v>
      </c>
    </row>
    <row r="177" spans="1:23">
      <c r="A177" t="s">
        <v>25</v>
      </c>
      <c r="B177" t="s">
        <v>26</v>
      </c>
      <c r="C177" t="s">
        <v>2441</v>
      </c>
      <c r="D177" t="s">
        <v>28</v>
      </c>
      <c r="E177" t="s">
        <v>195</v>
      </c>
      <c r="F177" s="108">
        <v>45874</v>
      </c>
      <c r="G177">
        <v>5787</v>
      </c>
      <c r="H177" t="s">
        <v>711</v>
      </c>
      <c r="I177" t="s">
        <v>712</v>
      </c>
      <c r="J177" t="s">
        <v>463</v>
      </c>
      <c r="K177" t="s">
        <v>33</v>
      </c>
      <c r="L177" t="s">
        <v>351</v>
      </c>
      <c r="M177" t="s">
        <v>713</v>
      </c>
      <c r="N177" t="s">
        <v>36</v>
      </c>
      <c r="O177">
        <v>1</v>
      </c>
      <c r="P177" t="s">
        <v>37</v>
      </c>
      <c r="Q177" t="s">
        <v>352</v>
      </c>
      <c r="R177">
        <v>75</v>
      </c>
      <c r="S177">
        <v>120</v>
      </c>
      <c r="T177">
        <v>195</v>
      </c>
      <c r="U177" s="108">
        <v>45898</v>
      </c>
    </row>
    <row r="178" spans="1:23">
      <c r="A178" t="s">
        <v>25</v>
      </c>
      <c r="B178" t="s">
        <v>26</v>
      </c>
      <c r="C178" t="s">
        <v>2441</v>
      </c>
      <c r="D178" t="s">
        <v>28</v>
      </c>
      <c r="E178" t="s">
        <v>195</v>
      </c>
      <c r="F178" s="108">
        <v>45874</v>
      </c>
      <c r="G178">
        <v>5788</v>
      </c>
      <c r="H178" t="s">
        <v>714</v>
      </c>
      <c r="I178" t="s">
        <v>715</v>
      </c>
      <c r="J178" t="s">
        <v>115</v>
      </c>
      <c r="K178" t="s">
        <v>33</v>
      </c>
      <c r="L178" t="s">
        <v>716</v>
      </c>
      <c r="M178" t="s">
        <v>55</v>
      </c>
      <c r="N178" t="s">
        <v>36</v>
      </c>
      <c r="O178">
        <v>1</v>
      </c>
      <c r="P178" t="s">
        <v>37</v>
      </c>
      <c r="Q178" t="s">
        <v>55</v>
      </c>
      <c r="R178">
        <v>75</v>
      </c>
      <c r="S178">
        <v>163.75</v>
      </c>
      <c r="T178">
        <v>238.75</v>
      </c>
      <c r="U178" s="108">
        <v>45939</v>
      </c>
    </row>
    <row r="179" spans="1:23">
      <c r="A179" t="s">
        <v>25</v>
      </c>
      <c r="B179" t="s">
        <v>26</v>
      </c>
      <c r="C179" t="s">
        <v>2441</v>
      </c>
      <c r="D179" t="s">
        <v>28</v>
      </c>
      <c r="E179" t="s">
        <v>195</v>
      </c>
      <c r="F179" s="108">
        <v>45911</v>
      </c>
      <c r="G179">
        <v>6171</v>
      </c>
      <c r="H179" t="s">
        <v>905</v>
      </c>
      <c r="I179" t="s">
        <v>906</v>
      </c>
      <c r="J179" t="s">
        <v>463</v>
      </c>
      <c r="K179" t="s">
        <v>48</v>
      </c>
      <c r="L179" t="s">
        <v>894</v>
      </c>
      <c r="M179" t="s">
        <v>867</v>
      </c>
      <c r="N179" t="s">
        <v>36</v>
      </c>
      <c r="O179">
        <v>1</v>
      </c>
      <c r="P179" t="s">
        <v>907</v>
      </c>
      <c r="Q179" t="s">
        <v>869</v>
      </c>
      <c r="R179">
        <v>75</v>
      </c>
      <c r="S179">
        <v>0</v>
      </c>
      <c r="T179">
        <v>75</v>
      </c>
      <c r="U179" s="108">
        <v>45939</v>
      </c>
    </row>
    <row r="180" spans="1:23">
      <c r="A180" t="s">
        <v>25</v>
      </c>
      <c r="B180" t="s">
        <v>26</v>
      </c>
      <c r="C180" t="s">
        <v>2441</v>
      </c>
      <c r="D180" t="s">
        <v>28</v>
      </c>
      <c r="E180" t="s">
        <v>195</v>
      </c>
      <c r="F180" s="108">
        <v>45874</v>
      </c>
      <c r="G180">
        <v>5790</v>
      </c>
      <c r="H180" t="s">
        <v>721</v>
      </c>
      <c r="I180" t="s">
        <v>722</v>
      </c>
      <c r="J180" t="s">
        <v>432</v>
      </c>
      <c r="K180" t="s">
        <v>33</v>
      </c>
      <c r="L180" t="s">
        <v>719</v>
      </c>
      <c r="M180" t="s">
        <v>723</v>
      </c>
      <c r="N180" t="s">
        <v>36</v>
      </c>
      <c r="O180">
        <v>1</v>
      </c>
      <c r="P180" t="s">
        <v>37</v>
      </c>
      <c r="Q180" t="s">
        <v>541</v>
      </c>
      <c r="R180">
        <v>75</v>
      </c>
      <c r="S180">
        <v>283.75</v>
      </c>
      <c r="T180">
        <v>358.75</v>
      </c>
      <c r="U180" s="108">
        <v>45908</v>
      </c>
    </row>
    <row r="181" spans="1:23">
      <c r="A181" t="s">
        <v>25</v>
      </c>
      <c r="B181" t="s">
        <v>26</v>
      </c>
      <c r="C181" t="s">
        <v>2441</v>
      </c>
      <c r="D181" t="s">
        <v>28</v>
      </c>
      <c r="E181" t="s">
        <v>195</v>
      </c>
      <c r="F181" s="108">
        <v>45911</v>
      </c>
      <c r="G181">
        <v>6170</v>
      </c>
      <c r="H181" t="s">
        <v>902</v>
      </c>
      <c r="I181" t="s">
        <v>903</v>
      </c>
      <c r="J181" t="s">
        <v>115</v>
      </c>
      <c r="K181" t="s">
        <v>33</v>
      </c>
      <c r="L181" t="s">
        <v>884</v>
      </c>
      <c r="M181" t="s">
        <v>817</v>
      </c>
      <c r="N181" t="s">
        <v>36</v>
      </c>
      <c r="O181">
        <v>1</v>
      </c>
      <c r="P181" t="s">
        <v>904</v>
      </c>
      <c r="Q181" t="s">
        <v>352</v>
      </c>
      <c r="R181">
        <v>75</v>
      </c>
      <c r="S181">
        <v>160</v>
      </c>
      <c r="T181">
        <v>235</v>
      </c>
      <c r="U181" s="108">
        <v>45939</v>
      </c>
    </row>
    <row r="182" spans="1:23">
      <c r="A182" t="s">
        <v>25</v>
      </c>
      <c r="B182" t="s">
        <v>26</v>
      </c>
      <c r="C182" t="s">
        <v>2441</v>
      </c>
      <c r="D182" t="s">
        <v>28</v>
      </c>
      <c r="E182" t="s">
        <v>195</v>
      </c>
      <c r="F182" s="108">
        <v>45874</v>
      </c>
      <c r="G182">
        <v>5793</v>
      </c>
      <c r="H182" t="s">
        <v>728</v>
      </c>
      <c r="I182" t="s">
        <v>729</v>
      </c>
      <c r="J182" t="s">
        <v>115</v>
      </c>
      <c r="K182" t="s">
        <v>33</v>
      </c>
      <c r="L182" t="s">
        <v>730</v>
      </c>
      <c r="M182" t="s">
        <v>348</v>
      </c>
      <c r="N182" t="s">
        <v>36</v>
      </c>
      <c r="O182">
        <v>1</v>
      </c>
      <c r="P182" t="s">
        <v>174</v>
      </c>
      <c r="Q182" t="s">
        <v>55</v>
      </c>
      <c r="R182">
        <v>75</v>
      </c>
      <c r="S182">
        <v>163.75</v>
      </c>
      <c r="T182">
        <v>238.75</v>
      </c>
      <c r="U182" s="108">
        <v>45939</v>
      </c>
    </row>
    <row r="183" spans="1:23">
      <c r="A183" t="s">
        <v>25</v>
      </c>
      <c r="B183" t="s">
        <v>26</v>
      </c>
      <c r="C183" t="s">
        <v>2441</v>
      </c>
      <c r="D183" t="s">
        <v>28</v>
      </c>
      <c r="E183" t="s">
        <v>195</v>
      </c>
      <c r="F183" s="108">
        <v>45874</v>
      </c>
      <c r="G183">
        <v>5794</v>
      </c>
      <c r="H183" t="s">
        <v>731</v>
      </c>
      <c r="I183" t="s">
        <v>732</v>
      </c>
      <c r="J183" t="s">
        <v>115</v>
      </c>
      <c r="K183" t="s">
        <v>33</v>
      </c>
      <c r="L183" t="s">
        <v>701</v>
      </c>
      <c r="M183" t="s">
        <v>733</v>
      </c>
      <c r="N183" t="s">
        <v>36</v>
      </c>
      <c r="O183">
        <v>1</v>
      </c>
      <c r="P183" t="s">
        <v>37</v>
      </c>
      <c r="Q183" t="s">
        <v>733</v>
      </c>
      <c r="R183">
        <v>75</v>
      </c>
      <c r="S183">
        <v>335</v>
      </c>
      <c r="T183">
        <v>410</v>
      </c>
      <c r="U183" s="108">
        <v>45908</v>
      </c>
    </row>
    <row r="184" spans="1:23">
      <c r="A184" t="s">
        <v>25</v>
      </c>
      <c r="B184" t="s">
        <v>26</v>
      </c>
      <c r="C184" t="s">
        <v>2441</v>
      </c>
      <c r="D184" t="s">
        <v>28</v>
      </c>
      <c r="E184" t="s">
        <v>195</v>
      </c>
      <c r="F184" s="108">
        <v>45874</v>
      </c>
      <c r="G184">
        <v>5795</v>
      </c>
      <c r="H184" t="s">
        <v>734</v>
      </c>
      <c r="I184" t="s">
        <v>735</v>
      </c>
      <c r="J184" t="s">
        <v>558</v>
      </c>
      <c r="K184" t="s">
        <v>33</v>
      </c>
      <c r="L184" t="s">
        <v>233</v>
      </c>
      <c r="M184" t="s">
        <v>117</v>
      </c>
      <c r="N184" t="s">
        <v>36</v>
      </c>
      <c r="O184">
        <v>1</v>
      </c>
      <c r="P184" t="s">
        <v>737</v>
      </c>
      <c r="Q184" t="s">
        <v>117</v>
      </c>
      <c r="R184">
        <v>75</v>
      </c>
      <c r="S184">
        <v>215</v>
      </c>
      <c r="T184">
        <v>290</v>
      </c>
      <c r="U184" s="108">
        <v>45908</v>
      </c>
    </row>
    <row r="185" spans="1:23">
      <c r="A185" t="s">
        <v>25</v>
      </c>
      <c r="B185" t="s">
        <v>26</v>
      </c>
      <c r="C185" t="s">
        <v>2441</v>
      </c>
      <c r="D185" t="s">
        <v>28</v>
      </c>
      <c r="E185" t="s">
        <v>195</v>
      </c>
      <c r="F185" s="108">
        <v>45874</v>
      </c>
      <c r="G185">
        <v>5796</v>
      </c>
      <c r="H185" t="s">
        <v>738</v>
      </c>
      <c r="I185" t="s">
        <v>739</v>
      </c>
      <c r="J185" t="s">
        <v>115</v>
      </c>
      <c r="K185" t="s">
        <v>33</v>
      </c>
      <c r="L185" t="s">
        <v>740</v>
      </c>
      <c r="M185" t="s">
        <v>848</v>
      </c>
      <c r="N185" t="s">
        <v>36</v>
      </c>
      <c r="O185">
        <v>1</v>
      </c>
      <c r="P185" t="s">
        <v>37</v>
      </c>
      <c r="Q185" t="s">
        <v>848</v>
      </c>
      <c r="R185">
        <v>75</v>
      </c>
      <c r="S185">
        <v>233.75</v>
      </c>
      <c r="T185">
        <v>308.75</v>
      </c>
      <c r="U185" s="108">
        <v>45939</v>
      </c>
    </row>
    <row r="186" spans="1:23">
      <c r="A186" t="s">
        <v>25</v>
      </c>
      <c r="B186" t="s">
        <v>26</v>
      </c>
      <c r="C186" t="s">
        <v>2441</v>
      </c>
      <c r="D186" t="s">
        <v>28</v>
      </c>
      <c r="E186" t="s">
        <v>195</v>
      </c>
      <c r="F186" s="108">
        <v>45839</v>
      </c>
      <c r="G186" t="s">
        <v>394</v>
      </c>
      <c r="H186" t="s">
        <v>395</v>
      </c>
      <c r="I186" t="s">
        <v>741</v>
      </c>
      <c r="J186" t="s">
        <v>397</v>
      </c>
      <c r="K186" t="s">
        <v>48</v>
      </c>
      <c r="L186" t="s">
        <v>210</v>
      </c>
      <c r="M186" t="s">
        <v>351</v>
      </c>
      <c r="N186" t="s">
        <v>36</v>
      </c>
      <c r="O186">
        <v>1</v>
      </c>
      <c r="P186" t="s">
        <v>351</v>
      </c>
      <c r="Q186" t="s">
        <v>258</v>
      </c>
      <c r="R186">
        <v>75</v>
      </c>
      <c r="S186">
        <v>320</v>
      </c>
      <c r="T186">
        <v>395</v>
      </c>
      <c r="U186" s="108">
        <v>45908</v>
      </c>
      <c r="W186" t="s">
        <v>399</v>
      </c>
    </row>
    <row r="187" spans="1:23">
      <c r="A187" t="s">
        <v>154</v>
      </c>
      <c r="B187" t="s">
        <v>155</v>
      </c>
      <c r="C187">
        <v>616866669</v>
      </c>
      <c r="D187" t="s">
        <v>156</v>
      </c>
      <c r="E187" t="s">
        <v>599</v>
      </c>
      <c r="F187" s="108">
        <v>45728</v>
      </c>
      <c r="G187">
        <v>4035</v>
      </c>
      <c r="H187" t="s">
        <v>163</v>
      </c>
      <c r="I187" t="s">
        <v>742</v>
      </c>
      <c r="J187" t="s">
        <v>165</v>
      </c>
      <c r="K187" t="s">
        <v>33</v>
      </c>
      <c r="L187" t="s">
        <v>166</v>
      </c>
      <c r="M187" t="s">
        <v>351</v>
      </c>
      <c r="N187" t="s">
        <v>36</v>
      </c>
      <c r="O187">
        <v>1</v>
      </c>
      <c r="P187" t="s">
        <v>744</v>
      </c>
      <c r="Q187" t="s">
        <v>745</v>
      </c>
      <c r="R187">
        <v>75</v>
      </c>
      <c r="S187">
        <v>320</v>
      </c>
      <c r="T187">
        <v>395</v>
      </c>
      <c r="U187" s="108">
        <v>45908</v>
      </c>
      <c r="W187" t="s">
        <v>746</v>
      </c>
    </row>
    <row r="188" spans="1:23">
      <c r="A188" t="s">
        <v>154</v>
      </c>
      <c r="B188" t="s">
        <v>155</v>
      </c>
      <c r="C188">
        <v>616866669</v>
      </c>
      <c r="D188" t="s">
        <v>156</v>
      </c>
      <c r="E188" t="s">
        <v>599</v>
      </c>
      <c r="F188" s="108">
        <v>45728</v>
      </c>
      <c r="G188">
        <v>4036</v>
      </c>
      <c r="H188" t="s">
        <v>170</v>
      </c>
      <c r="I188" t="s">
        <v>747</v>
      </c>
      <c r="J188" t="s">
        <v>172</v>
      </c>
      <c r="K188" t="s">
        <v>48</v>
      </c>
      <c r="L188" t="s">
        <v>173</v>
      </c>
      <c r="M188" t="s">
        <v>117</v>
      </c>
      <c r="N188" t="s">
        <v>36</v>
      </c>
      <c r="O188">
        <v>1</v>
      </c>
      <c r="P188" t="s">
        <v>174</v>
      </c>
      <c r="Q188" t="s">
        <v>748</v>
      </c>
      <c r="R188">
        <v>75</v>
      </c>
      <c r="S188">
        <v>273.75</v>
      </c>
      <c r="T188">
        <v>348.75</v>
      </c>
      <c r="U188" s="108">
        <v>45908</v>
      </c>
      <c r="W188" t="s">
        <v>746</v>
      </c>
    </row>
    <row r="189" spans="1:23">
      <c r="A189" t="s">
        <v>154</v>
      </c>
      <c r="B189" t="s">
        <v>155</v>
      </c>
      <c r="C189">
        <v>616866669</v>
      </c>
      <c r="D189" t="s">
        <v>156</v>
      </c>
      <c r="E189" t="s">
        <v>599</v>
      </c>
      <c r="F189" s="108">
        <v>45728</v>
      </c>
      <c r="G189">
        <v>4034</v>
      </c>
      <c r="H189" t="s">
        <v>186</v>
      </c>
      <c r="I189" t="s">
        <v>749</v>
      </c>
      <c r="J189" t="s">
        <v>165</v>
      </c>
      <c r="K189" t="s">
        <v>33</v>
      </c>
      <c r="L189" t="s">
        <v>188</v>
      </c>
      <c r="M189" t="s">
        <v>55</v>
      </c>
      <c r="N189" t="s">
        <v>36</v>
      </c>
      <c r="O189">
        <v>1</v>
      </c>
      <c r="P189" t="s">
        <v>189</v>
      </c>
      <c r="Q189" t="s">
        <v>55</v>
      </c>
      <c r="R189">
        <v>75</v>
      </c>
      <c r="S189">
        <v>163.75</v>
      </c>
      <c r="T189">
        <v>238.75</v>
      </c>
      <c r="U189" s="108">
        <v>45908</v>
      </c>
      <c r="W189" t="s">
        <v>746</v>
      </c>
    </row>
    <row r="190" spans="1:23">
      <c r="A190" t="s">
        <v>154</v>
      </c>
      <c r="B190" t="s">
        <v>155</v>
      </c>
      <c r="C190">
        <v>616866669</v>
      </c>
      <c r="D190" t="s">
        <v>156</v>
      </c>
      <c r="E190" t="s">
        <v>283</v>
      </c>
      <c r="F190" s="108">
        <v>45757</v>
      </c>
      <c r="G190">
        <v>4643</v>
      </c>
      <c r="H190" t="s">
        <v>362</v>
      </c>
      <c r="I190" t="s">
        <v>849</v>
      </c>
      <c r="J190" t="s">
        <v>165</v>
      </c>
      <c r="K190" t="s">
        <v>33</v>
      </c>
      <c r="L190" t="s">
        <v>364</v>
      </c>
      <c r="M190" t="s">
        <v>750</v>
      </c>
      <c r="N190" t="s">
        <v>36</v>
      </c>
      <c r="O190">
        <v>1</v>
      </c>
      <c r="P190" t="s">
        <v>751</v>
      </c>
      <c r="Q190" t="s">
        <v>352</v>
      </c>
      <c r="R190">
        <v>75</v>
      </c>
      <c r="S190">
        <v>120</v>
      </c>
      <c r="T190">
        <v>195</v>
      </c>
      <c r="U190" s="108">
        <v>45908</v>
      </c>
      <c r="W190" t="s">
        <v>169</v>
      </c>
    </row>
    <row r="191" spans="1:23">
      <c r="A191" t="s">
        <v>25</v>
      </c>
      <c r="B191" t="s">
        <v>26</v>
      </c>
      <c r="C191" t="s">
        <v>2441</v>
      </c>
      <c r="D191" t="s">
        <v>28</v>
      </c>
      <c r="E191" t="s">
        <v>29</v>
      </c>
      <c r="F191" s="108">
        <v>45716</v>
      </c>
      <c r="G191">
        <v>4024</v>
      </c>
      <c r="H191" t="s">
        <v>149</v>
      </c>
      <c r="I191" t="s">
        <v>850</v>
      </c>
      <c r="J191" t="s">
        <v>126</v>
      </c>
      <c r="K191" t="s">
        <v>33</v>
      </c>
      <c r="L191" t="s">
        <v>145</v>
      </c>
      <c r="M191" t="s">
        <v>117</v>
      </c>
      <c r="N191" t="s">
        <v>36</v>
      </c>
      <c r="O191">
        <v>1</v>
      </c>
      <c r="P191" t="s">
        <v>366</v>
      </c>
      <c r="Q191" t="s">
        <v>117</v>
      </c>
      <c r="R191">
        <v>75</v>
      </c>
      <c r="S191">
        <v>215</v>
      </c>
      <c r="T191">
        <v>290</v>
      </c>
      <c r="U191" s="108">
        <v>45898</v>
      </c>
    </row>
    <row r="192" spans="1:23">
      <c r="A192" t="s">
        <v>25</v>
      </c>
      <c r="B192" t="s">
        <v>26</v>
      </c>
      <c r="C192" t="s">
        <v>2441</v>
      </c>
      <c r="D192" t="s">
        <v>28</v>
      </c>
      <c r="E192" t="s">
        <v>195</v>
      </c>
      <c r="F192" s="108">
        <v>45874</v>
      </c>
      <c r="G192">
        <v>5775</v>
      </c>
      <c r="H192" t="s">
        <v>702</v>
      </c>
      <c r="I192" t="s">
        <v>469</v>
      </c>
      <c r="J192" t="s">
        <v>115</v>
      </c>
      <c r="K192" t="s">
        <v>33</v>
      </c>
      <c r="L192" t="s">
        <v>213</v>
      </c>
      <c r="M192" t="s">
        <v>55</v>
      </c>
      <c r="N192" t="s">
        <v>36</v>
      </c>
      <c r="O192">
        <v>1</v>
      </c>
      <c r="P192" t="s">
        <v>851</v>
      </c>
      <c r="Q192" t="s">
        <v>55</v>
      </c>
      <c r="R192">
        <v>75</v>
      </c>
      <c r="S192">
        <v>163.75</v>
      </c>
      <c r="T192">
        <v>238.75</v>
      </c>
      <c r="U192" s="108">
        <v>45939</v>
      </c>
    </row>
    <row r="193" spans="1:21">
      <c r="A193" t="s">
        <v>25</v>
      </c>
      <c r="B193" t="s">
        <v>26</v>
      </c>
      <c r="C193" t="s">
        <v>2441</v>
      </c>
      <c r="D193" t="s">
        <v>28</v>
      </c>
      <c r="E193" t="s">
        <v>195</v>
      </c>
      <c r="F193" s="108">
        <v>45911</v>
      </c>
      <c r="G193">
        <v>6167</v>
      </c>
      <c r="H193" t="s">
        <v>896</v>
      </c>
      <c r="I193" t="s">
        <v>897</v>
      </c>
      <c r="J193" t="s">
        <v>428</v>
      </c>
      <c r="K193" t="s">
        <v>48</v>
      </c>
      <c r="L193" t="s">
        <v>884</v>
      </c>
      <c r="M193" t="s">
        <v>817</v>
      </c>
      <c r="N193" t="s">
        <v>36</v>
      </c>
      <c r="O193">
        <v>1</v>
      </c>
      <c r="P193" t="s">
        <v>872</v>
      </c>
      <c r="Q193" t="s">
        <v>352</v>
      </c>
      <c r="R193">
        <v>75</v>
      </c>
      <c r="S193">
        <v>160</v>
      </c>
      <c r="T193">
        <v>235</v>
      </c>
      <c r="U193" s="108">
        <v>45939</v>
      </c>
    </row>
    <row r="194" spans="1:21">
      <c r="A194" t="s">
        <v>25</v>
      </c>
      <c r="B194" t="s">
        <v>26</v>
      </c>
      <c r="C194" t="s">
        <v>2441</v>
      </c>
      <c r="D194" t="s">
        <v>28</v>
      </c>
      <c r="E194" t="s">
        <v>195</v>
      </c>
      <c r="F194" s="108">
        <v>45911</v>
      </c>
      <c r="G194">
        <v>6164</v>
      </c>
      <c r="H194" t="s">
        <v>889</v>
      </c>
      <c r="I194" t="s">
        <v>890</v>
      </c>
      <c r="J194" t="s">
        <v>115</v>
      </c>
      <c r="K194" t="s">
        <v>33</v>
      </c>
      <c r="L194" t="s">
        <v>884</v>
      </c>
      <c r="M194" t="s">
        <v>351</v>
      </c>
      <c r="N194" t="s">
        <v>36</v>
      </c>
      <c r="O194">
        <v>1</v>
      </c>
      <c r="P194" t="s">
        <v>891</v>
      </c>
      <c r="Q194" t="s">
        <v>352</v>
      </c>
      <c r="R194">
        <v>75</v>
      </c>
      <c r="S194">
        <v>160</v>
      </c>
      <c r="T194">
        <v>235</v>
      </c>
      <c r="U194" s="108">
        <v>45939</v>
      </c>
    </row>
    <row r="195" spans="1:21">
      <c r="A195" t="s">
        <v>25</v>
      </c>
      <c r="B195" t="s">
        <v>26</v>
      </c>
      <c r="C195" t="s">
        <v>2441</v>
      </c>
      <c r="D195" t="s">
        <v>28</v>
      </c>
      <c r="E195" t="s">
        <v>195</v>
      </c>
      <c r="F195" s="108">
        <v>45911</v>
      </c>
      <c r="G195">
        <v>6163</v>
      </c>
      <c r="H195" t="s">
        <v>885</v>
      </c>
      <c r="I195" t="s">
        <v>886</v>
      </c>
      <c r="J195" t="s">
        <v>115</v>
      </c>
      <c r="K195" t="s">
        <v>33</v>
      </c>
      <c r="L195" t="s">
        <v>887</v>
      </c>
      <c r="M195" t="s">
        <v>55</v>
      </c>
      <c r="N195" t="s">
        <v>36</v>
      </c>
      <c r="O195">
        <v>1</v>
      </c>
      <c r="P195" t="s">
        <v>888</v>
      </c>
      <c r="Q195" t="s">
        <v>55</v>
      </c>
      <c r="R195">
        <v>75</v>
      </c>
      <c r="S195">
        <v>163.75</v>
      </c>
      <c r="T195">
        <v>238.75</v>
      </c>
      <c r="U195" s="108">
        <v>45939</v>
      </c>
    </row>
    <row r="196" spans="1:21">
      <c r="A196" t="s">
        <v>25</v>
      </c>
      <c r="B196" t="s">
        <v>26</v>
      </c>
      <c r="C196" t="s">
        <v>2441</v>
      </c>
      <c r="D196" t="s">
        <v>28</v>
      </c>
      <c r="E196" t="s">
        <v>195</v>
      </c>
      <c r="F196" s="108">
        <v>45908</v>
      </c>
      <c r="G196">
        <v>6158</v>
      </c>
      <c r="H196" t="s">
        <v>865</v>
      </c>
      <c r="I196" t="s">
        <v>866</v>
      </c>
      <c r="J196" t="s">
        <v>180</v>
      </c>
      <c r="K196" t="s">
        <v>48</v>
      </c>
      <c r="L196" t="s">
        <v>319</v>
      </c>
      <c r="M196" t="s">
        <v>867</v>
      </c>
      <c r="N196" t="s">
        <v>36</v>
      </c>
      <c r="O196">
        <v>1</v>
      </c>
      <c r="P196" t="s">
        <v>868</v>
      </c>
      <c r="Q196" t="s">
        <v>869</v>
      </c>
      <c r="R196">
        <v>75</v>
      </c>
      <c r="S196">
        <v>0</v>
      </c>
      <c r="T196">
        <v>75</v>
      </c>
      <c r="U196" s="108">
        <v>45939</v>
      </c>
    </row>
    <row r="197" spans="1:21">
      <c r="A197" t="s">
        <v>25</v>
      </c>
      <c r="B197" t="s">
        <v>26</v>
      </c>
      <c r="C197" t="s">
        <v>2441</v>
      </c>
      <c r="D197" t="s">
        <v>28</v>
      </c>
      <c r="E197" t="s">
        <v>195</v>
      </c>
      <c r="F197" s="108">
        <v>45908</v>
      </c>
      <c r="G197">
        <v>6159</v>
      </c>
      <c r="H197" t="s">
        <v>870</v>
      </c>
      <c r="I197" t="s">
        <v>871</v>
      </c>
      <c r="J197" t="s">
        <v>201</v>
      </c>
      <c r="K197" t="s">
        <v>48</v>
      </c>
      <c r="L197" t="s">
        <v>351</v>
      </c>
      <c r="M197" t="s">
        <v>351</v>
      </c>
      <c r="N197" t="s">
        <v>36</v>
      </c>
      <c r="O197">
        <v>1</v>
      </c>
      <c r="P197" t="s">
        <v>872</v>
      </c>
      <c r="Q197" t="s">
        <v>352</v>
      </c>
      <c r="R197">
        <v>75</v>
      </c>
      <c r="S197">
        <v>160</v>
      </c>
      <c r="T197">
        <v>235</v>
      </c>
      <c r="U197" s="108">
        <v>45939</v>
      </c>
    </row>
    <row r="198" spans="1:21">
      <c r="A198" t="s">
        <v>25</v>
      </c>
      <c r="B198" t="s">
        <v>26</v>
      </c>
      <c r="C198" t="s">
        <v>2441</v>
      </c>
      <c r="D198" t="s">
        <v>28</v>
      </c>
      <c r="E198" t="s">
        <v>195</v>
      </c>
      <c r="F198" s="108">
        <v>45911</v>
      </c>
      <c r="G198">
        <v>6162</v>
      </c>
      <c r="H198" t="s">
        <v>882</v>
      </c>
      <c r="I198" t="s">
        <v>883</v>
      </c>
      <c r="J198" t="s">
        <v>463</v>
      </c>
      <c r="K198" t="s">
        <v>48</v>
      </c>
      <c r="L198" t="s">
        <v>884</v>
      </c>
      <c r="M198" t="s">
        <v>351</v>
      </c>
      <c r="N198" t="s">
        <v>36</v>
      </c>
      <c r="O198">
        <v>1</v>
      </c>
      <c r="P198" t="s">
        <v>872</v>
      </c>
      <c r="Q198" t="s">
        <v>352</v>
      </c>
      <c r="R198">
        <v>75</v>
      </c>
      <c r="S198">
        <v>160</v>
      </c>
      <c r="T198">
        <v>235</v>
      </c>
      <c r="U198" s="108">
        <v>45939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F0973-E554-4B32-8926-BF098383C335}">
  <sheetPr>
    <tabColor rgb="FFFFC000"/>
  </sheetPr>
  <dimension ref="A2:P75"/>
  <sheetViews>
    <sheetView workbookViewId="0">
      <selection activeCell="G16" sqref="G16"/>
    </sheetView>
  </sheetViews>
  <sheetFormatPr baseColWidth="10" defaultColWidth="11.453125" defaultRowHeight="14.5"/>
  <cols>
    <col min="1" max="1" width="11.453125" style="82"/>
    <col min="2" max="2" width="25.6328125" bestFit="1" customWidth="1"/>
    <col min="3" max="3" width="15.90625" bestFit="1" customWidth="1"/>
    <col min="4" max="4" width="10.81640625" style="82"/>
    <col min="5" max="5" width="25.6328125" bestFit="1" customWidth="1"/>
    <col min="6" max="6" width="19.36328125" bestFit="1" customWidth="1"/>
    <col min="7" max="16" width="10.81640625" style="82"/>
  </cols>
  <sheetData>
    <row r="2" spans="2:6" s="82" customFormat="1" ht="23.5">
      <c r="B2" s="84" t="s">
        <v>2444</v>
      </c>
      <c r="C2" s="85"/>
      <c r="E2" s="84"/>
      <c r="F2" s="85"/>
    </row>
    <row r="3" spans="2:6" s="82" customFormat="1" ht="23.5">
      <c r="B3" s="85"/>
      <c r="C3" s="85"/>
      <c r="E3" s="85"/>
      <c r="F3" s="85"/>
    </row>
    <row r="5" spans="2:6">
      <c r="B5" s="92" t="s">
        <v>2445</v>
      </c>
      <c r="C5" t="s">
        <v>2446</v>
      </c>
      <c r="E5" s="92" t="s">
        <v>2445</v>
      </c>
      <c r="F5" t="s">
        <v>2447</v>
      </c>
    </row>
    <row r="6" spans="2:6">
      <c r="B6" s="93" t="s">
        <v>784</v>
      </c>
      <c r="C6" s="156">
        <v>1</v>
      </c>
      <c r="E6" s="93" t="s">
        <v>784</v>
      </c>
      <c r="F6" s="95">
        <v>0</v>
      </c>
    </row>
    <row r="7" spans="2:6">
      <c r="B7" s="94" t="s">
        <v>36</v>
      </c>
      <c r="C7" s="157">
        <v>561</v>
      </c>
      <c r="E7" s="94" t="s">
        <v>36</v>
      </c>
      <c r="F7" s="96">
        <v>123349.41999999998</v>
      </c>
    </row>
    <row r="8" spans="2:6">
      <c r="B8" s="93" t="s">
        <v>499</v>
      </c>
      <c r="C8" s="156">
        <v>383</v>
      </c>
      <c r="E8" s="93" t="s">
        <v>499</v>
      </c>
      <c r="F8" s="95">
        <v>1288</v>
      </c>
    </row>
    <row r="9" spans="2:6">
      <c r="B9" s="93" t="s">
        <v>785</v>
      </c>
      <c r="C9" s="156">
        <v>2</v>
      </c>
      <c r="E9" s="93" t="s">
        <v>785</v>
      </c>
      <c r="F9" s="95">
        <v>180</v>
      </c>
    </row>
    <row r="10" spans="2:6" s="82" customFormat="1">
      <c r="B10" s="93" t="s">
        <v>758</v>
      </c>
      <c r="C10" s="156"/>
      <c r="E10" s="93" t="s">
        <v>758</v>
      </c>
      <c r="F10" s="95">
        <v>0</v>
      </c>
    </row>
    <row r="11" spans="2:6" s="82" customFormat="1">
      <c r="B11" s="93" t="s">
        <v>783</v>
      </c>
      <c r="C11" s="156">
        <v>947</v>
      </c>
      <c r="E11" s="93" t="s">
        <v>783</v>
      </c>
      <c r="F11" s="95">
        <v>124817.41999999998</v>
      </c>
    </row>
    <row r="12" spans="2:6" s="82" customFormat="1">
      <c r="B12"/>
      <c r="C12"/>
      <c r="E12"/>
      <c r="F12"/>
    </row>
    <row r="13" spans="2:6" s="82" customFormat="1"/>
    <row r="14" spans="2:6" s="82" customFormat="1"/>
    <row r="15" spans="2:6" s="82" customFormat="1"/>
    <row r="16" spans="2:6" s="82" customFormat="1"/>
    <row r="17" s="82" customFormat="1"/>
    <row r="18" s="82" customFormat="1"/>
    <row r="19" s="82" customFormat="1"/>
    <row r="20" s="82" customFormat="1"/>
    <row r="21" s="82" customFormat="1"/>
    <row r="22" s="82" customFormat="1"/>
    <row r="23" s="82" customFormat="1"/>
    <row r="24" s="82" customFormat="1"/>
    <row r="25" s="82" customFormat="1"/>
    <row r="26" s="82" customFormat="1"/>
    <row r="27" s="82" customFormat="1"/>
    <row r="28" s="82" customFormat="1"/>
    <row r="29" s="82" customFormat="1"/>
    <row r="30" s="82" customFormat="1"/>
    <row r="31" s="82" customFormat="1"/>
    <row r="32" s="82" customFormat="1"/>
    <row r="33" s="82" customFormat="1"/>
    <row r="34" s="82" customFormat="1"/>
    <row r="35" s="82" customFormat="1"/>
    <row r="36" s="82" customFormat="1"/>
    <row r="37" s="82" customFormat="1"/>
    <row r="38" s="82" customFormat="1"/>
    <row r="39" s="82" customFormat="1"/>
    <row r="40" s="82" customFormat="1"/>
    <row r="41" s="82" customFormat="1"/>
    <row r="42" s="82" customFormat="1"/>
    <row r="43" s="82" customFormat="1"/>
    <row r="44" s="82" customFormat="1"/>
    <row r="45" s="82" customFormat="1"/>
    <row r="46" s="82" customFormat="1"/>
    <row r="47" s="82" customFormat="1"/>
    <row r="48" s="82" customFormat="1"/>
    <row r="49" s="82" customFormat="1"/>
    <row r="50" s="82" customFormat="1"/>
    <row r="51" s="82" customFormat="1"/>
    <row r="52" s="82" customFormat="1"/>
    <row r="53" s="82" customFormat="1"/>
    <row r="54" s="82" customFormat="1"/>
    <row r="55" s="82" customFormat="1"/>
    <row r="56" s="82" customFormat="1"/>
    <row r="57" s="82" customFormat="1"/>
    <row r="58" s="82" customFormat="1"/>
    <row r="59" s="82" customFormat="1"/>
    <row r="60" s="82" customFormat="1"/>
    <row r="61" s="82" customFormat="1"/>
    <row r="62" s="82" customFormat="1"/>
    <row r="63" s="82" customFormat="1"/>
    <row r="64" s="82" customFormat="1"/>
    <row r="65" s="82" customFormat="1"/>
    <row r="66" s="82" customFormat="1"/>
    <row r="67" s="82" customFormat="1"/>
    <row r="68" s="82" customFormat="1"/>
    <row r="69" s="82" customFormat="1"/>
    <row r="70" s="82" customFormat="1"/>
    <row r="71" s="82" customFormat="1"/>
    <row r="72" s="82" customFormat="1"/>
    <row r="73" s="82" customFormat="1"/>
    <row r="74" s="82" customFormat="1"/>
    <row r="75" s="82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1ACA-DCC0-42D5-801D-D2855EAC8C77}">
  <dimension ref="A1:E45"/>
  <sheetViews>
    <sheetView topLeftCell="A12" zoomScale="90" zoomScaleNormal="90" workbookViewId="0">
      <selection activeCell="A38" sqref="A38"/>
    </sheetView>
  </sheetViews>
  <sheetFormatPr baseColWidth="10" defaultColWidth="11.453125" defaultRowHeight="14.5"/>
  <cols>
    <col min="1" max="1" width="131.1796875" customWidth="1"/>
    <col min="2" max="2" width="41.26953125" customWidth="1"/>
    <col min="3" max="3" width="12.7265625" customWidth="1"/>
    <col min="4" max="4" width="23.26953125" customWidth="1"/>
    <col min="5" max="5" width="17.26953125" customWidth="1"/>
    <col min="6" max="6" width="26.1796875" customWidth="1"/>
  </cols>
  <sheetData>
    <row r="1" spans="1:5">
      <c r="A1" s="100" t="s">
        <v>2448</v>
      </c>
      <c r="B1" s="101" t="s">
        <v>2449</v>
      </c>
      <c r="C1" s="100" t="s">
        <v>2450</v>
      </c>
      <c r="D1" s="100" t="s">
        <v>2451</v>
      </c>
    </row>
    <row r="2" spans="1:5" ht="20.25" customHeight="1">
      <c r="A2" s="6" t="s">
        <v>2452</v>
      </c>
      <c r="B2" s="102" t="s">
        <v>2453</v>
      </c>
      <c r="C2" s="29">
        <v>67.5</v>
      </c>
      <c r="D2" s="29">
        <v>120</v>
      </c>
    </row>
    <row r="3" spans="1:5" ht="14.25" customHeight="1">
      <c r="A3" s="6" t="s">
        <v>2454</v>
      </c>
      <c r="B3" s="102" t="s">
        <v>2455</v>
      </c>
      <c r="C3" s="29">
        <v>49</v>
      </c>
      <c r="D3" s="29" t="s">
        <v>2456</v>
      </c>
    </row>
    <row r="4" spans="1:5" ht="20.25" customHeight="1">
      <c r="A4" s="6" t="s">
        <v>2457</v>
      </c>
      <c r="B4" s="102" t="s">
        <v>2458</v>
      </c>
      <c r="C4" s="29">
        <v>215</v>
      </c>
      <c r="D4" s="5">
        <v>320</v>
      </c>
    </row>
    <row r="5" spans="1:5" ht="16.5" customHeight="1">
      <c r="A5" t="s">
        <v>2459</v>
      </c>
      <c r="B5" s="103" t="s">
        <v>2460</v>
      </c>
      <c r="C5" s="5">
        <v>218</v>
      </c>
      <c r="D5" s="5">
        <v>320</v>
      </c>
    </row>
    <row r="6" spans="1:5" ht="15" customHeight="1">
      <c r="A6" s="6" t="s">
        <v>2461</v>
      </c>
      <c r="B6" s="102" t="s">
        <v>2462</v>
      </c>
      <c r="C6" s="29">
        <v>99</v>
      </c>
      <c r="D6" s="29">
        <v>163.75</v>
      </c>
    </row>
    <row r="7" spans="1:5" ht="19.5" customHeight="1">
      <c r="A7" t="s">
        <v>2463</v>
      </c>
      <c r="B7" s="103" t="s">
        <v>2464</v>
      </c>
      <c r="C7" s="29">
        <v>45</v>
      </c>
      <c r="D7" s="5">
        <v>77</v>
      </c>
    </row>
    <row r="8" spans="1:5">
      <c r="A8" t="s">
        <v>2465</v>
      </c>
      <c r="B8" s="103" t="s">
        <v>2466</v>
      </c>
      <c r="C8" s="5">
        <v>94.5</v>
      </c>
      <c r="D8" s="5">
        <v>160</v>
      </c>
    </row>
    <row r="9" spans="1:5">
      <c r="A9" t="s">
        <v>2467</v>
      </c>
      <c r="B9" s="103" t="s">
        <v>2468</v>
      </c>
      <c r="C9" s="104">
        <v>56.5</v>
      </c>
      <c r="D9" s="104">
        <v>120</v>
      </c>
      <c r="E9" s="105"/>
    </row>
    <row r="10" spans="1:5">
      <c r="A10" t="s">
        <v>2469</v>
      </c>
      <c r="B10" s="103" t="s">
        <v>2470</v>
      </c>
      <c r="C10" s="104">
        <v>89.5</v>
      </c>
      <c r="D10" s="104">
        <v>160</v>
      </c>
      <c r="E10" s="105"/>
    </row>
    <row r="11" spans="1:5">
      <c r="A11" s="6" t="s">
        <v>2471</v>
      </c>
      <c r="B11" s="102" t="s">
        <v>2472</v>
      </c>
      <c r="C11" s="106">
        <v>74.34</v>
      </c>
      <c r="D11" s="106">
        <v>120</v>
      </c>
      <c r="E11" s="105"/>
    </row>
    <row r="12" spans="1:5">
      <c r="A12" s="6" t="s">
        <v>2473</v>
      </c>
      <c r="B12" s="102" t="s">
        <v>2474</v>
      </c>
      <c r="C12" s="106">
        <v>49</v>
      </c>
      <c r="D12" s="106" t="s">
        <v>2456</v>
      </c>
      <c r="E12" s="105"/>
    </row>
    <row r="13" spans="1:5">
      <c r="A13" t="s">
        <v>2475</v>
      </c>
      <c r="B13" s="103" t="s">
        <v>2476</v>
      </c>
      <c r="C13" s="104">
        <v>49</v>
      </c>
      <c r="D13" s="104">
        <v>110</v>
      </c>
      <c r="E13" s="105"/>
    </row>
    <row r="14" spans="1:5">
      <c r="A14" t="s">
        <v>2477</v>
      </c>
      <c r="B14" s="103" t="s">
        <v>2478</v>
      </c>
      <c r="C14" s="106">
        <v>52</v>
      </c>
      <c r="D14" s="104">
        <v>100</v>
      </c>
      <c r="E14" s="105"/>
    </row>
    <row r="15" spans="1:5">
      <c r="A15" t="s">
        <v>2479</v>
      </c>
      <c r="B15" s="103" t="s">
        <v>2480</v>
      </c>
      <c r="C15" s="106">
        <v>194</v>
      </c>
      <c r="D15" s="104">
        <v>220</v>
      </c>
      <c r="E15" s="105"/>
    </row>
    <row r="16" spans="1:5">
      <c r="A16" t="s">
        <v>2481</v>
      </c>
      <c r="B16" s="103" t="s">
        <v>2482</v>
      </c>
      <c r="C16" s="104">
        <v>89</v>
      </c>
      <c r="D16" s="104">
        <v>163.75</v>
      </c>
      <c r="E16" s="105"/>
    </row>
    <row r="17" spans="1:5">
      <c r="A17" t="s">
        <v>2483</v>
      </c>
      <c r="B17" s="103" t="s">
        <v>2484</v>
      </c>
      <c r="C17" s="106">
        <v>56.54</v>
      </c>
      <c r="D17" s="104">
        <v>85</v>
      </c>
      <c r="E17" s="105"/>
    </row>
    <row r="18" spans="1:5">
      <c r="A18" t="s">
        <v>2485</v>
      </c>
      <c r="B18" s="103" t="s">
        <v>2486</v>
      </c>
      <c r="C18" s="104">
        <v>58.49</v>
      </c>
      <c r="D18" s="104">
        <v>77</v>
      </c>
      <c r="E18" s="105"/>
    </row>
    <row r="19" spans="1:5" ht="22.15" customHeight="1">
      <c r="A19" t="s">
        <v>2487</v>
      </c>
      <c r="B19" s="103" t="s">
        <v>2488</v>
      </c>
      <c r="C19" s="106">
        <v>82</v>
      </c>
      <c r="D19" s="104">
        <v>160</v>
      </c>
      <c r="E19" s="105"/>
    </row>
    <row r="20" spans="1:5" ht="22.15" customHeight="1">
      <c r="A20" t="s">
        <v>2489</v>
      </c>
      <c r="B20" s="103" t="s">
        <v>2490</v>
      </c>
      <c r="C20" s="107" t="s">
        <v>2491</v>
      </c>
      <c r="D20" s="104">
        <v>100</v>
      </c>
      <c r="E20" s="105"/>
    </row>
    <row r="21" spans="1:5" ht="22.15" customHeight="1">
      <c r="A21" s="6" t="s">
        <v>2492</v>
      </c>
      <c r="B21" s="103" t="s">
        <v>2493</v>
      </c>
      <c r="C21" s="106">
        <v>115</v>
      </c>
      <c r="D21" s="104">
        <v>215</v>
      </c>
      <c r="E21" s="105"/>
    </row>
    <row r="22" spans="1:5">
      <c r="A22" t="s">
        <v>656</v>
      </c>
      <c r="B22" s="103" t="s">
        <v>2494</v>
      </c>
      <c r="C22" s="104">
        <v>50</v>
      </c>
      <c r="D22" s="104">
        <v>115</v>
      </c>
      <c r="E22" s="105"/>
    </row>
    <row r="23" spans="1:5">
      <c r="A23" t="s">
        <v>2495</v>
      </c>
      <c r="B23" s="103" t="s">
        <v>2496</v>
      </c>
      <c r="C23" s="106">
        <v>105.09</v>
      </c>
      <c r="D23" s="104">
        <v>120</v>
      </c>
      <c r="E23" s="105"/>
    </row>
    <row r="24" spans="1:5">
      <c r="A24" t="s">
        <v>2497</v>
      </c>
      <c r="B24" s="103" t="s">
        <v>2498</v>
      </c>
      <c r="C24" s="106">
        <v>105.09</v>
      </c>
      <c r="D24" s="104">
        <v>120</v>
      </c>
      <c r="E24" s="105"/>
    </row>
    <row r="25" spans="1:5">
      <c r="A25" t="s">
        <v>2499</v>
      </c>
      <c r="B25" s="103" t="s">
        <v>2500</v>
      </c>
      <c r="C25" s="106">
        <v>99.09</v>
      </c>
      <c r="D25" s="104">
        <v>120</v>
      </c>
      <c r="E25" s="105"/>
    </row>
    <row r="26" spans="1:5">
      <c r="A26" t="s">
        <v>2501</v>
      </c>
      <c r="B26" s="103" t="s">
        <v>2502</v>
      </c>
      <c r="C26" s="106">
        <v>50</v>
      </c>
      <c r="D26" s="104">
        <v>115</v>
      </c>
      <c r="E26" s="105"/>
    </row>
    <row r="27" spans="1:5" ht="56">
      <c r="A27" s="98" t="s">
        <v>2503</v>
      </c>
      <c r="B27" s="103" t="s">
        <v>2504</v>
      </c>
      <c r="C27" s="104">
        <v>70</v>
      </c>
      <c r="D27" s="104">
        <v>120</v>
      </c>
      <c r="E27" s="105"/>
    </row>
    <row r="28" spans="1:5">
      <c r="A28" t="s">
        <v>2505</v>
      </c>
      <c r="B28" s="103" t="s">
        <v>2506</v>
      </c>
      <c r="C28" s="106">
        <v>0</v>
      </c>
      <c r="D28" s="104">
        <v>0</v>
      </c>
      <c r="E28" s="105"/>
    </row>
    <row r="29" spans="1:5">
      <c r="A29" t="s">
        <v>1519</v>
      </c>
      <c r="B29" s="103" t="s">
        <v>2507</v>
      </c>
      <c r="C29" s="104">
        <v>10</v>
      </c>
      <c r="D29" s="104">
        <v>20</v>
      </c>
      <c r="E29" s="105"/>
    </row>
    <row r="30" spans="1:5">
      <c r="A30" t="s">
        <v>2508</v>
      </c>
      <c r="B30" s="103" t="s">
        <v>2509</v>
      </c>
      <c r="C30" s="106">
        <v>50</v>
      </c>
      <c r="D30" s="104">
        <v>115</v>
      </c>
      <c r="E30" s="105"/>
    </row>
    <row r="31" spans="1:5">
      <c r="A31" t="s">
        <v>2510</v>
      </c>
      <c r="B31" s="103" t="s">
        <v>2511</v>
      </c>
      <c r="C31" s="106">
        <v>81.430000000000007</v>
      </c>
      <c r="D31" s="104">
        <v>115</v>
      </c>
      <c r="E31" s="105"/>
    </row>
    <row r="32" spans="1:5">
      <c r="A32" t="s">
        <v>2512</v>
      </c>
      <c r="B32" s="103" t="s">
        <v>2513</v>
      </c>
      <c r="C32" s="104">
        <v>50</v>
      </c>
      <c r="D32" s="104">
        <v>115</v>
      </c>
      <c r="E32" s="105"/>
    </row>
    <row r="33" spans="1:4">
      <c r="A33" t="s">
        <v>2514</v>
      </c>
      <c r="B33" s="103" t="s">
        <v>2515</v>
      </c>
      <c r="C33" s="5">
        <v>50</v>
      </c>
      <c r="D33" s="5">
        <v>70</v>
      </c>
    </row>
    <row r="34" spans="1:4">
      <c r="A34" s="6" t="s">
        <v>2516</v>
      </c>
      <c r="B34" s="103" t="s">
        <v>2517</v>
      </c>
      <c r="C34" s="29">
        <v>0</v>
      </c>
      <c r="D34" s="29">
        <v>75</v>
      </c>
    </row>
    <row r="35" spans="1:4">
      <c r="A35" s="6" t="s">
        <v>2518</v>
      </c>
      <c r="B35" s="103" t="s">
        <v>2517</v>
      </c>
      <c r="C35" s="29">
        <v>0</v>
      </c>
      <c r="D35" s="29">
        <v>30</v>
      </c>
    </row>
    <row r="36" spans="1:4">
      <c r="A36" t="s">
        <v>2519</v>
      </c>
      <c r="B36" s="103" t="s">
        <v>2517</v>
      </c>
      <c r="C36" s="29">
        <v>52</v>
      </c>
      <c r="D36" s="5">
        <v>100</v>
      </c>
    </row>
    <row r="37" spans="1:4">
      <c r="A37" t="s">
        <v>2520</v>
      </c>
      <c r="B37" s="103" t="s">
        <v>2517</v>
      </c>
      <c r="C37" s="5">
        <v>106.61</v>
      </c>
      <c r="D37" s="5">
        <v>163.75</v>
      </c>
    </row>
    <row r="38" spans="1:4">
      <c r="A38" t="s">
        <v>2521</v>
      </c>
      <c r="B38" s="103" t="s">
        <v>2517</v>
      </c>
      <c r="C38" s="5">
        <v>73</v>
      </c>
      <c r="D38" s="29" t="s">
        <v>2456</v>
      </c>
    </row>
    <row r="39" spans="1:4">
      <c r="A39" t="s">
        <v>2522</v>
      </c>
      <c r="B39" s="103" t="s">
        <v>2517</v>
      </c>
      <c r="C39" s="5">
        <v>70</v>
      </c>
      <c r="D39" s="5">
        <v>125</v>
      </c>
    </row>
    <row r="40" spans="1:4">
      <c r="A40" t="s">
        <v>2523</v>
      </c>
      <c r="B40" s="103" t="s">
        <v>2517</v>
      </c>
      <c r="C40" s="5">
        <v>45</v>
      </c>
      <c r="D40" s="5">
        <v>70</v>
      </c>
    </row>
    <row r="41" spans="1:4">
      <c r="A41" s="98" t="s">
        <v>2524</v>
      </c>
      <c r="B41" s="103" t="s">
        <v>2517</v>
      </c>
      <c r="C41" s="5">
        <v>147.5</v>
      </c>
      <c r="D41" s="5">
        <v>163.75</v>
      </c>
    </row>
    <row r="42" spans="1:4">
      <c r="A42" t="s">
        <v>2525</v>
      </c>
      <c r="B42" s="103" t="s">
        <v>2517</v>
      </c>
      <c r="C42" s="5">
        <v>48.25</v>
      </c>
      <c r="D42" s="5">
        <v>77</v>
      </c>
    </row>
    <row r="43" spans="1:4">
      <c r="A43" t="s">
        <v>2526</v>
      </c>
      <c r="B43" s="103" t="s">
        <v>2517</v>
      </c>
      <c r="C43" s="5">
        <v>82</v>
      </c>
      <c r="D43" s="5">
        <v>160</v>
      </c>
    </row>
    <row r="44" spans="1:4">
      <c r="A44" t="s">
        <v>2483</v>
      </c>
      <c r="B44" s="103" t="s">
        <v>2517</v>
      </c>
      <c r="C44" s="99" t="s">
        <v>2527</v>
      </c>
      <c r="D44" s="5">
        <v>85</v>
      </c>
    </row>
    <row r="45" spans="1:4">
      <c r="A45" t="s">
        <v>2528</v>
      </c>
      <c r="C45" s="5">
        <v>160</v>
      </c>
      <c r="D45" s="5">
        <v>185</v>
      </c>
    </row>
  </sheetData>
  <sortState xmlns:xlrd2="http://schemas.microsoft.com/office/spreadsheetml/2017/richdata2" ref="A2:D44">
    <sortCondition ref="B1:B44"/>
  </sortState>
  <phoneticPr fontId="7" type="noConversion"/>
  <hyperlinks>
    <hyperlink ref="A9" r:id="rId1" display="https://pcxeon.com/es/pantallas-14-141-145/41089-pantalla-led-14-hp-elitebook-840-g7-series-m07092-001-l76245-l91-1920x1080-mate-30-pines-5704174286400.html" xr:uid="{E91AE2C4-A3C2-49D9-A38F-A11458AF7853}"/>
  </hyperlinks>
  <pageMargins left="0.7" right="0.7" top="0.75" bottom="0.75" header="0.3" footer="0.3"/>
  <pageSetup paperSize="9" orientation="portrait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6000-F878-47D7-A3C6-8C0E0C8E5EC7}">
  <dimension ref="A1:N748"/>
  <sheetViews>
    <sheetView zoomScale="82" zoomScaleNormal="82" workbookViewId="0">
      <pane ySplit="2" topLeftCell="A492" activePane="bottomLeft" state="frozen"/>
      <selection activeCell="C1" sqref="C1"/>
      <selection pane="bottomLeft" activeCell="F507" sqref="F507"/>
    </sheetView>
  </sheetViews>
  <sheetFormatPr baseColWidth="10" defaultColWidth="11.453125" defaultRowHeight="14.5"/>
  <cols>
    <col min="1" max="1" width="21.7265625" style="7" customWidth="1"/>
    <col min="2" max="2" width="33.81640625" style="7" customWidth="1"/>
    <col min="3" max="3" width="37.7265625" style="8" customWidth="1"/>
    <col min="4" max="4" width="26.7265625" style="8" customWidth="1"/>
    <col min="5" max="5" width="70.26953125" style="8" bestFit="1" customWidth="1"/>
    <col min="6" max="6" width="14.453125" style="8" customWidth="1"/>
    <col min="7" max="7" width="18.7265625" style="8" bestFit="1" customWidth="1"/>
    <col min="8" max="9" width="19.26953125" style="7" customWidth="1"/>
    <col min="10" max="10" width="21.54296875" style="7" customWidth="1"/>
    <col min="11" max="16384" width="11.453125" style="7"/>
  </cols>
  <sheetData>
    <row r="1" spans="1:10" ht="34.15" customHeight="1">
      <c r="A1" s="12" t="s">
        <v>2529</v>
      </c>
      <c r="B1" s="12" t="s">
        <v>2530</v>
      </c>
      <c r="C1" s="12" t="s">
        <v>2531</v>
      </c>
      <c r="D1" s="12" t="s">
        <v>2532</v>
      </c>
      <c r="E1" s="12" t="s">
        <v>2533</v>
      </c>
      <c r="F1" s="12" t="s">
        <v>2534</v>
      </c>
      <c r="G1" s="12" t="s">
        <v>2535</v>
      </c>
      <c r="H1" s="12" t="s">
        <v>2536</v>
      </c>
      <c r="J1" s="12" t="s">
        <v>2537</v>
      </c>
    </row>
    <row r="2" spans="1:10">
      <c r="A2" s="9">
        <v>45771</v>
      </c>
      <c r="B2" s="10" t="s">
        <v>457</v>
      </c>
      <c r="C2" s="11" t="s">
        <v>2538</v>
      </c>
      <c r="D2" s="11" t="s">
        <v>2539</v>
      </c>
      <c r="E2" s="11" t="s">
        <v>2606</v>
      </c>
      <c r="F2" s="13">
        <v>1</v>
      </c>
      <c r="G2" s="13" t="s">
        <v>197</v>
      </c>
      <c r="H2" s="13" t="s">
        <v>2541</v>
      </c>
    </row>
    <row r="3" spans="1:10">
      <c r="A3" s="9">
        <v>45771</v>
      </c>
      <c r="B3" s="10" t="s">
        <v>457</v>
      </c>
      <c r="C3" s="11" t="s">
        <v>2542</v>
      </c>
      <c r="D3" s="11" t="s">
        <v>2539</v>
      </c>
      <c r="E3" s="11" t="s">
        <v>2606</v>
      </c>
      <c r="F3" s="13">
        <v>1</v>
      </c>
      <c r="G3" s="13" t="s">
        <v>125</v>
      </c>
      <c r="H3" s="13" t="s">
        <v>2541</v>
      </c>
    </row>
    <row r="4" spans="1:10">
      <c r="A4" s="9">
        <v>45771</v>
      </c>
      <c r="B4" s="10" t="s">
        <v>457</v>
      </c>
      <c r="C4" s="11" t="s">
        <v>2543</v>
      </c>
      <c r="D4" s="11" t="s">
        <v>2539</v>
      </c>
      <c r="E4" s="11" t="s">
        <v>2606</v>
      </c>
      <c r="F4" s="13">
        <v>1</v>
      </c>
      <c r="G4" s="13" t="s">
        <v>212</v>
      </c>
      <c r="H4" s="13" t="s">
        <v>2541</v>
      </c>
    </row>
    <row r="5" spans="1:10">
      <c r="A5" s="9">
        <v>45771</v>
      </c>
      <c r="B5" s="10" t="s">
        <v>457</v>
      </c>
      <c r="C5" s="11" t="s">
        <v>2544</v>
      </c>
      <c r="D5" s="11" t="s">
        <v>2539</v>
      </c>
      <c r="E5" s="11" t="s">
        <v>2606</v>
      </c>
      <c r="F5" s="13">
        <v>1</v>
      </c>
      <c r="G5" s="13" t="s">
        <v>164</v>
      </c>
      <c r="H5" s="13" t="s">
        <v>2541</v>
      </c>
    </row>
    <row r="6" spans="1:10">
      <c r="A6" s="9">
        <v>45771</v>
      </c>
      <c r="B6" s="10" t="s">
        <v>457</v>
      </c>
      <c r="C6" s="11" t="s">
        <v>2545</v>
      </c>
      <c r="D6" s="11" t="s">
        <v>2539</v>
      </c>
      <c r="E6" s="11" t="s">
        <v>2606</v>
      </c>
      <c r="F6" s="13">
        <v>1</v>
      </c>
      <c r="G6" s="13" t="s">
        <v>229</v>
      </c>
      <c r="H6" s="13" t="s">
        <v>2541</v>
      </c>
    </row>
    <row r="7" spans="1:10">
      <c r="A7" s="9">
        <v>45771</v>
      </c>
      <c r="B7" s="10" t="s">
        <v>457</v>
      </c>
      <c r="C7" s="11" t="s">
        <v>2546</v>
      </c>
      <c r="D7" s="11" t="s">
        <v>2539</v>
      </c>
      <c r="E7" s="11" t="s">
        <v>2606</v>
      </c>
      <c r="F7" s="13">
        <v>1</v>
      </c>
      <c r="G7" s="13" t="s">
        <v>371</v>
      </c>
      <c r="H7" s="13" t="s">
        <v>2541</v>
      </c>
    </row>
    <row r="8" spans="1:10">
      <c r="A8" s="17">
        <v>45771</v>
      </c>
      <c r="B8" s="10" t="s">
        <v>457</v>
      </c>
      <c r="C8" s="18" t="s">
        <v>2547</v>
      </c>
      <c r="D8" s="18" t="s">
        <v>2539</v>
      </c>
      <c r="E8" s="11" t="s">
        <v>2606</v>
      </c>
      <c r="F8" s="19">
        <v>1</v>
      </c>
      <c r="G8" s="19" t="s">
        <v>141</v>
      </c>
      <c r="H8" s="13" t="s">
        <v>2541</v>
      </c>
    </row>
    <row r="9" spans="1:10">
      <c r="A9" s="17">
        <v>45783</v>
      </c>
      <c r="B9" s="19" t="s">
        <v>2722</v>
      </c>
      <c r="C9" s="19" t="s">
        <v>2548</v>
      </c>
      <c r="D9" s="19" t="s">
        <v>2549</v>
      </c>
      <c r="E9" s="19" t="s">
        <v>2550</v>
      </c>
      <c r="F9" s="19">
        <v>1</v>
      </c>
      <c r="G9" s="19" t="s">
        <v>404</v>
      </c>
      <c r="H9" s="13" t="s">
        <v>2551</v>
      </c>
    </row>
    <row r="10" spans="1:10">
      <c r="A10" s="23">
        <v>45783</v>
      </c>
      <c r="B10" s="87" t="s">
        <v>2722</v>
      </c>
      <c r="C10" s="16" t="s">
        <v>2552</v>
      </c>
      <c r="D10" s="14" t="s">
        <v>2549</v>
      </c>
      <c r="E10" s="15" t="s">
        <v>2550</v>
      </c>
      <c r="F10" s="14">
        <v>1</v>
      </c>
      <c r="G10" s="14"/>
      <c r="H10" s="86" t="s">
        <v>2551</v>
      </c>
      <c r="J10" s="7" t="s">
        <v>1027</v>
      </c>
    </row>
    <row r="11" spans="1:10">
      <c r="A11" s="28">
        <v>45783</v>
      </c>
      <c r="B11" s="19" t="s">
        <v>2722</v>
      </c>
      <c r="C11" s="20" t="s">
        <v>2553</v>
      </c>
      <c r="D11" s="20" t="s">
        <v>2549</v>
      </c>
      <c r="E11" s="20" t="s">
        <v>2550</v>
      </c>
      <c r="F11" s="20">
        <v>1</v>
      </c>
      <c r="G11" s="20" t="s">
        <v>136</v>
      </c>
      <c r="H11" s="13" t="s">
        <v>2551</v>
      </c>
    </row>
    <row r="12" spans="1:10">
      <c r="A12" s="28">
        <v>45783</v>
      </c>
      <c r="B12" s="19" t="s">
        <v>2722</v>
      </c>
      <c r="C12" s="20" t="s">
        <v>2554</v>
      </c>
      <c r="D12" s="20" t="s">
        <v>2549</v>
      </c>
      <c r="E12" s="20" t="s">
        <v>2550</v>
      </c>
      <c r="F12" s="20">
        <v>1</v>
      </c>
      <c r="G12" s="20" t="s">
        <v>317</v>
      </c>
      <c r="H12" s="13" t="s">
        <v>2551</v>
      </c>
    </row>
    <row r="13" spans="1:10">
      <c r="A13" s="28">
        <v>45783</v>
      </c>
      <c r="B13" s="19" t="s">
        <v>2722</v>
      </c>
      <c r="C13" s="20" t="s">
        <v>2555</v>
      </c>
      <c r="D13" s="20" t="s">
        <v>2549</v>
      </c>
      <c r="E13" s="20" t="s">
        <v>2550</v>
      </c>
      <c r="F13" s="20">
        <v>1</v>
      </c>
      <c r="G13" s="20" t="s">
        <v>215</v>
      </c>
      <c r="H13" s="13" t="s">
        <v>2551</v>
      </c>
    </row>
    <row r="14" spans="1:10" ht="15" thickBot="1">
      <c r="A14" s="28">
        <v>45783</v>
      </c>
      <c r="B14" s="19" t="s">
        <v>2722</v>
      </c>
      <c r="C14" s="20" t="s">
        <v>2556</v>
      </c>
      <c r="D14" s="20" t="s">
        <v>2549</v>
      </c>
      <c r="E14" s="20" t="s">
        <v>2550</v>
      </c>
      <c r="F14" s="20">
        <v>1</v>
      </c>
      <c r="G14" s="20" t="s">
        <v>567</v>
      </c>
      <c r="H14" s="13" t="s">
        <v>2551</v>
      </c>
    </row>
    <row r="15" spans="1:10">
      <c r="A15" s="23">
        <v>45783</v>
      </c>
      <c r="B15" s="87" t="s">
        <v>2722</v>
      </c>
      <c r="C15" s="16" t="s">
        <v>2557</v>
      </c>
      <c r="D15" s="22" t="s">
        <v>2549</v>
      </c>
      <c r="E15" s="15" t="s">
        <v>2550</v>
      </c>
      <c r="F15" s="14">
        <v>1</v>
      </c>
      <c r="G15" s="14"/>
      <c r="H15" s="86" t="s">
        <v>2551</v>
      </c>
    </row>
    <row r="16" spans="1:10">
      <c r="A16" s="28">
        <v>45783</v>
      </c>
      <c r="B16" s="19" t="s">
        <v>2722</v>
      </c>
      <c r="C16" s="20" t="s">
        <v>2558</v>
      </c>
      <c r="D16" s="20" t="s">
        <v>2549</v>
      </c>
      <c r="E16" s="20" t="s">
        <v>2550</v>
      </c>
      <c r="F16" s="20">
        <v>1</v>
      </c>
      <c r="G16" s="20" t="s">
        <v>459</v>
      </c>
      <c r="H16" s="13" t="s">
        <v>2551</v>
      </c>
    </row>
    <row r="17" spans="1:13">
      <c r="A17" s="28">
        <v>45783</v>
      </c>
      <c r="B17" s="19" t="s">
        <v>2722</v>
      </c>
      <c r="C17" s="19" t="s">
        <v>2559</v>
      </c>
      <c r="D17" s="19" t="s">
        <v>2549</v>
      </c>
      <c r="E17" s="19" t="s">
        <v>2550</v>
      </c>
      <c r="F17" s="19">
        <v>1</v>
      </c>
      <c r="G17" s="19" t="s">
        <v>466</v>
      </c>
      <c r="H17" s="13" t="s">
        <v>2551</v>
      </c>
    </row>
    <row r="18" spans="1:13">
      <c r="A18" s="28">
        <v>45783</v>
      </c>
      <c r="B18" s="19" t="s">
        <v>2722</v>
      </c>
      <c r="C18" s="19" t="s">
        <v>2560</v>
      </c>
      <c r="D18" s="19" t="s">
        <v>2549</v>
      </c>
      <c r="E18" s="19" t="s">
        <v>2550</v>
      </c>
      <c r="F18" s="19">
        <v>1</v>
      </c>
      <c r="G18" s="19" t="s">
        <v>501</v>
      </c>
      <c r="H18" s="13" t="s">
        <v>2551</v>
      </c>
    </row>
    <row r="19" spans="1:13">
      <c r="A19" s="28">
        <v>45783</v>
      </c>
      <c r="B19" s="19" t="s">
        <v>457</v>
      </c>
      <c r="C19" s="19" t="s">
        <v>2561</v>
      </c>
      <c r="D19" s="19" t="s">
        <v>2562</v>
      </c>
      <c r="E19" s="19" t="s">
        <v>2606</v>
      </c>
      <c r="F19" s="19">
        <v>1</v>
      </c>
      <c r="G19" s="19" t="s">
        <v>496</v>
      </c>
      <c r="H19" s="13" t="s">
        <v>2551</v>
      </c>
    </row>
    <row r="20" spans="1:13">
      <c r="A20" s="28">
        <v>45783</v>
      </c>
      <c r="B20" s="19" t="s">
        <v>457</v>
      </c>
      <c r="C20" s="19" t="s">
        <v>2563</v>
      </c>
      <c r="D20" s="19" t="s">
        <v>2562</v>
      </c>
      <c r="E20" s="19" t="s">
        <v>2606</v>
      </c>
      <c r="F20" s="19">
        <v>1</v>
      </c>
      <c r="G20" s="19" t="s">
        <v>215</v>
      </c>
      <c r="H20" s="13" t="s">
        <v>2551</v>
      </c>
    </row>
    <row r="21" spans="1:13">
      <c r="A21" s="28">
        <v>45783</v>
      </c>
      <c r="B21" s="19" t="s">
        <v>457</v>
      </c>
      <c r="C21" s="19" t="s">
        <v>2564</v>
      </c>
      <c r="D21" s="19" t="s">
        <v>2562</v>
      </c>
      <c r="E21" s="19" t="s">
        <v>2606</v>
      </c>
      <c r="F21" s="19">
        <v>1</v>
      </c>
      <c r="G21" s="19" t="s">
        <v>991</v>
      </c>
      <c r="H21" s="13" t="s">
        <v>2551</v>
      </c>
    </row>
    <row r="22" spans="1:13">
      <c r="A22" s="28">
        <v>45783</v>
      </c>
      <c r="B22" s="19" t="s">
        <v>457</v>
      </c>
      <c r="C22" s="19" t="s">
        <v>2565</v>
      </c>
      <c r="D22" s="19" t="s">
        <v>2562</v>
      </c>
      <c r="E22" s="19" t="s">
        <v>2606</v>
      </c>
      <c r="F22" s="19">
        <v>1</v>
      </c>
      <c r="G22" s="19" t="s">
        <v>1481</v>
      </c>
      <c r="H22" s="13" t="s">
        <v>2551</v>
      </c>
    </row>
    <row r="23" spans="1:13">
      <c r="A23" s="28">
        <v>45783</v>
      </c>
      <c r="B23" s="19" t="s">
        <v>457</v>
      </c>
      <c r="C23" s="19" t="s">
        <v>2566</v>
      </c>
      <c r="D23" s="19" t="s">
        <v>2562</v>
      </c>
      <c r="E23" s="19" t="s">
        <v>2606</v>
      </c>
      <c r="F23" s="19">
        <v>1</v>
      </c>
      <c r="G23" s="19" t="s">
        <v>1697</v>
      </c>
      <c r="H23" s="13" t="s">
        <v>2551</v>
      </c>
    </row>
    <row r="24" spans="1:13">
      <c r="A24" s="28">
        <v>45783</v>
      </c>
      <c r="B24" s="19" t="s">
        <v>457</v>
      </c>
      <c r="C24" s="19" t="s">
        <v>2567</v>
      </c>
      <c r="D24" s="19" t="s">
        <v>2562</v>
      </c>
      <c r="E24" s="19" t="s">
        <v>2606</v>
      </c>
      <c r="F24" s="19">
        <v>1</v>
      </c>
      <c r="G24" s="19" t="s">
        <v>1116</v>
      </c>
      <c r="H24" s="13" t="s">
        <v>2551</v>
      </c>
    </row>
    <row r="25" spans="1:13">
      <c r="A25" s="28">
        <v>45783</v>
      </c>
      <c r="B25" s="19" t="s">
        <v>457</v>
      </c>
      <c r="C25" s="19" t="s">
        <v>2568</v>
      </c>
      <c r="D25" s="19" t="s">
        <v>2562</v>
      </c>
      <c r="E25" s="19" t="s">
        <v>2606</v>
      </c>
      <c r="F25" s="19">
        <v>1</v>
      </c>
      <c r="G25" s="19" t="s">
        <v>688</v>
      </c>
      <c r="H25" s="13" t="s">
        <v>2551</v>
      </c>
    </row>
    <row r="26" spans="1:13">
      <c r="A26" s="28">
        <v>45783</v>
      </c>
      <c r="B26" s="19" t="s">
        <v>457</v>
      </c>
      <c r="C26" s="19" t="s">
        <v>2569</v>
      </c>
      <c r="D26" s="19" t="s">
        <v>2562</v>
      </c>
      <c r="E26" s="19" t="s">
        <v>2606</v>
      </c>
      <c r="F26" s="19">
        <v>1</v>
      </c>
      <c r="G26" s="19" t="s">
        <v>630</v>
      </c>
      <c r="H26" s="13" t="s">
        <v>2551</v>
      </c>
      <c r="M26" s="7" t="s">
        <v>2570</v>
      </c>
    </row>
    <row r="27" spans="1:13">
      <c r="A27" s="23">
        <v>45783</v>
      </c>
      <c r="B27" s="87" t="s">
        <v>457</v>
      </c>
      <c r="C27" s="14" t="s">
        <v>2571</v>
      </c>
      <c r="D27" s="14" t="s">
        <v>2562</v>
      </c>
      <c r="E27" s="15" t="s">
        <v>2606</v>
      </c>
      <c r="F27" s="14">
        <v>1</v>
      </c>
      <c r="G27" s="14"/>
      <c r="H27" s="86" t="s">
        <v>2551</v>
      </c>
    </row>
    <row r="28" spans="1:13">
      <c r="A28" s="23">
        <v>45783</v>
      </c>
      <c r="B28" s="87" t="s">
        <v>457</v>
      </c>
      <c r="C28" s="14" t="s">
        <v>2572</v>
      </c>
      <c r="D28" s="14" t="s">
        <v>2562</v>
      </c>
      <c r="E28" s="15" t="s">
        <v>2606</v>
      </c>
      <c r="F28" s="14">
        <v>1</v>
      </c>
      <c r="G28" s="14"/>
      <c r="H28" s="86" t="s">
        <v>2551</v>
      </c>
    </row>
    <row r="29" spans="1:13">
      <c r="A29" s="28">
        <v>45783</v>
      </c>
      <c r="B29" s="19" t="s">
        <v>457</v>
      </c>
      <c r="C29" s="20" t="s">
        <v>2573</v>
      </c>
      <c r="D29" s="20" t="s">
        <v>2562</v>
      </c>
      <c r="E29" s="20" t="s">
        <v>2606</v>
      </c>
      <c r="F29" s="20">
        <v>1</v>
      </c>
      <c r="G29" s="20" t="s">
        <v>404</v>
      </c>
      <c r="H29" s="13" t="s">
        <v>2551</v>
      </c>
    </row>
    <row r="30" spans="1:13">
      <c r="A30" s="28">
        <v>45783</v>
      </c>
      <c r="B30" s="19" t="s">
        <v>457</v>
      </c>
      <c r="C30" s="20" t="s">
        <v>2574</v>
      </c>
      <c r="D30" s="20" t="s">
        <v>2562</v>
      </c>
      <c r="E30" s="20" t="s">
        <v>2606</v>
      </c>
      <c r="F30" s="20">
        <v>1</v>
      </c>
      <c r="G30" s="20" t="s">
        <v>567</v>
      </c>
      <c r="H30" s="13" t="s">
        <v>2551</v>
      </c>
    </row>
    <row r="31" spans="1:13">
      <c r="A31" s="28">
        <v>45783</v>
      </c>
      <c r="B31" s="19" t="s">
        <v>457</v>
      </c>
      <c r="C31" s="19" t="s">
        <v>2575</v>
      </c>
      <c r="D31" s="19" t="s">
        <v>2562</v>
      </c>
      <c r="E31" s="19" t="s">
        <v>2606</v>
      </c>
      <c r="F31" s="19">
        <v>1</v>
      </c>
      <c r="G31" s="19" t="s">
        <v>440</v>
      </c>
      <c r="H31" s="13" t="s">
        <v>2551</v>
      </c>
    </row>
    <row r="32" spans="1:13">
      <c r="A32" s="28">
        <v>45783</v>
      </c>
      <c r="B32" s="19" t="s">
        <v>457</v>
      </c>
      <c r="C32" s="19" t="s">
        <v>2576</v>
      </c>
      <c r="D32" s="19" t="s">
        <v>2562</v>
      </c>
      <c r="E32" s="19" t="s">
        <v>2606</v>
      </c>
      <c r="F32" s="19">
        <v>1</v>
      </c>
      <c r="G32" s="19" t="s">
        <v>459</v>
      </c>
      <c r="H32" s="13" t="s">
        <v>2551</v>
      </c>
    </row>
    <row r="33" spans="1:14">
      <c r="A33" s="47">
        <v>45783</v>
      </c>
      <c r="B33" s="89" t="s">
        <v>457</v>
      </c>
      <c r="C33" s="48" t="s">
        <v>2577</v>
      </c>
      <c r="D33" s="48" t="s">
        <v>2562</v>
      </c>
      <c r="E33" s="49" t="s">
        <v>2606</v>
      </c>
      <c r="F33" s="48">
        <v>1</v>
      </c>
      <c r="G33" s="48" t="s">
        <v>187</v>
      </c>
      <c r="H33" s="13" t="s">
        <v>2551</v>
      </c>
    </row>
    <row r="34" spans="1:14">
      <c r="A34" s="28">
        <v>45783</v>
      </c>
      <c r="B34" s="19" t="s">
        <v>457</v>
      </c>
      <c r="C34" s="19" t="s">
        <v>2578</v>
      </c>
      <c r="D34" s="19" t="s">
        <v>2562</v>
      </c>
      <c r="E34" s="19" t="s">
        <v>2606</v>
      </c>
      <c r="F34" s="19">
        <v>1</v>
      </c>
      <c r="G34" s="19" t="s">
        <v>501</v>
      </c>
      <c r="H34" s="13" t="s">
        <v>2551</v>
      </c>
    </row>
    <row r="35" spans="1:14">
      <c r="A35" s="28">
        <v>45783</v>
      </c>
      <c r="B35" s="19" t="s">
        <v>457</v>
      </c>
      <c r="C35" s="19" t="s">
        <v>2579</v>
      </c>
      <c r="D35" s="19" t="s">
        <v>2562</v>
      </c>
      <c r="E35" s="19" t="s">
        <v>2606</v>
      </c>
      <c r="F35" s="19">
        <v>1</v>
      </c>
      <c r="G35" s="19" t="s">
        <v>466</v>
      </c>
      <c r="H35" s="13" t="s">
        <v>2551</v>
      </c>
    </row>
    <row r="36" spans="1:14">
      <c r="A36" s="23">
        <v>45783</v>
      </c>
      <c r="B36" s="87" t="s">
        <v>457</v>
      </c>
      <c r="C36" s="14" t="s">
        <v>2580</v>
      </c>
      <c r="D36" s="14" t="s">
        <v>2562</v>
      </c>
      <c r="E36" s="15" t="s">
        <v>2606</v>
      </c>
      <c r="F36" s="14">
        <v>1</v>
      </c>
      <c r="G36" s="14"/>
      <c r="H36" s="86" t="s">
        <v>2551</v>
      </c>
    </row>
    <row r="37" spans="1:14">
      <c r="A37" s="28">
        <v>45783</v>
      </c>
      <c r="B37" s="19" t="s">
        <v>457</v>
      </c>
      <c r="C37" s="19" t="s">
        <v>2581</v>
      </c>
      <c r="D37" s="19" t="s">
        <v>2562</v>
      </c>
      <c r="E37" s="19" t="s">
        <v>2606</v>
      </c>
      <c r="F37" s="19">
        <v>1</v>
      </c>
      <c r="G37" s="19" t="s">
        <v>948</v>
      </c>
      <c r="H37" s="13" t="s">
        <v>2551</v>
      </c>
    </row>
    <row r="38" spans="1:14">
      <c r="A38" s="28">
        <v>45783</v>
      </c>
      <c r="B38" s="19" t="s">
        <v>457</v>
      </c>
      <c r="C38" s="19" t="s">
        <v>2582</v>
      </c>
      <c r="D38" s="19" t="s">
        <v>2562</v>
      </c>
      <c r="E38" s="19" t="s">
        <v>2606</v>
      </c>
      <c r="F38" s="19">
        <v>1</v>
      </c>
      <c r="G38" s="19" t="s">
        <v>944</v>
      </c>
      <c r="H38" s="13" t="s">
        <v>2551</v>
      </c>
      <c r="N38" s="7" t="s">
        <v>546</v>
      </c>
    </row>
    <row r="39" spans="1:14">
      <c r="A39" s="28">
        <v>45783</v>
      </c>
      <c r="B39" s="19" t="s">
        <v>258</v>
      </c>
      <c r="C39" s="19" t="s">
        <v>2583</v>
      </c>
      <c r="D39" s="19" t="s">
        <v>2584</v>
      </c>
      <c r="E39" s="10" t="s">
        <v>3047</v>
      </c>
      <c r="F39" s="19">
        <v>1</v>
      </c>
      <c r="G39" s="19" t="s">
        <v>466</v>
      </c>
      <c r="H39" s="13" t="s">
        <v>2551</v>
      </c>
    </row>
    <row r="40" spans="1:14">
      <c r="A40" s="28">
        <v>45783</v>
      </c>
      <c r="B40" s="19" t="s">
        <v>258</v>
      </c>
      <c r="C40" s="19" t="s">
        <v>2585</v>
      </c>
      <c r="D40" s="19" t="s">
        <v>2584</v>
      </c>
      <c r="E40" s="10" t="s">
        <v>3047</v>
      </c>
      <c r="F40" s="19">
        <v>1</v>
      </c>
      <c r="G40" s="19" t="s">
        <v>459</v>
      </c>
      <c r="H40" s="13" t="s">
        <v>2551</v>
      </c>
    </row>
    <row r="41" spans="1:14">
      <c r="A41" s="28">
        <v>45783</v>
      </c>
      <c r="B41" s="19" t="s">
        <v>258</v>
      </c>
      <c r="C41" s="19" t="s">
        <v>2586</v>
      </c>
      <c r="D41" s="19" t="s">
        <v>2584</v>
      </c>
      <c r="E41" s="10" t="s">
        <v>3047</v>
      </c>
      <c r="F41" s="19">
        <v>1</v>
      </c>
      <c r="G41" s="13" t="s">
        <v>396</v>
      </c>
      <c r="H41" s="13" t="s">
        <v>2551</v>
      </c>
    </row>
    <row r="42" spans="1:14">
      <c r="A42" s="28">
        <v>45783</v>
      </c>
      <c r="B42" s="19" t="s">
        <v>258</v>
      </c>
      <c r="C42" s="19" t="s">
        <v>2587</v>
      </c>
      <c r="D42" s="11" t="s">
        <v>2584</v>
      </c>
      <c r="E42" s="10" t="s">
        <v>3047</v>
      </c>
      <c r="F42" s="13">
        <v>1</v>
      </c>
      <c r="G42" s="11" t="s">
        <v>675</v>
      </c>
      <c r="H42" s="13" t="s">
        <v>2551</v>
      </c>
    </row>
    <row r="43" spans="1:14">
      <c r="A43" s="28">
        <v>45783</v>
      </c>
      <c r="B43" s="19" t="s">
        <v>258</v>
      </c>
      <c r="C43" s="19" t="s">
        <v>2588</v>
      </c>
      <c r="D43" s="19" t="s">
        <v>2584</v>
      </c>
      <c r="E43" s="10" t="s">
        <v>3047</v>
      </c>
      <c r="F43" s="19">
        <v>1</v>
      </c>
      <c r="G43" s="19" t="s">
        <v>948</v>
      </c>
      <c r="H43" s="13" t="s">
        <v>2551</v>
      </c>
    </row>
    <row r="44" spans="1:14">
      <c r="A44" s="28">
        <v>45783</v>
      </c>
      <c r="B44" s="19" t="s">
        <v>258</v>
      </c>
      <c r="C44" s="19" t="s">
        <v>2589</v>
      </c>
      <c r="D44" s="19" t="s">
        <v>2584</v>
      </c>
      <c r="E44" s="10" t="s">
        <v>3047</v>
      </c>
      <c r="F44" s="19">
        <v>1</v>
      </c>
      <c r="G44" s="19" t="s">
        <v>944</v>
      </c>
      <c r="H44" s="13" t="s">
        <v>2551</v>
      </c>
    </row>
    <row r="45" spans="1:14">
      <c r="A45" s="28">
        <v>45783</v>
      </c>
      <c r="B45" s="88" t="s">
        <v>258</v>
      </c>
      <c r="C45" s="10" t="s">
        <v>2590</v>
      </c>
      <c r="D45" s="10" t="s">
        <v>2584</v>
      </c>
      <c r="E45" s="10" t="s">
        <v>3047</v>
      </c>
      <c r="F45" s="10">
        <v>1</v>
      </c>
      <c r="G45" s="10" t="s">
        <v>359</v>
      </c>
      <c r="H45" s="13" t="s">
        <v>2551</v>
      </c>
    </row>
    <row r="46" spans="1:14">
      <c r="A46" s="28">
        <v>45783</v>
      </c>
      <c r="B46" s="88" t="s">
        <v>258</v>
      </c>
      <c r="C46" s="10" t="s">
        <v>2591</v>
      </c>
      <c r="D46" s="10" t="s">
        <v>2584</v>
      </c>
      <c r="E46" s="10" t="s">
        <v>3047</v>
      </c>
      <c r="F46" s="10">
        <v>1</v>
      </c>
      <c r="G46" s="10" t="s">
        <v>256</v>
      </c>
      <c r="H46" s="13" t="s">
        <v>2551</v>
      </c>
    </row>
    <row r="47" spans="1:14">
      <c r="A47" s="28">
        <v>45783</v>
      </c>
      <c r="B47" s="88" t="s">
        <v>258</v>
      </c>
      <c r="C47" s="10" t="s">
        <v>2592</v>
      </c>
      <c r="D47" s="10" t="s">
        <v>2584</v>
      </c>
      <c r="E47" s="10" t="s">
        <v>3047</v>
      </c>
      <c r="F47" s="10">
        <v>1</v>
      </c>
      <c r="G47" s="10" t="s">
        <v>440</v>
      </c>
      <c r="H47" s="13" t="s">
        <v>2551</v>
      </c>
    </row>
    <row r="48" spans="1:14">
      <c r="A48" s="28">
        <v>45783</v>
      </c>
      <c r="B48" s="88" t="s">
        <v>258</v>
      </c>
      <c r="C48" s="10" t="s">
        <v>2593</v>
      </c>
      <c r="D48" s="10" t="s">
        <v>2584</v>
      </c>
      <c r="E48" s="10" t="s">
        <v>3047</v>
      </c>
      <c r="F48" s="10">
        <v>1</v>
      </c>
      <c r="G48" s="10" t="s">
        <v>215</v>
      </c>
      <c r="H48" s="13" t="s">
        <v>2551</v>
      </c>
    </row>
    <row r="49" spans="1:8">
      <c r="A49" s="28">
        <v>45783</v>
      </c>
      <c r="B49" s="88" t="s">
        <v>258</v>
      </c>
      <c r="C49" s="10" t="s">
        <v>2594</v>
      </c>
      <c r="D49" s="10" t="s">
        <v>2584</v>
      </c>
      <c r="E49" s="10" t="s">
        <v>3047</v>
      </c>
      <c r="F49" s="10">
        <v>1</v>
      </c>
      <c r="G49" s="10" t="s">
        <v>501</v>
      </c>
      <c r="H49" s="13" t="s">
        <v>2551</v>
      </c>
    </row>
    <row r="50" spans="1:8" ht="15" thickBot="1">
      <c r="A50" s="23">
        <v>45783</v>
      </c>
      <c r="B50" s="14" t="s">
        <v>258</v>
      </c>
      <c r="C50" s="14" t="s">
        <v>2595</v>
      </c>
      <c r="D50" s="24" t="s">
        <v>2584</v>
      </c>
      <c r="E50" s="86" t="s">
        <v>3047</v>
      </c>
      <c r="F50" s="14">
        <v>1</v>
      </c>
      <c r="G50" s="14"/>
      <c r="H50" s="86" t="s">
        <v>2551</v>
      </c>
    </row>
    <row r="51" spans="1:8">
      <c r="A51" s="23">
        <v>45783</v>
      </c>
      <c r="B51" s="88" t="s">
        <v>258</v>
      </c>
      <c r="C51" s="10" t="s">
        <v>2596</v>
      </c>
      <c r="D51" s="10" t="s">
        <v>2584</v>
      </c>
      <c r="E51" s="10" t="s">
        <v>3047</v>
      </c>
      <c r="F51" s="10">
        <v>1</v>
      </c>
      <c r="G51" s="10" t="s">
        <v>1416</v>
      </c>
      <c r="H51" s="13" t="s">
        <v>2551</v>
      </c>
    </row>
    <row r="52" spans="1:8">
      <c r="A52" s="28">
        <v>45783</v>
      </c>
      <c r="B52" s="10" t="s">
        <v>258</v>
      </c>
      <c r="C52" s="10" t="s">
        <v>2597</v>
      </c>
      <c r="D52" s="10" t="s">
        <v>2584</v>
      </c>
      <c r="E52" s="10" t="s">
        <v>3047</v>
      </c>
      <c r="F52" s="10">
        <v>1</v>
      </c>
      <c r="G52" s="10" t="s">
        <v>861</v>
      </c>
      <c r="H52" s="13" t="s">
        <v>2551</v>
      </c>
    </row>
    <row r="53" spans="1:8">
      <c r="A53" s="23">
        <v>45783</v>
      </c>
      <c r="B53" s="10" t="s">
        <v>258</v>
      </c>
      <c r="C53" s="10" t="s">
        <v>2598</v>
      </c>
      <c r="D53" s="10" t="s">
        <v>2584</v>
      </c>
      <c r="E53" s="10" t="s">
        <v>3047</v>
      </c>
      <c r="F53" s="10">
        <v>1</v>
      </c>
      <c r="G53" s="10" t="s">
        <v>1098</v>
      </c>
      <c r="H53" s="13" t="s">
        <v>2551</v>
      </c>
    </row>
    <row r="54" spans="1:8">
      <c r="A54" s="23">
        <v>45783</v>
      </c>
      <c r="B54" s="10" t="s">
        <v>258</v>
      </c>
      <c r="C54" s="10" t="s">
        <v>2599</v>
      </c>
      <c r="D54" s="10" t="s">
        <v>2584</v>
      </c>
      <c r="E54" s="10" t="s">
        <v>3047</v>
      </c>
      <c r="F54" s="10">
        <v>1</v>
      </c>
      <c r="G54" s="10" t="s">
        <v>1697</v>
      </c>
      <c r="H54" s="13" t="s">
        <v>2551</v>
      </c>
    </row>
    <row r="55" spans="1:8">
      <c r="A55" s="28">
        <v>45783</v>
      </c>
      <c r="B55" s="10" t="s">
        <v>258</v>
      </c>
      <c r="C55" s="10" t="s">
        <v>2600</v>
      </c>
      <c r="D55" s="10" t="s">
        <v>2584</v>
      </c>
      <c r="E55" s="10" t="s">
        <v>3047</v>
      </c>
      <c r="F55" s="10">
        <v>1</v>
      </c>
      <c r="G55" s="10" t="s">
        <v>94</v>
      </c>
      <c r="H55" s="13" t="s">
        <v>2551</v>
      </c>
    </row>
    <row r="56" spans="1:8" ht="15" thickBot="1">
      <c r="A56" s="56">
        <v>45783</v>
      </c>
      <c r="B56" s="10" t="s">
        <v>258</v>
      </c>
      <c r="C56" s="10" t="s">
        <v>2601</v>
      </c>
      <c r="D56" s="57" t="s">
        <v>2584</v>
      </c>
      <c r="E56" s="10" t="s">
        <v>3047</v>
      </c>
      <c r="F56" s="10">
        <v>1</v>
      </c>
      <c r="G56" s="10" t="s">
        <v>187</v>
      </c>
      <c r="H56" s="13" t="s">
        <v>2551</v>
      </c>
    </row>
    <row r="57" spans="1:8">
      <c r="A57" s="56">
        <v>45783</v>
      </c>
      <c r="B57" s="10" t="s">
        <v>258</v>
      </c>
      <c r="C57" s="10" t="s">
        <v>2602</v>
      </c>
      <c r="D57" s="10" t="s">
        <v>2584</v>
      </c>
      <c r="E57" s="10" t="s">
        <v>3047</v>
      </c>
      <c r="F57" s="10">
        <v>1</v>
      </c>
      <c r="G57" s="10" t="s">
        <v>567</v>
      </c>
      <c r="H57" s="13" t="s">
        <v>2551</v>
      </c>
    </row>
    <row r="58" spans="1:8">
      <c r="A58" s="28">
        <v>45783</v>
      </c>
      <c r="B58" s="10" t="s">
        <v>258</v>
      </c>
      <c r="C58" s="10" t="s">
        <v>2603</v>
      </c>
      <c r="D58" s="10" t="s">
        <v>2584</v>
      </c>
      <c r="E58" s="10" t="s">
        <v>3047</v>
      </c>
      <c r="F58" s="10">
        <v>1</v>
      </c>
      <c r="G58" s="10" t="s">
        <v>317</v>
      </c>
      <c r="H58" s="13" t="s">
        <v>2551</v>
      </c>
    </row>
    <row r="59" spans="1:8">
      <c r="A59" s="28">
        <v>45783</v>
      </c>
      <c r="B59" s="10" t="s">
        <v>66</v>
      </c>
      <c r="C59" s="10" t="s">
        <v>2604</v>
      </c>
      <c r="D59" s="10" t="s">
        <v>2605</v>
      </c>
      <c r="E59" s="10" t="s">
        <v>2606</v>
      </c>
      <c r="F59" s="10">
        <v>1</v>
      </c>
      <c r="G59" s="10" t="s">
        <v>337</v>
      </c>
      <c r="H59" s="13" t="s">
        <v>2551</v>
      </c>
    </row>
    <row r="60" spans="1:8">
      <c r="A60" s="28">
        <v>45783</v>
      </c>
      <c r="B60" s="10" t="s">
        <v>66</v>
      </c>
      <c r="C60" s="10" t="s">
        <v>2607</v>
      </c>
      <c r="D60" s="10" t="s">
        <v>2605</v>
      </c>
      <c r="E60" s="10" t="s">
        <v>2606</v>
      </c>
      <c r="F60" s="10">
        <v>1</v>
      </c>
      <c r="G60" s="10" t="s">
        <v>340</v>
      </c>
      <c r="H60" s="13" t="s">
        <v>2551</v>
      </c>
    </row>
    <row r="61" spans="1:8">
      <c r="A61" s="28">
        <v>45783</v>
      </c>
      <c r="B61" s="10" t="s">
        <v>66</v>
      </c>
      <c r="C61" s="10" t="s">
        <v>2608</v>
      </c>
      <c r="D61" s="10" t="s">
        <v>2605</v>
      </c>
      <c r="E61" s="10" t="s">
        <v>2606</v>
      </c>
      <c r="F61" s="10">
        <v>1</v>
      </c>
      <c r="G61" s="10" t="s">
        <v>354</v>
      </c>
      <c r="H61" s="13" t="s">
        <v>2551</v>
      </c>
    </row>
    <row r="62" spans="1:8">
      <c r="A62" s="23">
        <v>45783</v>
      </c>
      <c r="B62" s="14" t="s">
        <v>66</v>
      </c>
      <c r="C62" s="14" t="s">
        <v>2609</v>
      </c>
      <c r="D62" s="14" t="s">
        <v>2605</v>
      </c>
      <c r="E62" s="15" t="s">
        <v>2606</v>
      </c>
      <c r="F62" s="14">
        <v>1</v>
      </c>
      <c r="G62" s="14"/>
      <c r="H62" s="86" t="s">
        <v>2551</v>
      </c>
    </row>
    <row r="63" spans="1:8">
      <c r="A63" s="28">
        <v>45783</v>
      </c>
      <c r="B63" s="10" t="s">
        <v>66</v>
      </c>
      <c r="C63" s="10" t="s">
        <v>2610</v>
      </c>
      <c r="D63" s="10" t="s">
        <v>2605</v>
      </c>
      <c r="E63" s="10" t="s">
        <v>2606</v>
      </c>
      <c r="F63" s="10">
        <v>1</v>
      </c>
      <c r="G63" s="10" t="s">
        <v>431</v>
      </c>
      <c r="H63" s="13" t="s">
        <v>2551</v>
      </c>
    </row>
    <row r="64" spans="1:8">
      <c r="A64" s="28">
        <v>45783</v>
      </c>
      <c r="B64" s="10" t="s">
        <v>66</v>
      </c>
      <c r="C64" s="10" t="s">
        <v>2611</v>
      </c>
      <c r="D64" s="10" t="s">
        <v>2605</v>
      </c>
      <c r="E64" s="10" t="s">
        <v>2606</v>
      </c>
      <c r="F64" s="10">
        <v>1</v>
      </c>
      <c r="G64" s="10" t="s">
        <v>326</v>
      </c>
      <c r="H64" s="13" t="s">
        <v>2551</v>
      </c>
    </row>
    <row r="65" spans="1:10">
      <c r="A65" s="28">
        <v>45783</v>
      </c>
      <c r="B65" s="10" t="s">
        <v>66</v>
      </c>
      <c r="C65" s="10" t="s">
        <v>2612</v>
      </c>
      <c r="D65" s="10" t="s">
        <v>2605</v>
      </c>
      <c r="E65" s="10" t="s">
        <v>2606</v>
      </c>
      <c r="F65" s="10">
        <v>1</v>
      </c>
      <c r="G65" s="10" t="s">
        <v>389</v>
      </c>
      <c r="H65" s="13" t="s">
        <v>2551</v>
      </c>
    </row>
    <row r="66" spans="1:10">
      <c r="A66" s="23">
        <v>45783</v>
      </c>
      <c r="B66" s="14" t="s">
        <v>66</v>
      </c>
      <c r="C66" s="14" t="s">
        <v>2613</v>
      </c>
      <c r="D66" s="14" t="s">
        <v>2605</v>
      </c>
      <c r="E66" s="15" t="s">
        <v>3749</v>
      </c>
      <c r="F66" s="14">
        <v>1</v>
      </c>
      <c r="G66" s="14"/>
      <c r="H66" s="86" t="s">
        <v>2551</v>
      </c>
    </row>
    <row r="67" spans="1:10">
      <c r="A67" s="28">
        <v>45783</v>
      </c>
      <c r="B67" s="10" t="s">
        <v>66</v>
      </c>
      <c r="C67" s="10" t="s">
        <v>2614</v>
      </c>
      <c r="D67" s="10" t="s">
        <v>2605</v>
      </c>
      <c r="E67" s="10" t="s">
        <v>2606</v>
      </c>
      <c r="F67" s="10">
        <v>1</v>
      </c>
      <c r="G67" s="10" t="s">
        <v>409</v>
      </c>
      <c r="H67" s="13" t="s">
        <v>2551</v>
      </c>
    </row>
    <row r="68" spans="1:10" ht="15" thickBot="1">
      <c r="A68" s="27">
        <v>45783</v>
      </c>
      <c r="B68" s="11" t="s">
        <v>66</v>
      </c>
      <c r="C68" s="10" t="s">
        <v>2615</v>
      </c>
      <c r="D68" s="10" t="s">
        <v>2605</v>
      </c>
      <c r="E68" s="10" t="s">
        <v>2606</v>
      </c>
      <c r="F68" s="10">
        <v>1</v>
      </c>
      <c r="G68" s="10" t="s">
        <v>363</v>
      </c>
      <c r="H68" s="13" t="s">
        <v>2551</v>
      </c>
    </row>
    <row r="69" spans="1:10">
      <c r="A69" s="21">
        <v>45783</v>
      </c>
      <c r="B69" s="22" t="s">
        <v>66</v>
      </c>
      <c r="C69" s="22" t="s">
        <v>2616</v>
      </c>
      <c r="D69" s="22" t="s">
        <v>2617</v>
      </c>
      <c r="E69" s="15" t="s">
        <v>3750</v>
      </c>
      <c r="F69" s="22">
        <v>1</v>
      </c>
      <c r="G69" s="22"/>
      <c r="H69" s="86" t="s">
        <v>2551</v>
      </c>
    </row>
    <row r="70" spans="1:10">
      <c r="A70" s="27">
        <v>45783</v>
      </c>
      <c r="B70" s="10" t="s">
        <v>66</v>
      </c>
      <c r="C70" s="10" t="s">
        <v>2618</v>
      </c>
      <c r="D70" s="10" t="s">
        <v>2617</v>
      </c>
      <c r="E70" s="15" t="s">
        <v>3750</v>
      </c>
      <c r="F70" s="10">
        <v>1</v>
      </c>
      <c r="G70" s="10" t="s">
        <v>630</v>
      </c>
      <c r="H70" s="13" t="s">
        <v>2551</v>
      </c>
    </row>
    <row r="71" spans="1:10">
      <c r="A71" s="27">
        <v>45783</v>
      </c>
      <c r="B71" s="10" t="s">
        <v>66</v>
      </c>
      <c r="C71" s="10" t="s">
        <v>2619</v>
      </c>
      <c r="D71" s="10" t="s">
        <v>2617</v>
      </c>
      <c r="E71" s="15" t="s">
        <v>3750</v>
      </c>
      <c r="F71" s="10">
        <v>1</v>
      </c>
      <c r="G71" s="10" t="s">
        <v>392</v>
      </c>
      <c r="H71" s="13" t="s">
        <v>2551</v>
      </c>
    </row>
    <row r="72" spans="1:10">
      <c r="A72" s="27">
        <v>45783</v>
      </c>
      <c r="B72" s="88" t="s">
        <v>66</v>
      </c>
      <c r="C72" s="10" t="s">
        <v>2620</v>
      </c>
      <c r="D72" s="10" t="s">
        <v>2617</v>
      </c>
      <c r="E72" s="15" t="s">
        <v>3750</v>
      </c>
      <c r="F72" s="10">
        <v>1</v>
      </c>
      <c r="G72" s="10" t="s">
        <v>297</v>
      </c>
      <c r="H72" s="13" t="s">
        <v>2551</v>
      </c>
    </row>
    <row r="73" spans="1:10">
      <c r="A73" s="23">
        <v>45783</v>
      </c>
      <c r="B73" s="14" t="s">
        <v>66</v>
      </c>
      <c r="C73" s="14" t="s">
        <v>2621</v>
      </c>
      <c r="D73" s="14" t="s">
        <v>2617</v>
      </c>
      <c r="E73" s="15" t="s">
        <v>3750</v>
      </c>
      <c r="F73" s="14">
        <v>1</v>
      </c>
      <c r="G73" s="14"/>
      <c r="H73" s="86" t="s">
        <v>2551</v>
      </c>
    </row>
    <row r="74" spans="1:10">
      <c r="A74" s="23">
        <v>45783</v>
      </c>
      <c r="B74" s="14" t="s">
        <v>66</v>
      </c>
      <c r="C74" s="14" t="s">
        <v>2622</v>
      </c>
      <c r="D74" s="14" t="s">
        <v>2617</v>
      </c>
      <c r="E74" s="15" t="s">
        <v>3750</v>
      </c>
      <c r="F74" s="14">
        <v>1</v>
      </c>
      <c r="G74" s="14"/>
      <c r="H74" s="86" t="s">
        <v>2551</v>
      </c>
      <c r="J74" s="10"/>
    </row>
    <row r="75" spans="1:10">
      <c r="A75" s="27">
        <v>45783</v>
      </c>
      <c r="B75" s="10" t="s">
        <v>66</v>
      </c>
      <c r="C75" s="10" t="s">
        <v>2623</v>
      </c>
      <c r="D75" s="10" t="s">
        <v>2617</v>
      </c>
      <c r="E75" s="15" t="s">
        <v>3750</v>
      </c>
      <c r="F75" s="10">
        <v>1</v>
      </c>
      <c r="G75" s="10" t="s">
        <v>1027</v>
      </c>
      <c r="H75" s="13" t="s">
        <v>2551</v>
      </c>
    </row>
    <row r="76" spans="1:10">
      <c r="A76" s="27">
        <v>45783</v>
      </c>
      <c r="B76" s="10" t="s">
        <v>66</v>
      </c>
      <c r="C76" s="10" t="s">
        <v>2624</v>
      </c>
      <c r="D76" s="10" t="s">
        <v>2617</v>
      </c>
      <c r="E76" s="15" t="s">
        <v>3750</v>
      </c>
      <c r="F76" s="10">
        <v>1</v>
      </c>
      <c r="G76" s="10" t="s">
        <v>920</v>
      </c>
      <c r="H76" s="13" t="s">
        <v>2551</v>
      </c>
    </row>
    <row r="77" spans="1:10">
      <c r="A77" s="27">
        <v>45783</v>
      </c>
      <c r="B77" s="88" t="s">
        <v>66</v>
      </c>
      <c r="C77" s="10" t="s">
        <v>2625</v>
      </c>
      <c r="D77" s="10" t="s">
        <v>2617</v>
      </c>
      <c r="E77" s="15" t="s">
        <v>3750</v>
      </c>
      <c r="F77" s="10">
        <v>1</v>
      </c>
      <c r="G77" s="10" t="s">
        <v>94</v>
      </c>
      <c r="H77" s="13" t="s">
        <v>2551</v>
      </c>
    </row>
    <row r="78" spans="1:10">
      <c r="A78" s="27">
        <v>45783</v>
      </c>
      <c r="B78" s="10" t="s">
        <v>66</v>
      </c>
      <c r="C78" s="10" t="s">
        <v>2626</v>
      </c>
      <c r="D78" s="10" t="s">
        <v>2617</v>
      </c>
      <c r="E78" s="15" t="s">
        <v>3750</v>
      </c>
      <c r="F78" s="10">
        <v>1</v>
      </c>
      <c r="G78" s="10" t="s">
        <v>1435</v>
      </c>
      <c r="H78" s="13" t="s">
        <v>2551</v>
      </c>
    </row>
    <row r="79" spans="1:10">
      <c r="A79" s="27">
        <v>45797</v>
      </c>
      <c r="B79" s="10" t="s">
        <v>457</v>
      </c>
      <c r="C79" s="10" t="s">
        <v>2627</v>
      </c>
      <c r="D79" s="10" t="s">
        <v>2539</v>
      </c>
      <c r="E79" s="11" t="s">
        <v>2606</v>
      </c>
      <c r="F79" s="10">
        <v>1</v>
      </c>
      <c r="G79" s="10" t="s">
        <v>425</v>
      </c>
      <c r="H79" s="13" t="s">
        <v>2541</v>
      </c>
    </row>
    <row r="80" spans="1:10">
      <c r="A80" s="27">
        <v>45797</v>
      </c>
      <c r="B80" s="10" t="s">
        <v>457</v>
      </c>
      <c r="C80" s="10" t="s">
        <v>2628</v>
      </c>
      <c r="D80" s="10" t="s">
        <v>2539</v>
      </c>
      <c r="E80" s="11" t="s">
        <v>2606</v>
      </c>
      <c r="F80" s="10">
        <v>1</v>
      </c>
      <c r="G80" s="10" t="s">
        <v>409</v>
      </c>
      <c r="H80" s="13" t="s">
        <v>2541</v>
      </c>
    </row>
    <row r="81" spans="1:8">
      <c r="A81" s="42">
        <v>45797</v>
      </c>
      <c r="B81" s="14" t="s">
        <v>457</v>
      </c>
      <c r="C81" s="14" t="s">
        <v>2629</v>
      </c>
      <c r="D81" s="14" t="s">
        <v>2539</v>
      </c>
      <c r="E81" s="14" t="s">
        <v>2606</v>
      </c>
      <c r="F81" s="14">
        <v>1</v>
      </c>
      <c r="G81" s="14"/>
      <c r="H81" s="86" t="s">
        <v>2541</v>
      </c>
    </row>
    <row r="82" spans="1:8">
      <c r="A82" s="27">
        <v>45814</v>
      </c>
      <c r="B82" s="10" t="s">
        <v>457</v>
      </c>
      <c r="C82" s="10" t="s">
        <v>2630</v>
      </c>
      <c r="D82" s="10" t="s">
        <v>2539</v>
      </c>
      <c r="E82" s="11" t="s">
        <v>2606</v>
      </c>
      <c r="F82" s="10">
        <v>1</v>
      </c>
      <c r="G82" s="10" t="s">
        <v>387</v>
      </c>
      <c r="H82" s="13" t="s">
        <v>2631</v>
      </c>
    </row>
    <row r="83" spans="1:8">
      <c r="A83" s="27">
        <v>45814</v>
      </c>
      <c r="B83" s="10" t="s">
        <v>457</v>
      </c>
      <c r="C83" s="10" t="s">
        <v>2632</v>
      </c>
      <c r="D83" s="10" t="s">
        <v>2539</v>
      </c>
      <c r="E83" s="11" t="s">
        <v>2606</v>
      </c>
      <c r="F83" s="10">
        <v>1</v>
      </c>
      <c r="G83" s="10" t="s">
        <v>469</v>
      </c>
      <c r="H83" s="13" t="s">
        <v>2631</v>
      </c>
    </row>
    <row r="84" spans="1:8">
      <c r="A84" s="27">
        <v>45814</v>
      </c>
      <c r="B84" s="10" t="s">
        <v>457</v>
      </c>
      <c r="C84" s="10" t="s">
        <v>2633</v>
      </c>
      <c r="D84" s="10" t="s">
        <v>2539</v>
      </c>
      <c r="E84" s="11" t="s">
        <v>2606</v>
      </c>
      <c r="F84" s="10">
        <v>1</v>
      </c>
      <c r="G84" s="10" t="s">
        <v>2634</v>
      </c>
      <c r="H84" s="13" t="s">
        <v>2631</v>
      </c>
    </row>
    <row r="85" spans="1:8">
      <c r="A85" s="27">
        <v>45814</v>
      </c>
      <c r="B85" s="10" t="s">
        <v>457</v>
      </c>
      <c r="C85" s="10" t="s">
        <v>2635</v>
      </c>
      <c r="D85" s="10" t="s">
        <v>2539</v>
      </c>
      <c r="E85" s="11" t="s">
        <v>2606</v>
      </c>
      <c r="F85" s="10">
        <v>1</v>
      </c>
      <c r="G85" s="10" t="s">
        <v>729</v>
      </c>
      <c r="H85" s="13" t="s">
        <v>2631</v>
      </c>
    </row>
    <row r="86" spans="1:8">
      <c r="A86" s="27">
        <v>45814</v>
      </c>
      <c r="B86" s="10" t="s">
        <v>457</v>
      </c>
      <c r="C86" s="10" t="s">
        <v>2636</v>
      </c>
      <c r="D86" s="10" t="s">
        <v>2539</v>
      </c>
      <c r="E86" s="11" t="s">
        <v>2606</v>
      </c>
      <c r="F86" s="10">
        <v>1</v>
      </c>
      <c r="G86" s="10" t="s">
        <v>538</v>
      </c>
      <c r="H86" s="13" t="s">
        <v>2631</v>
      </c>
    </row>
    <row r="87" spans="1:8">
      <c r="A87" s="27">
        <v>45814</v>
      </c>
      <c r="B87" s="10" t="s">
        <v>457</v>
      </c>
      <c r="C87" s="10" t="s">
        <v>2637</v>
      </c>
      <c r="D87" s="10" t="s">
        <v>2539</v>
      </c>
      <c r="E87" s="11" t="s">
        <v>2606</v>
      </c>
      <c r="F87" s="10">
        <v>1</v>
      </c>
      <c r="G87" s="10" t="s">
        <v>543</v>
      </c>
      <c r="H87" s="13" t="s">
        <v>2631</v>
      </c>
    </row>
    <row r="88" spans="1:8">
      <c r="A88" s="27">
        <v>45814</v>
      </c>
      <c r="B88" s="10" t="s">
        <v>457</v>
      </c>
      <c r="C88" s="11" t="s">
        <v>2638</v>
      </c>
      <c r="D88" s="11" t="s">
        <v>2539</v>
      </c>
      <c r="E88" s="11" t="s">
        <v>2606</v>
      </c>
      <c r="F88" s="13">
        <v>1</v>
      </c>
      <c r="G88" s="13" t="s">
        <v>595</v>
      </c>
      <c r="H88" s="13" t="s">
        <v>2631</v>
      </c>
    </row>
    <row r="89" spans="1:8">
      <c r="A89" s="9">
        <v>45814</v>
      </c>
      <c r="B89" s="10" t="s">
        <v>457</v>
      </c>
      <c r="C89" s="11" t="s">
        <v>2639</v>
      </c>
      <c r="D89" s="11" t="s">
        <v>2539</v>
      </c>
      <c r="E89" s="11" t="s">
        <v>2606</v>
      </c>
      <c r="F89" s="13">
        <v>1</v>
      </c>
      <c r="G89" s="13" t="s">
        <v>563</v>
      </c>
      <c r="H89" s="13" t="s">
        <v>2631</v>
      </c>
    </row>
    <row r="90" spans="1:8">
      <c r="A90" s="9">
        <v>45814</v>
      </c>
      <c r="B90" s="10" t="s">
        <v>457</v>
      </c>
      <c r="C90" s="10" t="s">
        <v>2640</v>
      </c>
      <c r="D90" s="10" t="s">
        <v>2539</v>
      </c>
      <c r="E90" s="11" t="s">
        <v>2606</v>
      </c>
      <c r="F90" s="10">
        <v>1</v>
      </c>
      <c r="G90" s="10" t="s">
        <v>679</v>
      </c>
      <c r="H90" s="13" t="s">
        <v>2631</v>
      </c>
    </row>
    <row r="91" spans="1:8">
      <c r="A91" s="27">
        <v>45814</v>
      </c>
      <c r="B91" s="10" t="s">
        <v>457</v>
      </c>
      <c r="C91" s="10" t="s">
        <v>2641</v>
      </c>
      <c r="D91" s="10" t="s">
        <v>2539</v>
      </c>
      <c r="E91" s="11" t="s">
        <v>2606</v>
      </c>
      <c r="F91" s="10">
        <v>1</v>
      </c>
      <c r="G91" s="10" t="s">
        <v>658</v>
      </c>
      <c r="H91" s="13" t="s">
        <v>2631</v>
      </c>
    </row>
    <row r="92" spans="1:8">
      <c r="A92" s="27">
        <v>45814</v>
      </c>
      <c r="B92" s="10" t="s">
        <v>457</v>
      </c>
      <c r="C92" s="10" t="s">
        <v>2642</v>
      </c>
      <c r="D92" s="10" t="s">
        <v>2539</v>
      </c>
      <c r="E92" s="11" t="s">
        <v>2606</v>
      </c>
      <c r="F92" s="10">
        <v>1</v>
      </c>
      <c r="G92" s="10" t="s">
        <v>639</v>
      </c>
      <c r="H92" s="13" t="s">
        <v>2631</v>
      </c>
    </row>
    <row r="93" spans="1:8">
      <c r="A93" s="27">
        <v>45814</v>
      </c>
      <c r="B93" s="10" t="s">
        <v>457</v>
      </c>
      <c r="C93" s="10" t="s">
        <v>2643</v>
      </c>
      <c r="D93" s="10" t="s">
        <v>2539</v>
      </c>
      <c r="E93" s="11" t="s">
        <v>2606</v>
      </c>
      <c r="F93" s="10">
        <v>1</v>
      </c>
      <c r="G93" s="10" t="s">
        <v>477</v>
      </c>
      <c r="H93" s="13" t="s">
        <v>2631</v>
      </c>
    </row>
    <row r="94" spans="1:8">
      <c r="A94" s="27">
        <v>45814</v>
      </c>
      <c r="B94" s="10" t="s">
        <v>457</v>
      </c>
      <c r="C94" s="10" t="s">
        <v>2644</v>
      </c>
      <c r="D94" s="10" t="s">
        <v>2539</v>
      </c>
      <c r="E94" s="11" t="s">
        <v>2606</v>
      </c>
      <c r="F94" s="10">
        <v>1</v>
      </c>
      <c r="G94" s="10" t="s">
        <v>480</v>
      </c>
      <c r="H94" s="13" t="s">
        <v>2631</v>
      </c>
    </row>
    <row r="95" spans="1:8">
      <c r="A95" s="27">
        <v>45814</v>
      </c>
      <c r="B95" s="10" t="s">
        <v>457</v>
      </c>
      <c r="C95" s="10" t="s">
        <v>2645</v>
      </c>
      <c r="D95" s="10" t="s">
        <v>2539</v>
      </c>
      <c r="E95" s="11" t="s">
        <v>2606</v>
      </c>
      <c r="F95" s="10">
        <v>1</v>
      </c>
      <c r="G95" s="10" t="s">
        <v>469</v>
      </c>
      <c r="H95" s="13" t="s">
        <v>2631</v>
      </c>
    </row>
    <row r="96" spans="1:8">
      <c r="A96" s="27">
        <v>45814</v>
      </c>
      <c r="B96" s="10" t="s">
        <v>457</v>
      </c>
      <c r="C96" s="10" t="s">
        <v>2646</v>
      </c>
      <c r="D96" s="10" t="s">
        <v>2539</v>
      </c>
      <c r="E96" s="11" t="s">
        <v>2606</v>
      </c>
      <c r="F96" s="10">
        <v>1</v>
      </c>
      <c r="G96" s="10" t="s">
        <v>482</v>
      </c>
      <c r="H96" s="13" t="s">
        <v>2631</v>
      </c>
    </row>
    <row r="97" spans="1:8">
      <c r="A97" s="27">
        <v>45814</v>
      </c>
      <c r="B97" s="10" t="s">
        <v>457</v>
      </c>
      <c r="C97" s="10" t="s">
        <v>2647</v>
      </c>
      <c r="D97" s="10" t="s">
        <v>2539</v>
      </c>
      <c r="E97" s="11" t="s">
        <v>2606</v>
      </c>
      <c r="F97" s="10">
        <v>1</v>
      </c>
      <c r="G97" s="10" t="s">
        <v>265</v>
      </c>
      <c r="H97" s="13" t="s">
        <v>2631</v>
      </c>
    </row>
    <row r="98" spans="1:8">
      <c r="A98" s="27">
        <v>45814</v>
      </c>
      <c r="B98" s="10" t="s">
        <v>457</v>
      </c>
      <c r="C98" s="10" t="s">
        <v>2648</v>
      </c>
      <c r="D98" s="10" t="s">
        <v>2539</v>
      </c>
      <c r="E98" s="11" t="s">
        <v>2606</v>
      </c>
      <c r="F98" s="10">
        <v>1</v>
      </c>
      <c r="G98" s="10" t="s">
        <v>401</v>
      </c>
      <c r="H98" s="13" t="s">
        <v>2631</v>
      </c>
    </row>
    <row r="99" spans="1:8">
      <c r="A99" s="27">
        <v>45814</v>
      </c>
      <c r="B99" s="10" t="s">
        <v>457</v>
      </c>
      <c r="C99" s="10" t="s">
        <v>2649</v>
      </c>
      <c r="D99" s="10" t="s">
        <v>2539</v>
      </c>
      <c r="E99" s="11" t="s">
        <v>2606</v>
      </c>
      <c r="F99" s="10">
        <v>1</v>
      </c>
      <c r="G99" s="10" t="s">
        <v>601</v>
      </c>
      <c r="H99" s="13" t="s">
        <v>2631</v>
      </c>
    </row>
    <row r="100" spans="1:8">
      <c r="A100" s="27">
        <v>45814</v>
      </c>
      <c r="B100" s="10" t="s">
        <v>457</v>
      </c>
      <c r="C100" s="10" t="s">
        <v>2650</v>
      </c>
      <c r="D100" s="10" t="s">
        <v>2539</v>
      </c>
      <c r="E100" s="11" t="s">
        <v>2606</v>
      </c>
      <c r="F100" s="10">
        <v>1</v>
      </c>
      <c r="G100" s="10" t="s">
        <v>616</v>
      </c>
      <c r="H100" s="13" t="s">
        <v>2631</v>
      </c>
    </row>
    <row r="101" spans="1:8">
      <c r="A101" s="27">
        <v>45814</v>
      </c>
      <c r="B101" s="10" t="s">
        <v>457</v>
      </c>
      <c r="C101" s="10" t="s">
        <v>2651</v>
      </c>
      <c r="D101" s="10" t="s">
        <v>2539</v>
      </c>
      <c r="E101" s="11" t="s">
        <v>2606</v>
      </c>
      <c r="F101" s="10">
        <v>1</v>
      </c>
      <c r="G101" s="10" t="s">
        <v>625</v>
      </c>
      <c r="H101" s="13" t="s">
        <v>2631</v>
      </c>
    </row>
    <row r="102" spans="1:8">
      <c r="A102" s="42">
        <v>45814</v>
      </c>
      <c r="B102" s="14" t="s">
        <v>457</v>
      </c>
      <c r="C102" s="14" t="s">
        <v>2652</v>
      </c>
      <c r="D102" s="14" t="s">
        <v>2539</v>
      </c>
      <c r="E102" s="14" t="s">
        <v>2606</v>
      </c>
      <c r="F102" s="14">
        <v>1</v>
      </c>
      <c r="G102" s="14"/>
      <c r="H102" s="86" t="s">
        <v>2631</v>
      </c>
    </row>
    <row r="103" spans="1:8">
      <c r="A103" s="27">
        <v>45814</v>
      </c>
      <c r="B103" s="10" t="s">
        <v>457</v>
      </c>
      <c r="C103" s="10" t="s">
        <v>2653</v>
      </c>
      <c r="D103" s="10" t="s">
        <v>2539</v>
      </c>
      <c r="E103" s="11" t="s">
        <v>2606</v>
      </c>
      <c r="F103" s="10">
        <v>1</v>
      </c>
      <c r="G103" s="10" t="s">
        <v>618</v>
      </c>
      <c r="H103" s="13" t="s">
        <v>2631</v>
      </c>
    </row>
    <row r="104" spans="1:8">
      <c r="A104" s="27">
        <v>45814</v>
      </c>
      <c r="B104" s="10" t="s">
        <v>457</v>
      </c>
      <c r="C104" s="10" t="s">
        <v>2654</v>
      </c>
      <c r="D104" s="10" t="s">
        <v>2539</v>
      </c>
      <c r="E104" s="11" t="s">
        <v>2606</v>
      </c>
      <c r="F104" s="10">
        <v>1</v>
      </c>
      <c r="G104" s="10" t="s">
        <v>613</v>
      </c>
      <c r="H104" s="13" t="s">
        <v>2631</v>
      </c>
    </row>
    <row r="105" spans="1:8">
      <c r="A105" s="27">
        <v>45814</v>
      </c>
      <c r="B105" s="10" t="s">
        <v>457</v>
      </c>
      <c r="C105" s="10" t="s">
        <v>2655</v>
      </c>
      <c r="D105" s="10" t="s">
        <v>2539</v>
      </c>
      <c r="E105" s="11" t="s">
        <v>2606</v>
      </c>
      <c r="F105" s="10">
        <v>1</v>
      </c>
      <c r="G105" s="10" t="s">
        <v>354</v>
      </c>
      <c r="H105" s="13" t="s">
        <v>2631</v>
      </c>
    </row>
    <row r="106" spans="1:8">
      <c r="A106" s="27">
        <v>45814</v>
      </c>
      <c r="B106" s="10" t="s">
        <v>457</v>
      </c>
      <c r="C106" s="10" t="s">
        <v>2656</v>
      </c>
      <c r="D106" s="10" t="s">
        <v>2539</v>
      </c>
      <c r="E106" s="11" t="s">
        <v>2606</v>
      </c>
      <c r="F106" s="10">
        <v>1</v>
      </c>
      <c r="G106" s="10" t="s">
        <v>610</v>
      </c>
      <c r="H106" s="13" t="s">
        <v>2631</v>
      </c>
    </row>
    <row r="107" spans="1:8">
      <c r="A107" s="27">
        <v>45814</v>
      </c>
      <c r="B107" s="10" t="s">
        <v>457</v>
      </c>
      <c r="C107" s="10" t="s">
        <v>2657</v>
      </c>
      <c r="D107" s="10" t="s">
        <v>2539</v>
      </c>
      <c r="E107" s="11" t="s">
        <v>2606</v>
      </c>
      <c r="F107" s="10">
        <v>1</v>
      </c>
      <c r="G107" s="10" t="s">
        <v>507</v>
      </c>
      <c r="H107" s="13" t="s">
        <v>2631</v>
      </c>
    </row>
    <row r="108" spans="1:8">
      <c r="A108" s="52">
        <v>45814</v>
      </c>
      <c r="B108" s="53" t="s">
        <v>457</v>
      </c>
      <c r="C108" s="53" t="s">
        <v>2658</v>
      </c>
      <c r="D108" s="53" t="s">
        <v>2539</v>
      </c>
      <c r="E108" s="11" t="s">
        <v>2606</v>
      </c>
      <c r="F108" s="53">
        <v>1</v>
      </c>
      <c r="G108" s="53" t="s">
        <v>164</v>
      </c>
      <c r="H108" s="13" t="s">
        <v>2631</v>
      </c>
    </row>
    <row r="109" spans="1:8">
      <c r="A109" s="42">
        <v>45814</v>
      </c>
      <c r="B109" s="14" t="s">
        <v>457</v>
      </c>
      <c r="C109" s="14" t="s">
        <v>2659</v>
      </c>
      <c r="D109" s="14" t="s">
        <v>2539</v>
      </c>
      <c r="E109" s="14" t="s">
        <v>2606</v>
      </c>
      <c r="F109" s="14">
        <v>1</v>
      </c>
      <c r="G109" s="14"/>
      <c r="H109" s="86" t="s">
        <v>2631</v>
      </c>
    </row>
    <row r="110" spans="1:8">
      <c r="A110" s="27">
        <v>45814</v>
      </c>
      <c r="B110" s="10" t="s">
        <v>457</v>
      </c>
      <c r="C110" s="10" t="s">
        <v>2660</v>
      </c>
      <c r="D110" s="10" t="s">
        <v>2539</v>
      </c>
      <c r="E110" s="11" t="s">
        <v>2606</v>
      </c>
      <c r="F110" s="10">
        <v>1</v>
      </c>
      <c r="G110" s="10" t="s">
        <v>455</v>
      </c>
      <c r="H110" s="13" t="s">
        <v>2631</v>
      </c>
    </row>
    <row r="111" spans="1:8">
      <c r="A111" s="27">
        <v>45814</v>
      </c>
      <c r="B111" s="10" t="s">
        <v>457</v>
      </c>
      <c r="C111" s="10" t="s">
        <v>2661</v>
      </c>
      <c r="D111" s="10" t="s">
        <v>2539</v>
      </c>
      <c r="E111" s="11" t="s">
        <v>2606</v>
      </c>
      <c r="F111" s="10">
        <v>1</v>
      </c>
      <c r="G111" s="10" t="s">
        <v>535</v>
      </c>
      <c r="H111" s="13" t="s">
        <v>2631</v>
      </c>
    </row>
    <row r="112" spans="1:8">
      <c r="A112" s="27">
        <v>45814</v>
      </c>
      <c r="B112" s="10" t="s">
        <v>457</v>
      </c>
      <c r="C112" s="10" t="s">
        <v>2662</v>
      </c>
      <c r="D112" s="10" t="s">
        <v>2539</v>
      </c>
      <c r="E112" s="11" t="s">
        <v>2606</v>
      </c>
      <c r="F112" s="10">
        <v>1</v>
      </c>
      <c r="G112" s="10" t="s">
        <v>524</v>
      </c>
      <c r="H112" s="13" t="s">
        <v>2631</v>
      </c>
    </row>
    <row r="113" spans="1:10">
      <c r="A113" s="27">
        <v>45814</v>
      </c>
      <c r="B113" s="10" t="s">
        <v>457</v>
      </c>
      <c r="C113" s="10" t="s">
        <v>2663</v>
      </c>
      <c r="D113" s="10" t="s">
        <v>2539</v>
      </c>
      <c r="E113" s="11" t="s">
        <v>2606</v>
      </c>
      <c r="F113" s="10">
        <v>1</v>
      </c>
      <c r="G113" s="10" t="s">
        <v>532</v>
      </c>
      <c r="H113" s="13" t="s">
        <v>2631</v>
      </c>
    </row>
    <row r="114" spans="1:10">
      <c r="A114" s="27">
        <v>45814</v>
      </c>
      <c r="B114" s="10" t="s">
        <v>457</v>
      </c>
      <c r="C114" s="10" t="s">
        <v>2664</v>
      </c>
      <c r="D114" s="10" t="s">
        <v>2539</v>
      </c>
      <c r="E114" s="11" t="s">
        <v>2606</v>
      </c>
      <c r="F114" s="10">
        <v>1</v>
      </c>
      <c r="G114" s="10" t="s">
        <v>1032</v>
      </c>
      <c r="H114" s="13" t="s">
        <v>2631</v>
      </c>
    </row>
    <row r="115" spans="1:10" ht="17.25" customHeight="1">
      <c r="A115" s="27">
        <v>45814</v>
      </c>
      <c r="B115" s="10" t="s">
        <v>457</v>
      </c>
      <c r="C115" s="10" t="s">
        <v>2665</v>
      </c>
      <c r="D115" s="10" t="s">
        <v>2539</v>
      </c>
      <c r="E115" s="11" t="s">
        <v>2606</v>
      </c>
      <c r="F115" s="10" t="s">
        <v>2666</v>
      </c>
      <c r="G115" s="10" t="s">
        <v>909</v>
      </c>
      <c r="H115" s="13" t="s">
        <v>2631</v>
      </c>
    </row>
    <row r="116" spans="1:10">
      <c r="A116" s="27">
        <v>45814</v>
      </c>
      <c r="B116" s="10" t="s">
        <v>457</v>
      </c>
      <c r="C116" s="10" t="s">
        <v>2667</v>
      </c>
      <c r="D116" s="10" t="s">
        <v>2539</v>
      </c>
      <c r="E116" s="11" t="s">
        <v>2606</v>
      </c>
      <c r="F116" s="10">
        <v>1</v>
      </c>
      <c r="G116" s="10" t="s">
        <v>549</v>
      </c>
      <c r="H116" s="13" t="s">
        <v>2631</v>
      </c>
    </row>
    <row r="117" spans="1:10">
      <c r="A117" s="27">
        <v>45814</v>
      </c>
      <c r="B117" s="10" t="s">
        <v>457</v>
      </c>
      <c r="C117" s="10" t="s">
        <v>2668</v>
      </c>
      <c r="D117" s="10" t="s">
        <v>2539</v>
      </c>
      <c r="E117" s="11" t="s">
        <v>2606</v>
      </c>
      <c r="F117" s="10">
        <v>1</v>
      </c>
      <c r="G117" s="10" t="s">
        <v>739</v>
      </c>
      <c r="H117" s="13" t="s">
        <v>2631</v>
      </c>
    </row>
    <row r="118" spans="1:10">
      <c r="A118" s="27">
        <v>45814</v>
      </c>
      <c r="B118" s="10" t="s">
        <v>457</v>
      </c>
      <c r="C118" s="10" t="s">
        <v>2669</v>
      </c>
      <c r="D118" s="10" t="s">
        <v>2539</v>
      </c>
      <c r="E118" s="11" t="s">
        <v>2606</v>
      </c>
      <c r="F118" s="10">
        <v>1</v>
      </c>
      <c r="G118" s="10" t="s">
        <v>552</v>
      </c>
      <c r="H118" s="13" t="s">
        <v>2631</v>
      </c>
    </row>
    <row r="119" spans="1:10">
      <c r="A119" s="27">
        <v>45814</v>
      </c>
      <c r="B119" s="10" t="s">
        <v>457</v>
      </c>
      <c r="C119" s="10" t="s">
        <v>2670</v>
      </c>
      <c r="D119" s="10" t="s">
        <v>2539</v>
      </c>
      <c r="E119" s="11" t="s">
        <v>2606</v>
      </c>
      <c r="F119" s="10">
        <v>1</v>
      </c>
      <c r="G119" s="10" t="s">
        <v>722</v>
      </c>
      <c r="H119" s="13" t="s">
        <v>2631</v>
      </c>
    </row>
    <row r="120" spans="1:10">
      <c r="A120" s="27">
        <v>45814</v>
      </c>
      <c r="B120" s="10" t="s">
        <v>457</v>
      </c>
      <c r="C120" s="10" t="s">
        <v>2671</v>
      </c>
      <c r="D120" s="10" t="s">
        <v>2539</v>
      </c>
      <c r="E120" s="11" t="s">
        <v>2606</v>
      </c>
      <c r="F120" s="10">
        <v>1</v>
      </c>
      <c r="G120" s="10" t="s">
        <v>546</v>
      </c>
      <c r="H120" s="13" t="s">
        <v>2631</v>
      </c>
    </row>
    <row r="121" spans="1:10">
      <c r="A121" s="27">
        <v>45814</v>
      </c>
      <c r="B121" s="10" t="s">
        <v>457</v>
      </c>
      <c r="C121" s="10" t="s">
        <v>2672</v>
      </c>
      <c r="D121" s="10" t="s">
        <v>2539</v>
      </c>
      <c r="E121" s="11" t="s">
        <v>2606</v>
      </c>
      <c r="F121" s="10">
        <v>1</v>
      </c>
      <c r="G121" s="10" t="s">
        <v>2673</v>
      </c>
      <c r="H121" s="13" t="s">
        <v>2631</v>
      </c>
    </row>
    <row r="122" spans="1:10">
      <c r="A122" s="42">
        <v>45814</v>
      </c>
      <c r="B122" s="14" t="s">
        <v>352</v>
      </c>
      <c r="C122" s="14" t="s">
        <v>2674</v>
      </c>
      <c r="D122" s="14" t="s">
        <v>2704</v>
      </c>
      <c r="E122" s="14" t="s">
        <v>4007</v>
      </c>
      <c r="F122" s="14">
        <v>1</v>
      </c>
      <c r="G122" s="14"/>
      <c r="H122" s="86" t="s">
        <v>2676</v>
      </c>
    </row>
    <row r="123" spans="1:10" ht="15" thickBot="1">
      <c r="A123" s="52">
        <v>45814</v>
      </c>
      <c r="B123" s="53" t="s">
        <v>352</v>
      </c>
      <c r="C123" s="53" t="s">
        <v>2677</v>
      </c>
      <c r="D123" s="53" t="s">
        <v>2704</v>
      </c>
      <c r="E123" s="53" t="s">
        <v>4007</v>
      </c>
      <c r="F123" s="53">
        <v>1</v>
      </c>
      <c r="G123" s="69" t="s">
        <v>722</v>
      </c>
      <c r="H123" s="13" t="s">
        <v>2676</v>
      </c>
    </row>
    <row r="124" spans="1:10" ht="15" thickBot="1">
      <c r="A124" s="52">
        <v>45814</v>
      </c>
      <c r="B124" s="69" t="s">
        <v>352</v>
      </c>
      <c r="C124" s="69" t="s">
        <v>2678</v>
      </c>
      <c r="D124" s="69" t="s">
        <v>2704</v>
      </c>
      <c r="E124" s="53" t="s">
        <v>4007</v>
      </c>
      <c r="F124" s="53">
        <v>1</v>
      </c>
      <c r="G124" s="69" t="s">
        <v>2679</v>
      </c>
      <c r="H124" s="13" t="s">
        <v>2676</v>
      </c>
      <c r="J124" s="7" t="s">
        <v>2680</v>
      </c>
    </row>
    <row r="125" spans="1:10">
      <c r="A125" s="42">
        <v>45814</v>
      </c>
      <c r="B125" s="14" t="s">
        <v>352</v>
      </c>
      <c r="C125" s="14" t="s">
        <v>2681</v>
      </c>
      <c r="D125" s="14" t="s">
        <v>2704</v>
      </c>
      <c r="E125" s="14" t="s">
        <v>4007</v>
      </c>
      <c r="F125" s="14">
        <v>1</v>
      </c>
      <c r="G125" s="14"/>
      <c r="H125" s="86" t="s">
        <v>2676</v>
      </c>
    </row>
    <row r="126" spans="1:10">
      <c r="A126" s="27">
        <v>45814</v>
      </c>
      <c r="B126" s="10" t="s">
        <v>352</v>
      </c>
      <c r="C126" s="10" t="s">
        <v>2682</v>
      </c>
      <c r="D126" s="10" t="s">
        <v>2704</v>
      </c>
      <c r="E126" s="53" t="s">
        <v>4007</v>
      </c>
      <c r="F126" s="10">
        <v>1</v>
      </c>
      <c r="G126" s="10" t="s">
        <v>350</v>
      </c>
      <c r="H126" s="13" t="s">
        <v>2676</v>
      </c>
    </row>
    <row r="127" spans="1:10">
      <c r="A127" s="27">
        <v>45814</v>
      </c>
      <c r="B127" s="10" t="s">
        <v>352</v>
      </c>
      <c r="C127" s="10" t="s">
        <v>2683</v>
      </c>
      <c r="D127" s="10" t="s">
        <v>2684</v>
      </c>
      <c r="E127" s="53" t="s">
        <v>4009</v>
      </c>
      <c r="F127" s="10">
        <v>1</v>
      </c>
      <c r="G127" s="10" t="s">
        <v>2685</v>
      </c>
      <c r="H127" s="13" t="s">
        <v>2676</v>
      </c>
      <c r="J127" s="7" t="s">
        <v>4008</v>
      </c>
    </row>
    <row r="128" spans="1:10">
      <c r="A128" s="27">
        <v>45814</v>
      </c>
      <c r="B128" s="10" t="s">
        <v>352</v>
      </c>
      <c r="C128" s="10" t="s">
        <v>2686</v>
      </c>
      <c r="D128" s="10" t="s">
        <v>2684</v>
      </c>
      <c r="E128" s="53" t="s">
        <v>4009</v>
      </c>
      <c r="F128" s="10">
        <v>1</v>
      </c>
      <c r="G128" s="10" t="s">
        <v>707</v>
      </c>
      <c r="H128" s="13" t="s">
        <v>2676</v>
      </c>
      <c r="I128" s="7" t="s">
        <v>2687</v>
      </c>
    </row>
    <row r="129" spans="1:11">
      <c r="A129" s="27">
        <v>45814</v>
      </c>
      <c r="B129" s="10" t="s">
        <v>352</v>
      </c>
      <c r="C129" s="10" t="s">
        <v>2688</v>
      </c>
      <c r="D129" s="10" t="s">
        <v>2684</v>
      </c>
      <c r="E129" s="53" t="s">
        <v>4009</v>
      </c>
      <c r="F129" s="10">
        <v>1</v>
      </c>
      <c r="G129" s="10" t="s">
        <v>231</v>
      </c>
      <c r="H129" s="13" t="s">
        <v>2676</v>
      </c>
    </row>
    <row r="130" spans="1:11">
      <c r="A130" s="27">
        <v>45820</v>
      </c>
      <c r="B130" s="10" t="s">
        <v>352</v>
      </c>
      <c r="C130" s="10" t="s">
        <v>2689</v>
      </c>
      <c r="D130" s="10" t="s">
        <v>2690</v>
      </c>
      <c r="E130" s="10" t="s">
        <v>3047</v>
      </c>
      <c r="F130" s="10">
        <v>1</v>
      </c>
      <c r="G130" s="10" t="s">
        <v>710</v>
      </c>
      <c r="H130" s="13" t="s">
        <v>2691</v>
      </c>
    </row>
    <row r="131" spans="1:11">
      <c r="A131" s="27">
        <v>45820</v>
      </c>
      <c r="B131" s="10" t="s">
        <v>352</v>
      </c>
      <c r="C131" s="10" t="s">
        <v>2692</v>
      </c>
      <c r="D131" s="10" t="s">
        <v>2690</v>
      </c>
      <c r="E131" s="10" t="s">
        <v>3047</v>
      </c>
      <c r="F131" s="10">
        <v>1</v>
      </c>
      <c r="G131" s="10" t="s">
        <v>712</v>
      </c>
      <c r="H131" s="13" t="s">
        <v>2691</v>
      </c>
    </row>
    <row r="132" spans="1:11">
      <c r="A132" s="27">
        <v>45820</v>
      </c>
      <c r="B132" s="10" t="s">
        <v>352</v>
      </c>
      <c r="C132" s="10" t="s">
        <v>2693</v>
      </c>
      <c r="D132" s="10" t="s">
        <v>2690</v>
      </c>
      <c r="E132" s="10" t="s">
        <v>3047</v>
      </c>
      <c r="F132" s="10">
        <v>1</v>
      </c>
      <c r="G132" s="10" t="s">
        <v>580</v>
      </c>
      <c r="H132" s="13" t="s">
        <v>2691</v>
      </c>
    </row>
    <row r="133" spans="1:11">
      <c r="A133" s="27">
        <v>45820</v>
      </c>
      <c r="B133" s="10" t="s">
        <v>352</v>
      </c>
      <c r="C133" s="10" t="s">
        <v>2694</v>
      </c>
      <c r="D133" s="10" t="s">
        <v>2690</v>
      </c>
      <c r="E133" s="10" t="s">
        <v>3047</v>
      </c>
      <c r="F133" s="10">
        <v>1</v>
      </c>
      <c r="G133" s="10" t="s">
        <v>576</v>
      </c>
      <c r="H133" s="13" t="s">
        <v>2691</v>
      </c>
    </row>
    <row r="134" spans="1:11">
      <c r="A134" s="42">
        <v>45820</v>
      </c>
      <c r="B134" s="86" t="s">
        <v>352</v>
      </c>
      <c r="C134" s="86" t="s">
        <v>2695</v>
      </c>
      <c r="D134" s="86" t="s">
        <v>2690</v>
      </c>
      <c r="E134" s="86" t="s">
        <v>3047</v>
      </c>
      <c r="F134" s="14">
        <v>1</v>
      </c>
      <c r="G134" s="86"/>
      <c r="H134" s="86" t="s">
        <v>2691</v>
      </c>
      <c r="K134" s="7" t="s">
        <v>2696</v>
      </c>
    </row>
    <row r="135" spans="1:11">
      <c r="A135" s="27">
        <v>45820</v>
      </c>
      <c r="B135" s="10" t="s">
        <v>352</v>
      </c>
      <c r="C135" s="10" t="s">
        <v>2697</v>
      </c>
      <c r="D135" s="10" t="s">
        <v>2690</v>
      </c>
      <c r="E135" s="10" t="s">
        <v>3047</v>
      </c>
      <c r="F135" s="10">
        <v>1</v>
      </c>
      <c r="G135" s="10" t="s">
        <v>883</v>
      </c>
      <c r="H135" s="13" t="s">
        <v>2691</v>
      </c>
    </row>
    <row r="136" spans="1:11">
      <c r="A136" s="27">
        <v>45820</v>
      </c>
      <c r="B136" s="10" t="s">
        <v>352</v>
      </c>
      <c r="C136" s="10" t="s">
        <v>2698</v>
      </c>
      <c r="D136" s="10" t="s">
        <v>2690</v>
      </c>
      <c r="E136" s="10" t="s">
        <v>3047</v>
      </c>
      <c r="F136" s="10">
        <v>1</v>
      </c>
      <c r="G136" s="10" t="s">
        <v>871</v>
      </c>
      <c r="H136" s="13" t="s">
        <v>2691</v>
      </c>
    </row>
    <row r="137" spans="1:11">
      <c r="A137" s="27">
        <v>45820</v>
      </c>
      <c r="B137" s="10" t="s">
        <v>352</v>
      </c>
      <c r="C137" s="10" t="s">
        <v>2699</v>
      </c>
      <c r="D137" s="10" t="s">
        <v>2690</v>
      </c>
      <c r="E137" s="10" t="s">
        <v>3047</v>
      </c>
      <c r="F137" s="10">
        <v>1</v>
      </c>
      <c r="G137" s="10" t="s">
        <v>1013</v>
      </c>
      <c r="H137" s="13" t="s">
        <v>2691</v>
      </c>
    </row>
    <row r="138" spans="1:11">
      <c r="A138" s="44">
        <v>45820</v>
      </c>
      <c r="B138" s="14" t="s">
        <v>352</v>
      </c>
      <c r="C138" s="14" t="s">
        <v>2700</v>
      </c>
      <c r="D138" s="14" t="s">
        <v>2690</v>
      </c>
      <c r="E138" s="14" t="s">
        <v>3047</v>
      </c>
      <c r="F138" s="14">
        <v>1</v>
      </c>
      <c r="G138" s="14"/>
      <c r="H138" s="86" t="s">
        <v>2691</v>
      </c>
    </row>
    <row r="139" spans="1:11">
      <c r="A139" s="27">
        <v>45820</v>
      </c>
      <c r="B139" s="10" t="s">
        <v>352</v>
      </c>
      <c r="C139" s="10" t="s">
        <v>2701</v>
      </c>
      <c r="D139" s="10" t="s">
        <v>2690</v>
      </c>
      <c r="E139" s="10" t="s">
        <v>3047</v>
      </c>
      <c r="F139" s="10">
        <v>1</v>
      </c>
      <c r="G139" s="10" t="s">
        <v>2702</v>
      </c>
      <c r="H139" s="13" t="s">
        <v>2691</v>
      </c>
    </row>
    <row r="140" spans="1:11">
      <c r="A140" s="44">
        <v>45820</v>
      </c>
      <c r="B140" s="14" t="s">
        <v>352</v>
      </c>
      <c r="C140" s="14" t="s">
        <v>2703</v>
      </c>
      <c r="D140" s="14" t="s">
        <v>2704</v>
      </c>
      <c r="E140" s="14" t="s">
        <v>3047</v>
      </c>
      <c r="F140" s="14">
        <v>1</v>
      </c>
      <c r="G140" s="14" t="s">
        <v>2241</v>
      </c>
      <c r="H140" s="13" t="s">
        <v>2691</v>
      </c>
    </row>
    <row r="141" spans="1:11">
      <c r="A141" s="44">
        <v>45820</v>
      </c>
      <c r="B141" s="14" t="s">
        <v>352</v>
      </c>
      <c r="C141" s="14" t="s">
        <v>2705</v>
      </c>
      <c r="D141" s="14" t="s">
        <v>2704</v>
      </c>
      <c r="E141" s="14" t="s">
        <v>3047</v>
      </c>
      <c r="F141" s="14">
        <v>1</v>
      </c>
      <c r="G141" s="14" t="s">
        <v>1840</v>
      </c>
      <c r="H141" s="13" t="s">
        <v>2691</v>
      </c>
    </row>
    <row r="142" spans="1:11">
      <c r="A142" s="44">
        <v>45820</v>
      </c>
      <c r="B142" s="14" t="s">
        <v>352</v>
      </c>
      <c r="C142" s="14" t="s">
        <v>2706</v>
      </c>
      <c r="D142" s="14" t="s">
        <v>2704</v>
      </c>
      <c r="E142" s="14" t="s">
        <v>3047</v>
      </c>
      <c r="F142" s="14">
        <v>1</v>
      </c>
      <c r="G142" s="14" t="s">
        <v>1825</v>
      </c>
      <c r="H142" s="13" t="s">
        <v>2691</v>
      </c>
    </row>
    <row r="143" spans="1:11">
      <c r="A143" s="44">
        <v>45820</v>
      </c>
      <c r="B143" s="14" t="s">
        <v>352</v>
      </c>
      <c r="C143" s="14" t="s">
        <v>2707</v>
      </c>
      <c r="D143" s="14" t="s">
        <v>2704</v>
      </c>
      <c r="E143" s="14" t="s">
        <v>3047</v>
      </c>
      <c r="F143" s="14">
        <v>1</v>
      </c>
      <c r="G143" s="14" t="s">
        <v>2391</v>
      </c>
      <c r="H143" s="13" t="s">
        <v>2691</v>
      </c>
    </row>
    <row r="144" spans="1:11">
      <c r="A144" s="44">
        <v>45820</v>
      </c>
      <c r="B144" s="14" t="s">
        <v>352</v>
      </c>
      <c r="C144" s="14" t="s">
        <v>2708</v>
      </c>
      <c r="D144" s="14" t="s">
        <v>2704</v>
      </c>
      <c r="E144" s="14" t="s">
        <v>3047</v>
      </c>
      <c r="F144" s="14">
        <v>1</v>
      </c>
      <c r="G144" s="14" t="s">
        <v>2125</v>
      </c>
      <c r="H144" s="13" t="s">
        <v>2691</v>
      </c>
    </row>
    <row r="145" spans="1:9">
      <c r="A145" s="44">
        <v>45820</v>
      </c>
      <c r="B145" s="14" t="s">
        <v>352</v>
      </c>
      <c r="C145" s="14" t="s">
        <v>2709</v>
      </c>
      <c r="D145" s="14" t="s">
        <v>2704</v>
      </c>
      <c r="E145" s="14" t="s">
        <v>3047</v>
      </c>
      <c r="F145" s="14">
        <v>1</v>
      </c>
      <c r="G145" s="14" t="s">
        <v>2425</v>
      </c>
      <c r="H145" s="13" t="s">
        <v>2691</v>
      </c>
    </row>
    <row r="146" spans="1:9">
      <c r="A146" s="27">
        <v>45820</v>
      </c>
      <c r="B146" s="10" t="s">
        <v>352</v>
      </c>
      <c r="C146" s="10" t="s">
        <v>2710</v>
      </c>
      <c r="D146" s="10" t="s">
        <v>2704</v>
      </c>
      <c r="E146" s="10" t="s">
        <v>3047</v>
      </c>
      <c r="F146" s="10">
        <v>1</v>
      </c>
      <c r="G146" s="10" t="s">
        <v>472</v>
      </c>
      <c r="H146" s="14" t="s">
        <v>2691</v>
      </c>
    </row>
    <row r="147" spans="1:9">
      <c r="A147" s="27">
        <v>45820</v>
      </c>
      <c r="B147" s="10" t="s">
        <v>352</v>
      </c>
      <c r="C147" s="10" t="s">
        <v>2711</v>
      </c>
      <c r="D147" s="10" t="s">
        <v>2704</v>
      </c>
      <c r="E147" s="10" t="s">
        <v>3047</v>
      </c>
      <c r="F147" s="10">
        <v>1</v>
      </c>
      <c r="G147" s="10" t="s">
        <v>890</v>
      </c>
      <c r="H147" s="14" t="s">
        <v>2691</v>
      </c>
    </row>
    <row r="148" spans="1:9">
      <c r="A148" s="27">
        <v>45820</v>
      </c>
      <c r="B148" s="10" t="s">
        <v>352</v>
      </c>
      <c r="C148" s="10" t="s">
        <v>2712</v>
      </c>
      <c r="D148" s="10" t="s">
        <v>2704</v>
      </c>
      <c r="E148" s="10" t="s">
        <v>3047</v>
      </c>
      <c r="F148" s="10">
        <v>1</v>
      </c>
      <c r="G148" s="10" t="s">
        <v>903</v>
      </c>
      <c r="H148" s="14" t="s">
        <v>2691</v>
      </c>
    </row>
    <row r="149" spans="1:9">
      <c r="A149" s="44">
        <v>45820</v>
      </c>
      <c r="B149" s="14" t="s">
        <v>352</v>
      </c>
      <c r="C149" s="14" t="s">
        <v>2713</v>
      </c>
      <c r="D149" s="14" t="s">
        <v>2704</v>
      </c>
      <c r="E149" s="14" t="s">
        <v>3047</v>
      </c>
      <c r="F149" s="14">
        <v>1</v>
      </c>
      <c r="G149" s="14"/>
      <c r="H149" s="86" t="s">
        <v>2691</v>
      </c>
    </row>
    <row r="150" spans="1:9">
      <c r="A150" s="27">
        <v>45820</v>
      </c>
      <c r="B150" s="10" t="s">
        <v>2714</v>
      </c>
      <c r="C150" s="10" t="s">
        <v>2715</v>
      </c>
      <c r="D150" s="10" t="s">
        <v>2716</v>
      </c>
      <c r="E150" s="10" t="s">
        <v>3047</v>
      </c>
      <c r="F150" s="10">
        <v>1</v>
      </c>
      <c r="G150" s="10" t="s">
        <v>2717</v>
      </c>
      <c r="H150" s="14" t="s">
        <v>2691</v>
      </c>
    </row>
    <row r="151" spans="1:9">
      <c r="A151" s="27">
        <v>45820</v>
      </c>
      <c r="B151" s="10" t="s">
        <v>2714</v>
      </c>
      <c r="C151" s="10" t="s">
        <v>2718</v>
      </c>
      <c r="D151" s="10" t="s">
        <v>2716</v>
      </c>
      <c r="E151" s="10" t="s">
        <v>3047</v>
      </c>
      <c r="F151" s="10">
        <v>1</v>
      </c>
      <c r="G151" s="10" t="s">
        <v>1535</v>
      </c>
      <c r="H151" s="14" t="s">
        <v>2691</v>
      </c>
    </row>
    <row r="152" spans="1:9">
      <c r="A152" s="27">
        <v>45820</v>
      </c>
      <c r="B152" s="10" t="s">
        <v>2714</v>
      </c>
      <c r="C152" s="10" t="s">
        <v>2719</v>
      </c>
      <c r="D152" s="10" t="s">
        <v>2716</v>
      </c>
      <c r="E152" s="10" t="s">
        <v>3047</v>
      </c>
      <c r="F152" s="10">
        <v>1</v>
      </c>
      <c r="G152" s="10" t="s">
        <v>1132</v>
      </c>
      <c r="H152" s="14" t="s">
        <v>2691</v>
      </c>
    </row>
    <row r="153" spans="1:9">
      <c r="A153" s="27">
        <v>45820</v>
      </c>
      <c r="B153" s="10" t="s">
        <v>2714</v>
      </c>
      <c r="C153" s="10" t="s">
        <v>2720</v>
      </c>
      <c r="D153" s="10" t="s">
        <v>2716</v>
      </c>
      <c r="E153" s="10" t="s">
        <v>3047</v>
      </c>
      <c r="F153" s="10">
        <v>1</v>
      </c>
      <c r="G153" s="10" t="s">
        <v>1144</v>
      </c>
      <c r="H153" s="14" t="s">
        <v>2691</v>
      </c>
    </row>
    <row r="154" spans="1:9">
      <c r="A154" s="27">
        <v>45820</v>
      </c>
      <c r="B154" s="10" t="s">
        <v>2714</v>
      </c>
      <c r="C154" s="10" t="s">
        <v>2721</v>
      </c>
      <c r="D154" s="10" t="s">
        <v>2716</v>
      </c>
      <c r="E154" s="10" t="s">
        <v>3047</v>
      </c>
      <c r="F154" s="10">
        <v>1</v>
      </c>
      <c r="G154" s="10" t="s">
        <v>1101</v>
      </c>
      <c r="H154" s="14" t="s">
        <v>2691</v>
      </c>
    </row>
    <row r="155" spans="1:9">
      <c r="A155" s="23">
        <v>45826</v>
      </c>
      <c r="B155" s="14" t="s">
        <v>2722</v>
      </c>
      <c r="C155" s="16" t="s">
        <v>2723</v>
      </c>
      <c r="D155" s="14" t="s">
        <v>2724</v>
      </c>
      <c r="E155" s="14" t="s">
        <v>3047</v>
      </c>
      <c r="F155" s="14">
        <v>1</v>
      </c>
      <c r="G155" s="14" t="s">
        <v>2273</v>
      </c>
      <c r="H155" s="14" t="s">
        <v>2631</v>
      </c>
      <c r="I155" s="7" t="s">
        <v>2725</v>
      </c>
    </row>
    <row r="156" spans="1:9">
      <c r="A156" s="23">
        <v>45826</v>
      </c>
      <c r="B156" s="14" t="s">
        <v>2722</v>
      </c>
      <c r="C156" s="14" t="s">
        <v>2726</v>
      </c>
      <c r="D156" s="14" t="s">
        <v>2724</v>
      </c>
      <c r="E156" s="14" t="s">
        <v>3047</v>
      </c>
      <c r="F156" s="14">
        <v>1</v>
      </c>
      <c r="G156" s="14" t="s">
        <v>546</v>
      </c>
      <c r="H156" s="14" t="s">
        <v>2631</v>
      </c>
    </row>
    <row r="157" spans="1:9">
      <c r="A157" s="23">
        <v>45826</v>
      </c>
      <c r="B157" s="14" t="s">
        <v>2722</v>
      </c>
      <c r="C157" s="14" t="s">
        <v>2727</v>
      </c>
      <c r="D157" s="14" t="s">
        <v>2724</v>
      </c>
      <c r="E157" s="14" t="s">
        <v>3047</v>
      </c>
      <c r="F157" s="14">
        <v>1</v>
      </c>
      <c r="G157" s="14"/>
      <c r="H157" s="86" t="s">
        <v>2631</v>
      </c>
    </row>
    <row r="158" spans="1:9">
      <c r="A158" s="23">
        <v>45826</v>
      </c>
      <c r="B158" s="14" t="s">
        <v>2722</v>
      </c>
      <c r="C158" s="14" t="s">
        <v>2728</v>
      </c>
      <c r="D158" s="14" t="s">
        <v>2724</v>
      </c>
      <c r="E158" s="14" t="s">
        <v>3047</v>
      </c>
      <c r="F158" s="14">
        <v>1</v>
      </c>
      <c r="G158" s="14" t="s">
        <v>1877</v>
      </c>
      <c r="H158" s="14" t="s">
        <v>2631</v>
      </c>
    </row>
    <row r="159" spans="1:9">
      <c r="A159" s="27">
        <v>45826</v>
      </c>
      <c r="B159" s="10" t="s">
        <v>2722</v>
      </c>
      <c r="C159" s="10" t="s">
        <v>2729</v>
      </c>
      <c r="D159" s="10" t="s">
        <v>2724</v>
      </c>
      <c r="E159" s="10" t="s">
        <v>3047</v>
      </c>
      <c r="F159" s="10">
        <v>1</v>
      </c>
      <c r="G159" s="10" t="s">
        <v>1092</v>
      </c>
      <c r="H159" s="14" t="s">
        <v>2631</v>
      </c>
    </row>
    <row r="160" spans="1:9">
      <c r="A160" s="27">
        <v>45826</v>
      </c>
      <c r="B160" s="10" t="s">
        <v>2722</v>
      </c>
      <c r="C160" s="10" t="s">
        <v>2730</v>
      </c>
      <c r="D160" s="10" t="s">
        <v>2724</v>
      </c>
      <c r="E160" s="10" t="s">
        <v>3047</v>
      </c>
      <c r="F160" s="10">
        <v>1</v>
      </c>
      <c r="G160" s="10" t="s">
        <v>1287</v>
      </c>
      <c r="H160" s="14" t="s">
        <v>2631</v>
      </c>
    </row>
    <row r="161" spans="1:8">
      <c r="A161" s="23">
        <v>45826</v>
      </c>
      <c r="B161" s="14" t="s">
        <v>2722</v>
      </c>
      <c r="C161" s="14" t="s">
        <v>2731</v>
      </c>
      <c r="D161" s="14" t="s">
        <v>2724</v>
      </c>
      <c r="E161" s="14" t="s">
        <v>3047</v>
      </c>
      <c r="F161" s="14">
        <v>1</v>
      </c>
      <c r="G161" s="14" t="s">
        <v>1379</v>
      </c>
      <c r="H161" s="14" t="s">
        <v>2631</v>
      </c>
    </row>
    <row r="162" spans="1:8">
      <c r="A162" s="23">
        <v>45826</v>
      </c>
      <c r="B162" s="14" t="s">
        <v>2722</v>
      </c>
      <c r="C162" s="14" t="s">
        <v>2732</v>
      </c>
      <c r="D162" s="14" t="s">
        <v>2724</v>
      </c>
      <c r="E162" s="14" t="s">
        <v>3047</v>
      </c>
      <c r="F162" s="14">
        <v>1</v>
      </c>
      <c r="G162" s="14" t="s">
        <v>1085</v>
      </c>
      <c r="H162" s="14" t="s">
        <v>2631</v>
      </c>
    </row>
    <row r="163" spans="1:8">
      <c r="A163" s="23">
        <v>45826</v>
      </c>
      <c r="B163" s="14" t="s">
        <v>2722</v>
      </c>
      <c r="C163" s="14" t="s">
        <v>2733</v>
      </c>
      <c r="D163" s="14" t="s">
        <v>2724</v>
      </c>
      <c r="E163" s="14" t="s">
        <v>3047</v>
      </c>
      <c r="F163" s="14">
        <v>1</v>
      </c>
      <c r="G163" s="14"/>
      <c r="H163" s="86" t="s">
        <v>2631</v>
      </c>
    </row>
    <row r="164" spans="1:8">
      <c r="A164" s="23">
        <v>45826</v>
      </c>
      <c r="B164" s="14" t="s">
        <v>2722</v>
      </c>
      <c r="C164" s="14" t="s">
        <v>2734</v>
      </c>
      <c r="D164" s="14" t="s">
        <v>2724</v>
      </c>
      <c r="E164" s="14" t="s">
        <v>3047</v>
      </c>
      <c r="F164" s="14">
        <v>1</v>
      </c>
      <c r="G164" s="14" t="s">
        <v>1651</v>
      </c>
      <c r="H164" s="14" t="s">
        <v>2631</v>
      </c>
    </row>
    <row r="165" spans="1:8">
      <c r="A165" s="9">
        <v>45826</v>
      </c>
      <c r="B165" s="53" t="s">
        <v>2722</v>
      </c>
      <c r="C165" s="53" t="s">
        <v>2735</v>
      </c>
      <c r="D165" s="53" t="s">
        <v>2724</v>
      </c>
      <c r="E165" s="53" t="s">
        <v>3047</v>
      </c>
      <c r="F165" s="53">
        <v>1</v>
      </c>
      <c r="G165" s="53" t="s">
        <v>1089</v>
      </c>
      <c r="H165" s="14" t="s">
        <v>2631</v>
      </c>
    </row>
    <row r="166" spans="1:8">
      <c r="A166" s="9">
        <v>45826</v>
      </c>
      <c r="B166" s="53" t="s">
        <v>2722</v>
      </c>
      <c r="C166" s="53" t="s">
        <v>2736</v>
      </c>
      <c r="D166" s="53" t="s">
        <v>2724</v>
      </c>
      <c r="E166" s="53" t="s">
        <v>3047</v>
      </c>
      <c r="F166" s="53">
        <v>1</v>
      </c>
      <c r="G166" s="53" t="s">
        <v>697</v>
      </c>
      <c r="H166" s="14" t="s">
        <v>2631</v>
      </c>
    </row>
    <row r="167" spans="1:8">
      <c r="A167" s="9">
        <v>45826</v>
      </c>
      <c r="B167" s="53" t="s">
        <v>2722</v>
      </c>
      <c r="C167" s="53" t="s">
        <v>2737</v>
      </c>
      <c r="D167" s="53" t="s">
        <v>2724</v>
      </c>
      <c r="E167" s="53" t="s">
        <v>3047</v>
      </c>
      <c r="F167" s="53">
        <v>1</v>
      </c>
      <c r="G167" s="53" t="s">
        <v>601</v>
      </c>
      <c r="H167" s="14" t="s">
        <v>2631</v>
      </c>
    </row>
    <row r="168" spans="1:8">
      <c r="A168" s="9">
        <v>45826</v>
      </c>
      <c r="B168" s="53" t="s">
        <v>2722</v>
      </c>
      <c r="C168" s="53" t="s">
        <v>2738</v>
      </c>
      <c r="D168" s="53" t="s">
        <v>2724</v>
      </c>
      <c r="E168" s="53" t="s">
        <v>3047</v>
      </c>
      <c r="F168" s="53">
        <v>1</v>
      </c>
      <c r="G168" s="53" t="s">
        <v>363</v>
      </c>
      <c r="H168" s="14" t="s">
        <v>2631</v>
      </c>
    </row>
    <row r="169" spans="1:8">
      <c r="A169" s="9">
        <v>45826</v>
      </c>
      <c r="B169" s="53" t="s">
        <v>2722</v>
      </c>
      <c r="C169" s="53" t="s">
        <v>2739</v>
      </c>
      <c r="D169" s="53" t="s">
        <v>2724</v>
      </c>
      <c r="E169" s="53" t="s">
        <v>3047</v>
      </c>
      <c r="F169" s="53">
        <v>1</v>
      </c>
      <c r="G169" s="53" t="s">
        <v>164</v>
      </c>
      <c r="H169" s="14" t="s">
        <v>2631</v>
      </c>
    </row>
    <row r="170" spans="1:8">
      <c r="A170" s="54">
        <v>45832</v>
      </c>
      <c r="B170" s="53" t="s">
        <v>2740</v>
      </c>
      <c r="C170" s="53" t="s">
        <v>2741</v>
      </c>
      <c r="D170" s="53" t="s">
        <v>2742</v>
      </c>
      <c r="E170" s="53" t="s">
        <v>2606</v>
      </c>
      <c r="F170" s="53">
        <v>1</v>
      </c>
      <c r="G170" s="53" t="s">
        <v>601</v>
      </c>
      <c r="H170" s="14" t="s">
        <v>2743</v>
      </c>
    </row>
    <row r="171" spans="1:8">
      <c r="A171" s="54">
        <v>45832</v>
      </c>
      <c r="B171" s="53" t="s">
        <v>2740</v>
      </c>
      <c r="C171" s="53" t="s">
        <v>2744</v>
      </c>
      <c r="D171" s="53" t="s">
        <v>2742</v>
      </c>
      <c r="E171" s="53" t="s">
        <v>2606</v>
      </c>
      <c r="F171" s="53">
        <v>1</v>
      </c>
      <c r="G171" s="53" t="s">
        <v>507</v>
      </c>
      <c r="H171" s="14" t="s">
        <v>2743</v>
      </c>
    </row>
    <row r="172" spans="1:8">
      <c r="A172" s="55">
        <v>45832</v>
      </c>
      <c r="B172" s="53" t="s">
        <v>2740</v>
      </c>
      <c r="C172" s="53" t="s">
        <v>2745</v>
      </c>
      <c r="D172" s="53" t="s">
        <v>2742</v>
      </c>
      <c r="E172" s="53" t="s">
        <v>2606</v>
      </c>
      <c r="F172" s="53">
        <v>1</v>
      </c>
      <c r="G172" s="53" t="s">
        <v>511</v>
      </c>
      <c r="H172" s="14" t="s">
        <v>2743</v>
      </c>
    </row>
    <row r="173" spans="1:8">
      <c r="A173" s="55">
        <v>45832</v>
      </c>
      <c r="B173" s="53" t="s">
        <v>2740</v>
      </c>
      <c r="C173" s="53" t="s">
        <v>2746</v>
      </c>
      <c r="D173" s="53" t="s">
        <v>2742</v>
      </c>
      <c r="E173" s="53" t="s">
        <v>2606</v>
      </c>
      <c r="F173" s="53">
        <v>1</v>
      </c>
      <c r="G173" s="53" t="s">
        <v>363</v>
      </c>
      <c r="H173" s="14" t="s">
        <v>2743</v>
      </c>
    </row>
    <row r="174" spans="1:8">
      <c r="A174" s="55">
        <v>45832</v>
      </c>
      <c r="B174" s="53" t="s">
        <v>2740</v>
      </c>
      <c r="C174" s="53" t="s">
        <v>2747</v>
      </c>
      <c r="D174" s="53" t="s">
        <v>2742</v>
      </c>
      <c r="E174" s="53" t="s">
        <v>2606</v>
      </c>
      <c r="F174" s="53">
        <v>1</v>
      </c>
      <c r="G174" s="53" t="s">
        <v>164</v>
      </c>
      <c r="H174" s="14" t="s">
        <v>2743</v>
      </c>
    </row>
    <row r="175" spans="1:8">
      <c r="A175" s="55">
        <v>45860</v>
      </c>
      <c r="B175" s="53" t="s">
        <v>2865</v>
      </c>
      <c r="C175" s="53" t="s">
        <v>2748</v>
      </c>
      <c r="D175" s="53" t="s">
        <v>2749</v>
      </c>
      <c r="E175" s="53" t="s">
        <v>2606</v>
      </c>
      <c r="F175" s="53">
        <v>1</v>
      </c>
      <c r="G175" s="53" t="s">
        <v>2685</v>
      </c>
      <c r="H175" s="14" t="s">
        <v>2691</v>
      </c>
    </row>
    <row r="176" spans="1:8">
      <c r="A176" s="55">
        <v>45860</v>
      </c>
      <c r="B176" s="53" t="s">
        <v>2865</v>
      </c>
      <c r="C176" s="53" t="s">
        <v>2748</v>
      </c>
      <c r="D176" s="53" t="s">
        <v>2749</v>
      </c>
      <c r="E176" s="53" t="s">
        <v>2606</v>
      </c>
      <c r="F176" s="53">
        <v>1</v>
      </c>
      <c r="G176" s="53" t="s">
        <v>639</v>
      </c>
      <c r="H176" s="14" t="s">
        <v>2691</v>
      </c>
    </row>
    <row r="177" spans="1:8">
      <c r="A177" s="55">
        <v>45860</v>
      </c>
      <c r="B177" s="53" t="s">
        <v>2865</v>
      </c>
      <c r="C177" s="53" t="s">
        <v>2748</v>
      </c>
      <c r="D177" s="53" t="s">
        <v>2749</v>
      </c>
      <c r="E177" s="53" t="s">
        <v>2606</v>
      </c>
      <c r="F177" s="53">
        <v>1</v>
      </c>
      <c r="G177" s="53" t="s">
        <v>732</v>
      </c>
      <c r="H177" s="14" t="s">
        <v>2691</v>
      </c>
    </row>
    <row r="178" spans="1:8">
      <c r="A178" s="55">
        <v>45860</v>
      </c>
      <c r="B178" s="53" t="s">
        <v>2865</v>
      </c>
      <c r="C178" s="53" t="s">
        <v>2748</v>
      </c>
      <c r="D178" s="53" t="s">
        <v>2749</v>
      </c>
      <c r="E178" s="53" t="s">
        <v>2606</v>
      </c>
      <c r="F178" s="53">
        <v>1</v>
      </c>
      <c r="G178" s="53" t="s">
        <v>2750</v>
      </c>
      <c r="H178" s="14" t="s">
        <v>2691</v>
      </c>
    </row>
    <row r="179" spans="1:8">
      <c r="A179" s="42">
        <v>45860</v>
      </c>
      <c r="B179" s="14" t="s">
        <v>2865</v>
      </c>
      <c r="C179" s="53" t="s">
        <v>2748</v>
      </c>
      <c r="D179" s="14" t="s">
        <v>2749</v>
      </c>
      <c r="E179" s="14" t="s">
        <v>2606</v>
      </c>
      <c r="F179" s="14">
        <v>1</v>
      </c>
      <c r="G179" s="14" t="s">
        <v>1960</v>
      </c>
      <c r="H179" s="14" t="s">
        <v>2691</v>
      </c>
    </row>
    <row r="180" spans="1:8">
      <c r="A180" s="42">
        <v>45860</v>
      </c>
      <c r="B180" s="14" t="s">
        <v>2865</v>
      </c>
      <c r="C180" s="53" t="s">
        <v>2748</v>
      </c>
      <c r="D180" s="14" t="s">
        <v>2749</v>
      </c>
      <c r="E180" s="14" t="s">
        <v>2606</v>
      </c>
      <c r="F180" s="14">
        <v>1</v>
      </c>
      <c r="G180" s="14"/>
      <c r="H180" s="86" t="s">
        <v>2691</v>
      </c>
    </row>
    <row r="181" spans="1:8">
      <c r="A181" s="42">
        <v>45904</v>
      </c>
      <c r="B181" s="14" t="s">
        <v>423</v>
      </c>
      <c r="C181" s="14" t="s">
        <v>2751</v>
      </c>
      <c r="D181" s="14" t="s">
        <v>2752</v>
      </c>
      <c r="E181" s="14" t="s">
        <v>2606</v>
      </c>
      <c r="F181" s="14">
        <v>1</v>
      </c>
      <c r="G181" s="14" t="s">
        <v>1362</v>
      </c>
      <c r="H181" s="14" t="s">
        <v>2691</v>
      </c>
    </row>
    <row r="182" spans="1:8">
      <c r="A182" s="42">
        <v>45904</v>
      </c>
      <c r="B182" s="14" t="s">
        <v>423</v>
      </c>
      <c r="C182" s="14" t="s">
        <v>2753</v>
      </c>
      <c r="D182" s="14" t="s">
        <v>2752</v>
      </c>
      <c r="E182" s="14" t="s">
        <v>2606</v>
      </c>
      <c r="F182" s="14">
        <v>1</v>
      </c>
      <c r="G182" s="14"/>
      <c r="H182" s="86" t="s">
        <v>2691</v>
      </c>
    </row>
    <row r="183" spans="1:8">
      <c r="A183" s="42">
        <v>45904</v>
      </c>
      <c r="B183" s="14" t="s">
        <v>423</v>
      </c>
      <c r="C183" s="14" t="s">
        <v>2754</v>
      </c>
      <c r="D183" s="14" t="s">
        <v>2752</v>
      </c>
      <c r="E183" s="14" t="s">
        <v>2606</v>
      </c>
      <c r="F183" s="14">
        <v>1</v>
      </c>
      <c r="G183" s="14"/>
      <c r="H183" s="86" t="s">
        <v>2691</v>
      </c>
    </row>
    <row r="184" spans="1:8">
      <c r="A184" s="42">
        <v>45904</v>
      </c>
      <c r="B184" s="14" t="s">
        <v>423</v>
      </c>
      <c r="C184" s="14" t="s">
        <v>2755</v>
      </c>
      <c r="D184" s="14" t="s">
        <v>2752</v>
      </c>
      <c r="E184" s="14" t="s">
        <v>2606</v>
      </c>
      <c r="F184" s="14">
        <v>1</v>
      </c>
      <c r="G184" s="14"/>
      <c r="H184" s="86" t="s">
        <v>2691</v>
      </c>
    </row>
    <row r="185" spans="1:8">
      <c r="A185" s="42">
        <v>45904</v>
      </c>
      <c r="B185" s="14" t="s">
        <v>423</v>
      </c>
      <c r="C185" s="14" t="s">
        <v>2756</v>
      </c>
      <c r="D185" s="14" t="s">
        <v>2752</v>
      </c>
      <c r="E185" s="14" t="s">
        <v>2606</v>
      </c>
      <c r="F185" s="14">
        <v>1</v>
      </c>
      <c r="G185" s="14"/>
      <c r="H185" s="86" t="s">
        <v>2691</v>
      </c>
    </row>
    <row r="186" spans="1:8">
      <c r="A186" s="42">
        <v>45904</v>
      </c>
      <c r="B186" s="14" t="s">
        <v>423</v>
      </c>
      <c r="C186" s="14" t="s">
        <v>2757</v>
      </c>
      <c r="D186" s="14" t="s">
        <v>2752</v>
      </c>
      <c r="E186" s="14" t="s">
        <v>2606</v>
      </c>
      <c r="F186" s="14">
        <v>1</v>
      </c>
      <c r="G186" s="14"/>
      <c r="H186" s="86" t="s">
        <v>2691</v>
      </c>
    </row>
    <row r="187" spans="1:8">
      <c r="A187" s="42">
        <v>45904</v>
      </c>
      <c r="B187" s="14" t="s">
        <v>423</v>
      </c>
      <c r="C187" s="14" t="s">
        <v>2758</v>
      </c>
      <c r="D187" s="14" t="s">
        <v>2752</v>
      </c>
      <c r="E187" s="14" t="s">
        <v>2606</v>
      </c>
      <c r="F187" s="14">
        <v>1</v>
      </c>
      <c r="G187" s="14"/>
      <c r="H187" s="86" t="s">
        <v>2691</v>
      </c>
    </row>
    <row r="188" spans="1:8">
      <c r="A188" s="55">
        <v>45904</v>
      </c>
      <c r="B188" s="53" t="s">
        <v>423</v>
      </c>
      <c r="C188" s="53" t="s">
        <v>2759</v>
      </c>
      <c r="D188" s="53" t="s">
        <v>2752</v>
      </c>
      <c r="E188" s="53" t="s">
        <v>2606</v>
      </c>
      <c r="F188" s="53">
        <v>1</v>
      </c>
      <c r="G188" s="53" t="s">
        <v>171</v>
      </c>
      <c r="H188" s="14" t="s">
        <v>2691</v>
      </c>
    </row>
    <row r="189" spans="1:8">
      <c r="A189" s="42">
        <v>45904</v>
      </c>
      <c r="B189" s="14" t="s">
        <v>423</v>
      </c>
      <c r="C189" s="14" t="s">
        <v>2760</v>
      </c>
      <c r="D189" s="14" t="s">
        <v>2752</v>
      </c>
      <c r="E189" s="14" t="s">
        <v>2606</v>
      </c>
      <c r="F189" s="14">
        <v>1</v>
      </c>
      <c r="G189" s="14" t="s">
        <v>1991</v>
      </c>
      <c r="H189" s="14" t="s">
        <v>2691</v>
      </c>
    </row>
    <row r="190" spans="1:8">
      <c r="A190" s="42">
        <v>45904</v>
      </c>
      <c r="B190" s="86" t="s">
        <v>423</v>
      </c>
      <c r="C190" s="14" t="s">
        <v>2761</v>
      </c>
      <c r="D190" s="14" t="s">
        <v>2752</v>
      </c>
      <c r="E190" s="14" t="s">
        <v>2606</v>
      </c>
      <c r="F190" s="14">
        <v>1</v>
      </c>
      <c r="G190" s="14"/>
      <c r="H190" s="86" t="s">
        <v>2691</v>
      </c>
    </row>
    <row r="191" spans="1:8">
      <c r="A191" s="42">
        <v>45832</v>
      </c>
      <c r="B191" s="86" t="s">
        <v>670</v>
      </c>
      <c r="C191" s="14" t="s">
        <v>2762</v>
      </c>
      <c r="D191" s="14" t="s">
        <v>2675</v>
      </c>
      <c r="E191" s="14" t="s">
        <v>2606</v>
      </c>
      <c r="F191" s="14">
        <v>1</v>
      </c>
      <c r="G191" s="14"/>
      <c r="H191" s="86" t="s">
        <v>2743</v>
      </c>
    </row>
    <row r="192" spans="1:8">
      <c r="A192" s="55">
        <v>45832</v>
      </c>
      <c r="B192" s="53" t="s">
        <v>670</v>
      </c>
      <c r="C192" s="53" t="s">
        <v>2763</v>
      </c>
      <c r="D192" s="53" t="s">
        <v>2675</v>
      </c>
      <c r="E192" s="53" t="s">
        <v>2606</v>
      </c>
      <c r="F192" s="53">
        <v>1</v>
      </c>
      <c r="G192" s="53" t="s">
        <v>613</v>
      </c>
      <c r="H192" s="14" t="s">
        <v>2743</v>
      </c>
    </row>
    <row r="193" spans="1:8">
      <c r="A193" s="42">
        <v>45832</v>
      </c>
      <c r="B193" s="53" t="s">
        <v>670</v>
      </c>
      <c r="C193" s="53" t="s">
        <v>2764</v>
      </c>
      <c r="D193" s="53" t="s">
        <v>2675</v>
      </c>
      <c r="E193" s="53" t="s">
        <v>2606</v>
      </c>
      <c r="F193" s="53">
        <v>1</v>
      </c>
      <c r="G193" s="53" t="s">
        <v>1808</v>
      </c>
      <c r="H193" s="14" t="s">
        <v>2743</v>
      </c>
    </row>
    <row r="194" spans="1:8">
      <c r="A194" s="42">
        <v>45832</v>
      </c>
      <c r="B194" s="86" t="s">
        <v>670</v>
      </c>
      <c r="C194" s="14" t="s">
        <v>2765</v>
      </c>
      <c r="D194" s="14" t="s">
        <v>2675</v>
      </c>
      <c r="E194" s="14" t="s">
        <v>2606</v>
      </c>
      <c r="F194" s="14">
        <v>1</v>
      </c>
      <c r="G194" s="14"/>
      <c r="H194" s="86" t="s">
        <v>2743</v>
      </c>
    </row>
    <row r="195" spans="1:8">
      <c r="A195" s="42">
        <v>45832</v>
      </c>
      <c r="B195" s="86" t="s">
        <v>670</v>
      </c>
      <c r="C195" s="14" t="s">
        <v>2766</v>
      </c>
      <c r="D195" s="14" t="s">
        <v>2675</v>
      </c>
      <c r="E195" s="14" t="s">
        <v>2606</v>
      </c>
      <c r="F195" s="14">
        <v>1</v>
      </c>
      <c r="G195" s="14"/>
      <c r="H195" s="86" t="s">
        <v>2743</v>
      </c>
    </row>
    <row r="196" spans="1:8">
      <c r="A196" s="55">
        <v>45919</v>
      </c>
      <c r="B196" s="53" t="s">
        <v>66</v>
      </c>
      <c r="C196" s="53" t="s">
        <v>2767</v>
      </c>
      <c r="D196" s="53" t="s">
        <v>2605</v>
      </c>
      <c r="E196" s="15" t="s">
        <v>2606</v>
      </c>
      <c r="F196" s="53">
        <v>1</v>
      </c>
      <c r="G196" s="53" t="s">
        <v>472</v>
      </c>
      <c r="H196" s="14" t="s">
        <v>2768</v>
      </c>
    </row>
    <row r="197" spans="1:8">
      <c r="A197" s="42">
        <v>45919</v>
      </c>
      <c r="B197" s="86" t="s">
        <v>2722</v>
      </c>
      <c r="C197" s="86" t="s">
        <v>2769</v>
      </c>
      <c r="D197" s="86" t="s">
        <v>2724</v>
      </c>
      <c r="E197" s="86" t="s">
        <v>2606</v>
      </c>
      <c r="F197" s="14">
        <v>1</v>
      </c>
      <c r="G197" s="53" t="s">
        <v>1464</v>
      </c>
      <c r="H197" s="14" t="s">
        <v>2770</v>
      </c>
    </row>
    <row r="198" spans="1:8">
      <c r="A198" s="55">
        <v>45919</v>
      </c>
      <c r="B198" s="53" t="s">
        <v>2722</v>
      </c>
      <c r="C198" s="53" t="s">
        <v>2771</v>
      </c>
      <c r="D198" s="53" t="s">
        <v>2724</v>
      </c>
      <c r="E198" s="53" t="s">
        <v>2606</v>
      </c>
      <c r="F198" s="53">
        <v>1</v>
      </c>
      <c r="G198" s="53" t="s">
        <v>1280</v>
      </c>
      <c r="H198" s="14" t="s">
        <v>2770</v>
      </c>
    </row>
    <row r="199" spans="1:8">
      <c r="A199" s="42">
        <v>45919</v>
      </c>
      <c r="B199" s="86" t="s">
        <v>2722</v>
      </c>
      <c r="C199" s="86" t="s">
        <v>2772</v>
      </c>
      <c r="D199" s="86" t="s">
        <v>2724</v>
      </c>
      <c r="E199" s="86" t="s">
        <v>2606</v>
      </c>
      <c r="F199" s="14">
        <v>1</v>
      </c>
      <c r="G199" s="42"/>
      <c r="H199" s="86" t="s">
        <v>2770</v>
      </c>
    </row>
    <row r="200" spans="1:8">
      <c r="A200" s="55">
        <v>45919</v>
      </c>
      <c r="B200" s="53" t="s">
        <v>2722</v>
      </c>
      <c r="C200" s="53" t="s">
        <v>2773</v>
      </c>
      <c r="D200" s="53" t="s">
        <v>2724</v>
      </c>
      <c r="E200" s="53" t="s">
        <v>2606</v>
      </c>
      <c r="F200" s="53">
        <v>1</v>
      </c>
      <c r="G200" s="53" t="s">
        <v>1009</v>
      </c>
      <c r="H200" s="14" t="s">
        <v>2770</v>
      </c>
    </row>
    <row r="201" spans="1:8">
      <c r="A201" s="55">
        <v>45919</v>
      </c>
      <c r="B201" s="53" t="s">
        <v>2722</v>
      </c>
      <c r="C201" s="53" t="s">
        <v>2774</v>
      </c>
      <c r="D201" s="53" t="s">
        <v>2724</v>
      </c>
      <c r="E201" s="53" t="s">
        <v>2606</v>
      </c>
      <c r="F201" s="53">
        <v>1</v>
      </c>
      <c r="G201" s="53" t="s">
        <v>549</v>
      </c>
      <c r="H201" s="14" t="s">
        <v>2770</v>
      </c>
    </row>
    <row r="202" spans="1:8">
      <c r="A202" s="55">
        <v>45919</v>
      </c>
      <c r="B202" s="53" t="s">
        <v>457</v>
      </c>
      <c r="C202" s="53" t="s">
        <v>2775</v>
      </c>
      <c r="D202" s="53" t="s">
        <v>2539</v>
      </c>
      <c r="E202" s="53" t="s">
        <v>2606</v>
      </c>
      <c r="F202" s="53">
        <v>1</v>
      </c>
      <c r="G202" s="53" t="s">
        <v>1005</v>
      </c>
      <c r="H202" s="14" t="s">
        <v>2770</v>
      </c>
    </row>
    <row r="203" spans="1:8">
      <c r="A203" s="55">
        <v>45919</v>
      </c>
      <c r="B203" s="53" t="s">
        <v>457</v>
      </c>
      <c r="C203" s="53" t="s">
        <v>2776</v>
      </c>
      <c r="D203" s="53" t="s">
        <v>2539</v>
      </c>
      <c r="E203" s="53" t="s">
        <v>2606</v>
      </c>
      <c r="F203" s="53">
        <v>1</v>
      </c>
      <c r="G203" s="53" t="s">
        <v>1336</v>
      </c>
      <c r="H203" s="14" t="s">
        <v>2770</v>
      </c>
    </row>
    <row r="204" spans="1:8">
      <c r="A204" s="55">
        <v>45919</v>
      </c>
      <c r="B204" s="53" t="s">
        <v>457</v>
      </c>
      <c r="C204" s="53" t="s">
        <v>2777</v>
      </c>
      <c r="D204" s="53" t="s">
        <v>2539</v>
      </c>
      <c r="E204" s="53" t="s">
        <v>2606</v>
      </c>
      <c r="F204" s="53">
        <v>1</v>
      </c>
      <c r="G204" s="53" t="s">
        <v>853</v>
      </c>
      <c r="H204" s="14" t="s">
        <v>2770</v>
      </c>
    </row>
    <row r="205" spans="1:8">
      <c r="A205" s="55">
        <v>45919</v>
      </c>
      <c r="B205" s="53" t="s">
        <v>457</v>
      </c>
      <c r="C205" s="53" t="s">
        <v>2778</v>
      </c>
      <c r="D205" s="53" t="s">
        <v>2539</v>
      </c>
      <c r="E205" s="53" t="s">
        <v>2606</v>
      </c>
      <c r="F205" s="53">
        <v>1</v>
      </c>
      <c r="G205" s="53" t="s">
        <v>1077</v>
      </c>
      <c r="H205" s="14" t="s">
        <v>2770</v>
      </c>
    </row>
    <row r="206" spans="1:8">
      <c r="A206" s="55">
        <v>45919</v>
      </c>
      <c r="B206" s="53" t="s">
        <v>457</v>
      </c>
      <c r="C206" s="53" t="s">
        <v>2779</v>
      </c>
      <c r="D206" s="53" t="s">
        <v>2539</v>
      </c>
      <c r="E206" s="53" t="s">
        <v>2606</v>
      </c>
      <c r="F206" s="53">
        <v>1</v>
      </c>
      <c r="G206" s="53" t="s">
        <v>1052</v>
      </c>
      <c r="H206" s="14" t="s">
        <v>2770</v>
      </c>
    </row>
    <row r="207" spans="1:8">
      <c r="A207" s="55">
        <v>45919</v>
      </c>
      <c r="B207" s="53" t="s">
        <v>457</v>
      </c>
      <c r="C207" s="53" t="s">
        <v>2780</v>
      </c>
      <c r="D207" s="53" t="s">
        <v>2539</v>
      </c>
      <c r="E207" s="53" t="s">
        <v>2606</v>
      </c>
      <c r="F207" s="53">
        <v>1</v>
      </c>
      <c r="G207" s="53" t="s">
        <v>974</v>
      </c>
      <c r="H207" s="14" t="s">
        <v>2770</v>
      </c>
    </row>
    <row r="208" spans="1:8">
      <c r="A208" s="55">
        <v>45919</v>
      </c>
      <c r="B208" s="53" t="s">
        <v>457</v>
      </c>
      <c r="C208" s="53" t="s">
        <v>2781</v>
      </c>
      <c r="D208" s="53" t="s">
        <v>2539</v>
      </c>
      <c r="E208" s="53" t="s">
        <v>2606</v>
      </c>
      <c r="F208" s="53">
        <v>1</v>
      </c>
      <c r="G208" s="53" t="s">
        <v>952</v>
      </c>
      <c r="H208" s="14" t="s">
        <v>2770</v>
      </c>
    </row>
    <row r="209" spans="1:8">
      <c r="A209" s="55">
        <v>45919</v>
      </c>
      <c r="B209" s="53" t="s">
        <v>457</v>
      </c>
      <c r="C209" s="53" t="s">
        <v>2782</v>
      </c>
      <c r="D209" s="53" t="s">
        <v>2539</v>
      </c>
      <c r="E209" s="53" t="s">
        <v>2606</v>
      </c>
      <c r="F209" s="53">
        <v>1</v>
      </c>
      <c r="G209" s="53" t="s">
        <v>886</v>
      </c>
      <c r="H209" s="14" t="s">
        <v>2770</v>
      </c>
    </row>
    <row r="210" spans="1:8">
      <c r="A210" s="55">
        <v>45919</v>
      </c>
      <c r="B210" s="53" t="s">
        <v>457</v>
      </c>
      <c r="C210" s="53" t="s">
        <v>2783</v>
      </c>
      <c r="D210" s="53" t="s">
        <v>2539</v>
      </c>
      <c r="E210" s="53" t="s">
        <v>2606</v>
      </c>
      <c r="F210" s="53">
        <v>1</v>
      </c>
      <c r="G210" s="53" t="s">
        <v>971</v>
      </c>
      <c r="H210" s="14" t="s">
        <v>2770</v>
      </c>
    </row>
    <row r="211" spans="1:8">
      <c r="A211" s="55">
        <v>45919</v>
      </c>
      <c r="B211" s="53" t="s">
        <v>457</v>
      </c>
      <c r="C211" s="53" t="s">
        <v>2784</v>
      </c>
      <c r="D211" s="53" t="s">
        <v>2539</v>
      </c>
      <c r="E211" s="53" t="s">
        <v>2606</v>
      </c>
      <c r="F211" s="53">
        <v>1</v>
      </c>
      <c r="G211" s="53" t="s">
        <v>1000</v>
      </c>
      <c r="H211" s="14" t="s">
        <v>2770</v>
      </c>
    </row>
    <row r="212" spans="1:8">
      <c r="A212" s="55">
        <v>45919</v>
      </c>
      <c r="B212" s="53" t="s">
        <v>457</v>
      </c>
      <c r="C212" s="53" t="s">
        <v>2785</v>
      </c>
      <c r="D212" s="53" t="s">
        <v>2539</v>
      </c>
      <c r="E212" s="53" t="s">
        <v>2606</v>
      </c>
      <c r="F212" s="53">
        <v>1</v>
      </c>
      <c r="G212" s="53" t="s">
        <v>1009</v>
      </c>
      <c r="H212" s="14" t="s">
        <v>2770</v>
      </c>
    </row>
    <row r="213" spans="1:8">
      <c r="A213" s="42">
        <v>45919</v>
      </c>
      <c r="B213" s="86" t="s">
        <v>352</v>
      </c>
      <c r="C213" s="86" t="s">
        <v>2786</v>
      </c>
      <c r="D213" s="86" t="s">
        <v>2787</v>
      </c>
      <c r="E213" s="86" t="s">
        <v>2606</v>
      </c>
      <c r="F213" s="14">
        <v>1</v>
      </c>
      <c r="G213" s="53" t="s">
        <v>3834</v>
      </c>
      <c r="H213" s="14" t="s">
        <v>2768</v>
      </c>
    </row>
    <row r="214" spans="1:8">
      <c r="A214" s="42">
        <v>45919</v>
      </c>
      <c r="B214" s="86" t="s">
        <v>352</v>
      </c>
      <c r="C214" s="86" t="s">
        <v>2788</v>
      </c>
      <c r="D214" s="86" t="s">
        <v>2787</v>
      </c>
      <c r="E214" s="86" t="s">
        <v>2606</v>
      </c>
      <c r="F214" s="14">
        <v>1</v>
      </c>
      <c r="G214" s="53" t="s">
        <v>2157</v>
      </c>
      <c r="H214" s="14" t="s">
        <v>2768</v>
      </c>
    </row>
    <row r="215" spans="1:8">
      <c r="A215" s="42">
        <v>45919</v>
      </c>
      <c r="B215" s="86" t="s">
        <v>352</v>
      </c>
      <c r="C215" s="86" t="s">
        <v>2789</v>
      </c>
      <c r="D215" s="86" t="s">
        <v>2787</v>
      </c>
      <c r="E215" s="86" t="s">
        <v>2606</v>
      </c>
      <c r="F215" s="14">
        <v>1</v>
      </c>
      <c r="G215" s="42"/>
      <c r="H215" s="86" t="s">
        <v>2768</v>
      </c>
    </row>
    <row r="216" spans="1:8">
      <c r="A216" s="42">
        <v>45919</v>
      </c>
      <c r="B216" s="86" t="s">
        <v>352</v>
      </c>
      <c r="C216" s="86" t="s">
        <v>2790</v>
      </c>
      <c r="D216" s="86" t="s">
        <v>2787</v>
      </c>
      <c r="E216" s="86" t="s">
        <v>2606</v>
      </c>
      <c r="F216" s="14">
        <v>1</v>
      </c>
      <c r="G216" s="42"/>
      <c r="H216" s="86" t="s">
        <v>2768</v>
      </c>
    </row>
    <row r="217" spans="1:8">
      <c r="A217" s="42">
        <v>45919</v>
      </c>
      <c r="B217" s="86" t="s">
        <v>352</v>
      </c>
      <c r="C217" s="86" t="s">
        <v>2791</v>
      </c>
      <c r="D217" s="86" t="s">
        <v>2787</v>
      </c>
      <c r="E217" s="86" t="s">
        <v>2606</v>
      </c>
      <c r="F217" s="14">
        <v>1</v>
      </c>
      <c r="G217" s="53" t="s">
        <v>524</v>
      </c>
      <c r="H217" s="14" t="s">
        <v>2768</v>
      </c>
    </row>
    <row r="218" spans="1:8">
      <c r="A218" s="42">
        <v>45919</v>
      </c>
      <c r="B218" s="86" t="s">
        <v>352</v>
      </c>
      <c r="C218" s="86" t="s">
        <v>2792</v>
      </c>
      <c r="D218" s="86" t="s">
        <v>2787</v>
      </c>
      <c r="E218" s="86" t="s">
        <v>2606</v>
      </c>
      <c r="F218" s="14">
        <v>1</v>
      </c>
      <c r="G218" s="13" t="s">
        <v>1847</v>
      </c>
      <c r="H218" s="14" t="s">
        <v>2768</v>
      </c>
    </row>
    <row r="219" spans="1:8">
      <c r="A219" s="9">
        <v>45919</v>
      </c>
      <c r="B219" s="13" t="s">
        <v>352</v>
      </c>
      <c r="C219" s="13" t="s">
        <v>2793</v>
      </c>
      <c r="D219" s="13" t="s">
        <v>2787</v>
      </c>
      <c r="E219" s="13" t="s">
        <v>2606</v>
      </c>
      <c r="F219" s="13">
        <v>1</v>
      </c>
      <c r="G219" s="13" t="s">
        <v>1179</v>
      </c>
      <c r="H219" s="14" t="s">
        <v>2768</v>
      </c>
    </row>
    <row r="220" spans="1:8">
      <c r="A220" s="42">
        <v>45919</v>
      </c>
      <c r="B220" s="13" t="s">
        <v>352</v>
      </c>
      <c r="C220" s="13" t="s">
        <v>2794</v>
      </c>
      <c r="D220" s="13" t="s">
        <v>2787</v>
      </c>
      <c r="E220" s="13" t="s">
        <v>2606</v>
      </c>
      <c r="F220" s="13">
        <v>1</v>
      </c>
      <c r="G220" s="13" t="s">
        <v>1046</v>
      </c>
      <c r="H220" s="14" t="s">
        <v>2768</v>
      </c>
    </row>
    <row r="221" spans="1:8">
      <c r="A221" s="9">
        <v>45919</v>
      </c>
      <c r="B221" s="13" t="s">
        <v>352</v>
      </c>
      <c r="C221" s="13" t="s">
        <v>2795</v>
      </c>
      <c r="D221" s="13" t="s">
        <v>2787</v>
      </c>
      <c r="E221" s="13" t="s">
        <v>2606</v>
      </c>
      <c r="F221" s="13">
        <v>1</v>
      </c>
      <c r="G221" s="13" t="s">
        <v>549</v>
      </c>
      <c r="H221" s="14" t="s">
        <v>2768</v>
      </c>
    </row>
    <row r="222" spans="1:8">
      <c r="A222" s="42">
        <v>45919</v>
      </c>
      <c r="B222" s="86" t="s">
        <v>352</v>
      </c>
      <c r="C222" s="86" t="s">
        <v>2796</v>
      </c>
      <c r="D222" s="86" t="s">
        <v>2787</v>
      </c>
      <c r="E222" s="86" t="s">
        <v>2606</v>
      </c>
      <c r="F222" s="14">
        <v>1</v>
      </c>
      <c r="G222" s="42"/>
      <c r="H222" s="86" t="s">
        <v>2768</v>
      </c>
    </row>
    <row r="223" spans="1:8">
      <c r="A223" s="9">
        <v>45945</v>
      </c>
      <c r="B223" s="13" t="s">
        <v>933</v>
      </c>
      <c r="C223" s="13" t="s">
        <v>2797</v>
      </c>
      <c r="D223" s="13" t="s">
        <v>2798</v>
      </c>
      <c r="E223" s="13" t="s">
        <v>2606</v>
      </c>
      <c r="F223" s="13">
        <v>1</v>
      </c>
      <c r="G223" s="13" t="s">
        <v>929</v>
      </c>
      <c r="H223" s="14" t="s">
        <v>2799</v>
      </c>
    </row>
    <row r="224" spans="1:8">
      <c r="A224" s="9">
        <v>45945</v>
      </c>
      <c r="B224" s="13" t="s">
        <v>933</v>
      </c>
      <c r="C224" s="13" t="s">
        <v>2800</v>
      </c>
      <c r="D224" s="13" t="s">
        <v>2798</v>
      </c>
      <c r="E224" s="13" t="s">
        <v>2606</v>
      </c>
      <c r="F224" s="13">
        <v>1</v>
      </c>
      <c r="G224" s="13" t="s">
        <v>1715</v>
      </c>
      <c r="H224" s="14" t="s">
        <v>2799</v>
      </c>
    </row>
    <row r="225" spans="1:8">
      <c r="A225" s="42">
        <v>45945</v>
      </c>
      <c r="B225" s="86" t="s">
        <v>352</v>
      </c>
      <c r="C225" s="86" t="s">
        <v>2801</v>
      </c>
      <c r="D225" s="86" t="s">
        <v>2787</v>
      </c>
      <c r="E225" s="86" t="s">
        <v>2606</v>
      </c>
      <c r="F225" s="14">
        <v>1</v>
      </c>
      <c r="G225" s="13" t="s">
        <v>546</v>
      </c>
      <c r="H225" s="14" t="s">
        <v>2802</v>
      </c>
    </row>
    <row r="226" spans="1:8">
      <c r="A226" s="42">
        <v>45945</v>
      </c>
      <c r="B226" s="86" t="s">
        <v>352</v>
      </c>
      <c r="C226" s="86" t="s">
        <v>2803</v>
      </c>
      <c r="D226" s="86" t="s">
        <v>2787</v>
      </c>
      <c r="E226" s="86" t="s">
        <v>2606</v>
      </c>
      <c r="F226" s="14">
        <v>1</v>
      </c>
      <c r="G226" s="42"/>
      <c r="H226" s="86" t="s">
        <v>2802</v>
      </c>
    </row>
    <row r="227" spans="1:8">
      <c r="A227" s="42">
        <v>45945</v>
      </c>
      <c r="B227" s="86" t="s">
        <v>352</v>
      </c>
      <c r="C227" s="86" t="s">
        <v>2804</v>
      </c>
      <c r="D227" s="86" t="s">
        <v>2787</v>
      </c>
      <c r="E227" s="86" t="s">
        <v>2606</v>
      </c>
      <c r="F227" s="14">
        <v>1</v>
      </c>
      <c r="G227" s="13" t="s">
        <v>1753</v>
      </c>
      <c r="H227" s="14" t="s">
        <v>2802</v>
      </c>
    </row>
    <row r="228" spans="1:8">
      <c r="A228" s="42">
        <v>45945</v>
      </c>
      <c r="B228" s="86" t="s">
        <v>352</v>
      </c>
      <c r="C228" s="86" t="s">
        <v>2805</v>
      </c>
      <c r="D228" s="86" t="s">
        <v>2787</v>
      </c>
      <c r="E228" s="86" t="s">
        <v>2606</v>
      </c>
      <c r="F228" s="14">
        <v>1</v>
      </c>
      <c r="G228" s="13" t="s">
        <v>1806</v>
      </c>
      <c r="H228" s="14" t="s">
        <v>2802</v>
      </c>
    </row>
    <row r="229" spans="1:8">
      <c r="A229" s="42">
        <v>45945</v>
      </c>
      <c r="B229" s="86" t="s">
        <v>352</v>
      </c>
      <c r="C229" s="86" t="s">
        <v>2806</v>
      </c>
      <c r="D229" s="86" t="s">
        <v>2787</v>
      </c>
      <c r="E229" s="86" t="s">
        <v>2606</v>
      </c>
      <c r="F229" s="14">
        <v>1</v>
      </c>
      <c r="G229" s="13" t="s">
        <v>1651</v>
      </c>
      <c r="H229" s="14" t="s">
        <v>2802</v>
      </c>
    </row>
    <row r="230" spans="1:8">
      <c r="A230" s="42">
        <v>45945</v>
      </c>
      <c r="B230" s="86" t="s">
        <v>352</v>
      </c>
      <c r="C230" s="86" t="s">
        <v>2807</v>
      </c>
      <c r="D230" s="86" t="s">
        <v>2787</v>
      </c>
      <c r="E230" s="86" t="s">
        <v>2606</v>
      </c>
      <c r="F230" s="14">
        <v>1</v>
      </c>
      <c r="G230" s="86"/>
      <c r="H230" s="86" t="s">
        <v>2802</v>
      </c>
    </row>
    <row r="231" spans="1:8">
      <c r="A231" s="42">
        <v>45945</v>
      </c>
      <c r="B231" s="86" t="s">
        <v>352</v>
      </c>
      <c r="C231" s="86" t="s">
        <v>2808</v>
      </c>
      <c r="D231" s="86" t="s">
        <v>2787</v>
      </c>
      <c r="E231" s="86" t="s">
        <v>2606</v>
      </c>
      <c r="F231" s="14">
        <v>1</v>
      </c>
      <c r="G231" s="86"/>
      <c r="H231" s="86" t="s">
        <v>2802</v>
      </c>
    </row>
    <row r="232" spans="1:8">
      <c r="A232" s="42">
        <v>45945</v>
      </c>
      <c r="B232" s="86" t="s">
        <v>352</v>
      </c>
      <c r="C232" s="86" t="s">
        <v>2809</v>
      </c>
      <c r="D232" s="86" t="s">
        <v>2787</v>
      </c>
      <c r="E232" s="86" t="s">
        <v>2606</v>
      </c>
      <c r="F232" s="14">
        <v>1</v>
      </c>
      <c r="G232" s="86"/>
      <c r="H232" s="86" t="s">
        <v>2802</v>
      </c>
    </row>
    <row r="233" spans="1:8">
      <c r="A233" s="42">
        <v>45945</v>
      </c>
      <c r="B233" s="86" t="s">
        <v>352</v>
      </c>
      <c r="C233" s="86" t="s">
        <v>2810</v>
      </c>
      <c r="D233" s="86" t="s">
        <v>2787</v>
      </c>
      <c r="E233" s="86" t="s">
        <v>2606</v>
      </c>
      <c r="F233" s="14">
        <v>1</v>
      </c>
      <c r="G233" s="86"/>
      <c r="H233" s="86" t="s">
        <v>2802</v>
      </c>
    </row>
    <row r="234" spans="1:8">
      <c r="A234" s="42">
        <v>45945</v>
      </c>
      <c r="B234" s="86" t="s">
        <v>352</v>
      </c>
      <c r="C234" s="86" t="s">
        <v>2811</v>
      </c>
      <c r="D234" s="86" t="s">
        <v>2787</v>
      </c>
      <c r="E234" s="86" t="s">
        <v>2606</v>
      </c>
      <c r="F234" s="14">
        <v>1</v>
      </c>
      <c r="G234" s="86" t="s">
        <v>3251</v>
      </c>
      <c r="H234" s="14" t="s">
        <v>2802</v>
      </c>
    </row>
    <row r="235" spans="1:8">
      <c r="A235" s="42">
        <v>45945</v>
      </c>
      <c r="B235" s="86" t="s">
        <v>352</v>
      </c>
      <c r="C235" s="86" t="s">
        <v>2812</v>
      </c>
      <c r="D235" s="86" t="s">
        <v>2787</v>
      </c>
      <c r="E235" s="86" t="s">
        <v>2606</v>
      </c>
      <c r="F235" s="14">
        <v>1</v>
      </c>
      <c r="G235" s="86"/>
      <c r="H235" s="86" t="s">
        <v>2802</v>
      </c>
    </row>
    <row r="236" spans="1:8">
      <c r="A236" s="42">
        <v>45945</v>
      </c>
      <c r="B236" s="86" t="s">
        <v>352</v>
      </c>
      <c r="C236" s="86" t="s">
        <v>2813</v>
      </c>
      <c r="D236" s="86" t="s">
        <v>2787</v>
      </c>
      <c r="E236" s="86" t="s">
        <v>2606</v>
      </c>
      <c r="F236" s="14">
        <v>1</v>
      </c>
      <c r="G236" s="86"/>
      <c r="H236" s="86" t="s">
        <v>2802</v>
      </c>
    </row>
    <row r="237" spans="1:8">
      <c r="A237" s="42">
        <v>45945</v>
      </c>
      <c r="B237" s="86" t="s">
        <v>352</v>
      </c>
      <c r="C237" s="86" t="s">
        <v>2814</v>
      </c>
      <c r="D237" s="86" t="s">
        <v>2787</v>
      </c>
      <c r="E237" s="86" t="s">
        <v>2606</v>
      </c>
      <c r="F237" s="14">
        <v>1</v>
      </c>
      <c r="G237" s="86"/>
      <c r="H237" s="86" t="s">
        <v>2802</v>
      </c>
    </row>
    <row r="238" spans="1:8">
      <c r="A238" s="42">
        <v>45945</v>
      </c>
      <c r="B238" s="86" t="s">
        <v>352</v>
      </c>
      <c r="C238" s="86" t="s">
        <v>2815</v>
      </c>
      <c r="D238" s="86" t="s">
        <v>2787</v>
      </c>
      <c r="E238" s="86" t="s">
        <v>2606</v>
      </c>
      <c r="F238" s="14">
        <v>1</v>
      </c>
      <c r="G238" s="86"/>
      <c r="H238" s="86" t="s">
        <v>2802</v>
      </c>
    </row>
    <row r="239" spans="1:8">
      <c r="A239" s="42">
        <v>45945</v>
      </c>
      <c r="B239" s="86" t="s">
        <v>352</v>
      </c>
      <c r="C239" s="86" t="s">
        <v>2816</v>
      </c>
      <c r="D239" s="86" t="s">
        <v>2787</v>
      </c>
      <c r="E239" s="86" t="s">
        <v>2606</v>
      </c>
      <c r="F239" s="14">
        <v>1</v>
      </c>
      <c r="G239" s="86"/>
      <c r="H239" s="86" t="s">
        <v>2802</v>
      </c>
    </row>
    <row r="240" spans="1:8">
      <c r="A240" s="42">
        <v>45945</v>
      </c>
      <c r="B240" s="86" t="s">
        <v>352</v>
      </c>
      <c r="C240" s="86" t="s">
        <v>2817</v>
      </c>
      <c r="D240" s="86" t="s">
        <v>2787</v>
      </c>
      <c r="E240" s="86" t="s">
        <v>2606</v>
      </c>
      <c r="F240" s="14">
        <v>1</v>
      </c>
      <c r="G240" s="86"/>
      <c r="H240" s="86" t="s">
        <v>2802</v>
      </c>
    </row>
    <row r="241" spans="1:10">
      <c r="A241" s="42">
        <v>45945</v>
      </c>
      <c r="B241" s="86" t="s">
        <v>352</v>
      </c>
      <c r="C241" s="86" t="s">
        <v>2818</v>
      </c>
      <c r="D241" s="86" t="s">
        <v>2787</v>
      </c>
      <c r="E241" s="86" t="s">
        <v>2606</v>
      </c>
      <c r="F241" s="14">
        <v>1</v>
      </c>
      <c r="G241" s="86"/>
      <c r="H241" s="86" t="s">
        <v>2802</v>
      </c>
    </row>
    <row r="242" spans="1:10">
      <c r="A242" s="42">
        <v>45945</v>
      </c>
      <c r="B242" s="86" t="s">
        <v>352</v>
      </c>
      <c r="C242" s="86" t="s">
        <v>2819</v>
      </c>
      <c r="D242" s="86" t="s">
        <v>2787</v>
      </c>
      <c r="E242" s="86" t="s">
        <v>2606</v>
      </c>
      <c r="F242" s="14">
        <v>1</v>
      </c>
      <c r="G242" s="86"/>
      <c r="H242" s="86" t="s">
        <v>2802</v>
      </c>
    </row>
    <row r="243" spans="1:10">
      <c r="A243" s="42">
        <v>45945</v>
      </c>
      <c r="B243" s="86" t="s">
        <v>352</v>
      </c>
      <c r="C243" s="86" t="s">
        <v>2820</v>
      </c>
      <c r="D243" s="86" t="s">
        <v>2787</v>
      </c>
      <c r="E243" s="86" t="s">
        <v>2606</v>
      </c>
      <c r="F243" s="14">
        <v>1</v>
      </c>
      <c r="G243" s="86"/>
      <c r="H243" s="86" t="s">
        <v>2802</v>
      </c>
    </row>
    <row r="244" spans="1:10">
      <c r="A244" s="42">
        <v>45945</v>
      </c>
      <c r="B244" s="86" t="s">
        <v>352</v>
      </c>
      <c r="C244" s="86" t="s">
        <v>2821</v>
      </c>
      <c r="D244" s="86" t="s">
        <v>2787</v>
      </c>
      <c r="E244" s="86" t="s">
        <v>2606</v>
      </c>
      <c r="F244" s="14">
        <v>1</v>
      </c>
      <c r="G244" s="86" t="s">
        <v>1746</v>
      </c>
      <c r="H244" s="86" t="s">
        <v>2802</v>
      </c>
    </row>
    <row r="245" spans="1:10">
      <c r="A245" s="9">
        <v>45945</v>
      </c>
      <c r="B245" s="13" t="s">
        <v>352</v>
      </c>
      <c r="C245" s="13" t="s">
        <v>2822</v>
      </c>
      <c r="D245" s="13" t="s">
        <v>2823</v>
      </c>
      <c r="E245" s="13" t="s">
        <v>2606</v>
      </c>
      <c r="F245" s="13">
        <v>1</v>
      </c>
      <c r="G245" s="13" t="s">
        <v>1066</v>
      </c>
      <c r="H245" s="86" t="s">
        <v>2802</v>
      </c>
    </row>
    <row r="246" spans="1:10">
      <c r="A246" s="9">
        <v>45945</v>
      </c>
      <c r="B246" s="13" t="s">
        <v>352</v>
      </c>
      <c r="C246" s="13" t="s">
        <v>2824</v>
      </c>
      <c r="D246" s="13" t="s">
        <v>2823</v>
      </c>
      <c r="E246" s="13" t="s">
        <v>2606</v>
      </c>
      <c r="F246" s="13">
        <v>1</v>
      </c>
      <c r="G246" s="13" t="s">
        <v>2825</v>
      </c>
      <c r="H246" s="86" t="s">
        <v>2802</v>
      </c>
      <c r="J246" s="7" t="s">
        <v>2826</v>
      </c>
    </row>
    <row r="247" spans="1:10">
      <c r="A247" s="42">
        <v>45945</v>
      </c>
      <c r="B247" s="86" t="s">
        <v>352</v>
      </c>
      <c r="C247" s="86" t="s">
        <v>2827</v>
      </c>
      <c r="D247" s="86" t="s">
        <v>2823</v>
      </c>
      <c r="E247" s="86" t="s">
        <v>2606</v>
      </c>
      <c r="F247" s="14">
        <v>1</v>
      </c>
      <c r="G247" s="86"/>
      <c r="H247" s="86" t="s">
        <v>2802</v>
      </c>
    </row>
    <row r="248" spans="1:10">
      <c r="A248" s="42">
        <v>45945</v>
      </c>
      <c r="B248" s="86" t="s">
        <v>352</v>
      </c>
      <c r="C248" s="86" t="s">
        <v>2828</v>
      </c>
      <c r="D248" s="86" t="s">
        <v>2823</v>
      </c>
      <c r="E248" s="86" t="s">
        <v>2606</v>
      </c>
      <c r="F248" s="14">
        <v>1</v>
      </c>
      <c r="G248" s="86"/>
      <c r="H248" s="86" t="s">
        <v>2802</v>
      </c>
    </row>
    <row r="249" spans="1:10">
      <c r="A249" s="42">
        <v>45945</v>
      </c>
      <c r="B249" s="86" t="s">
        <v>352</v>
      </c>
      <c r="C249" s="86" t="s">
        <v>2829</v>
      </c>
      <c r="D249" s="86" t="s">
        <v>2823</v>
      </c>
      <c r="E249" s="86" t="s">
        <v>2606</v>
      </c>
      <c r="F249" s="14">
        <v>1</v>
      </c>
      <c r="G249" s="86"/>
      <c r="H249" s="86" t="s">
        <v>2802</v>
      </c>
      <c r="J249" s="7" t="s">
        <v>2830</v>
      </c>
    </row>
    <row r="250" spans="1:10">
      <c r="A250" s="42">
        <v>45945</v>
      </c>
      <c r="B250" s="86" t="s">
        <v>352</v>
      </c>
      <c r="C250" s="86" t="s">
        <v>2831</v>
      </c>
      <c r="D250" s="86" t="s">
        <v>2823</v>
      </c>
      <c r="E250" s="86" t="s">
        <v>2606</v>
      </c>
      <c r="F250" s="14">
        <v>1</v>
      </c>
      <c r="G250" s="86"/>
      <c r="H250" s="86" t="s">
        <v>2802</v>
      </c>
    </row>
    <row r="251" spans="1:10">
      <c r="A251" s="42">
        <v>45945</v>
      </c>
      <c r="B251" s="86" t="s">
        <v>352</v>
      </c>
      <c r="C251" s="86" t="s">
        <v>2832</v>
      </c>
      <c r="D251" s="86" t="s">
        <v>2823</v>
      </c>
      <c r="E251" s="86" t="s">
        <v>2606</v>
      </c>
      <c r="F251" s="14">
        <v>1</v>
      </c>
      <c r="G251" s="86"/>
      <c r="H251" s="86" t="s">
        <v>2802</v>
      </c>
    </row>
    <row r="252" spans="1:10">
      <c r="A252" s="42">
        <v>45945</v>
      </c>
      <c r="B252" s="86" t="s">
        <v>352</v>
      </c>
      <c r="C252" s="86" t="s">
        <v>2833</v>
      </c>
      <c r="D252" s="86" t="s">
        <v>2823</v>
      </c>
      <c r="E252" s="86" t="s">
        <v>2606</v>
      </c>
      <c r="F252" s="14">
        <v>1</v>
      </c>
      <c r="G252" s="86"/>
      <c r="H252" s="86" t="s">
        <v>2802</v>
      </c>
    </row>
    <row r="253" spans="1:10">
      <c r="A253" s="42">
        <v>45945</v>
      </c>
      <c r="B253" s="86" t="s">
        <v>352</v>
      </c>
      <c r="C253" s="86" t="s">
        <v>2834</v>
      </c>
      <c r="D253" s="86" t="s">
        <v>2823</v>
      </c>
      <c r="E253" s="86" t="s">
        <v>2606</v>
      </c>
      <c r="F253" s="14">
        <v>1</v>
      </c>
      <c r="G253" s="86"/>
      <c r="H253" s="86" t="s">
        <v>2802</v>
      </c>
    </row>
    <row r="254" spans="1:10">
      <c r="A254" s="42">
        <v>45945</v>
      </c>
      <c r="B254" s="86" t="s">
        <v>352</v>
      </c>
      <c r="C254" s="86" t="s">
        <v>2835</v>
      </c>
      <c r="D254" s="86" t="s">
        <v>2823</v>
      </c>
      <c r="E254" s="86" t="s">
        <v>2606</v>
      </c>
      <c r="F254" s="14">
        <v>1</v>
      </c>
      <c r="G254" s="86"/>
      <c r="H254" s="86" t="s">
        <v>2802</v>
      </c>
    </row>
    <row r="255" spans="1:10">
      <c r="A255" s="42">
        <v>45945</v>
      </c>
      <c r="B255" s="86" t="s">
        <v>352</v>
      </c>
      <c r="C255" s="86" t="s">
        <v>2836</v>
      </c>
      <c r="D255" s="86" t="s">
        <v>2823</v>
      </c>
      <c r="E255" s="86" t="s">
        <v>2606</v>
      </c>
      <c r="F255" s="14">
        <v>1</v>
      </c>
      <c r="G255" s="86"/>
      <c r="H255" s="86" t="s">
        <v>2802</v>
      </c>
    </row>
    <row r="256" spans="1:10">
      <c r="A256" s="42">
        <v>45945</v>
      </c>
      <c r="B256" s="86" t="s">
        <v>352</v>
      </c>
      <c r="C256" s="86" t="s">
        <v>2837</v>
      </c>
      <c r="D256" s="86" t="s">
        <v>2823</v>
      </c>
      <c r="E256" s="86" t="s">
        <v>2606</v>
      </c>
      <c r="F256" s="14">
        <v>1</v>
      </c>
      <c r="G256" s="86" t="s">
        <v>1622</v>
      </c>
      <c r="H256" s="86" t="s">
        <v>2802</v>
      </c>
    </row>
    <row r="257" spans="1:9">
      <c r="A257" s="42">
        <v>45945</v>
      </c>
      <c r="B257" s="86" t="s">
        <v>352</v>
      </c>
      <c r="C257" s="86" t="s">
        <v>2838</v>
      </c>
      <c r="D257" s="86" t="s">
        <v>2823</v>
      </c>
      <c r="E257" s="86" t="s">
        <v>2606</v>
      </c>
      <c r="F257" s="14">
        <v>1</v>
      </c>
      <c r="G257" s="86" t="s">
        <v>1513</v>
      </c>
      <c r="H257" s="86" t="s">
        <v>2802</v>
      </c>
    </row>
    <row r="258" spans="1:9">
      <c r="A258" s="42">
        <v>45945</v>
      </c>
      <c r="B258" s="86" t="s">
        <v>352</v>
      </c>
      <c r="C258" s="86" t="s">
        <v>2839</v>
      </c>
      <c r="D258" s="86" t="s">
        <v>2823</v>
      </c>
      <c r="E258" s="86" t="s">
        <v>2606</v>
      </c>
      <c r="F258" s="14">
        <v>1</v>
      </c>
      <c r="G258" s="86"/>
      <c r="H258" s="86" t="s">
        <v>2802</v>
      </c>
    </row>
    <row r="259" spans="1:9">
      <c r="A259" s="42">
        <v>45945</v>
      </c>
      <c r="B259" s="86" t="s">
        <v>352</v>
      </c>
      <c r="C259" s="86" t="s">
        <v>2840</v>
      </c>
      <c r="D259" s="86" t="s">
        <v>2823</v>
      </c>
      <c r="E259" s="86" t="s">
        <v>2606</v>
      </c>
      <c r="F259" s="14">
        <v>1</v>
      </c>
      <c r="G259" s="86" t="s">
        <v>1542</v>
      </c>
      <c r="H259" s="86" t="s">
        <v>2802</v>
      </c>
    </row>
    <row r="260" spans="1:9">
      <c r="A260" s="42">
        <v>45945</v>
      </c>
      <c r="B260" s="86" t="s">
        <v>352</v>
      </c>
      <c r="C260" s="86" t="s">
        <v>2841</v>
      </c>
      <c r="D260" s="86" t="s">
        <v>2823</v>
      </c>
      <c r="E260" s="86" t="s">
        <v>2606</v>
      </c>
      <c r="F260" s="14">
        <v>1</v>
      </c>
      <c r="G260" s="86" t="s">
        <v>592</v>
      </c>
      <c r="H260" s="86" t="s">
        <v>2802</v>
      </c>
    </row>
    <row r="261" spans="1:9">
      <c r="A261" s="42">
        <v>45945</v>
      </c>
      <c r="B261" s="86" t="s">
        <v>352</v>
      </c>
      <c r="C261" s="86" t="s">
        <v>2842</v>
      </c>
      <c r="D261" s="86" t="s">
        <v>2823</v>
      </c>
      <c r="E261" s="86" t="s">
        <v>2606</v>
      </c>
      <c r="F261" s="14">
        <v>1</v>
      </c>
      <c r="G261" s="86" t="s">
        <v>1804</v>
      </c>
      <c r="H261" s="86" t="s">
        <v>2802</v>
      </c>
    </row>
    <row r="262" spans="1:9">
      <c r="A262" s="42">
        <v>45945</v>
      </c>
      <c r="B262" s="86" t="s">
        <v>352</v>
      </c>
      <c r="C262" s="86" t="s">
        <v>2843</v>
      </c>
      <c r="D262" s="86" t="s">
        <v>2823</v>
      </c>
      <c r="E262" s="86" t="s">
        <v>2606</v>
      </c>
      <c r="F262" s="14">
        <v>1</v>
      </c>
      <c r="G262" s="86" t="s">
        <v>1837</v>
      </c>
      <c r="H262" s="86" t="s">
        <v>2802</v>
      </c>
      <c r="I262" s="121"/>
    </row>
    <row r="263" spans="1:9">
      <c r="A263" s="42">
        <v>45945</v>
      </c>
      <c r="B263" s="86" t="s">
        <v>352</v>
      </c>
      <c r="C263" s="86" t="s">
        <v>2844</v>
      </c>
      <c r="D263" s="86" t="s">
        <v>2823</v>
      </c>
      <c r="E263" s="86" t="s">
        <v>2606</v>
      </c>
      <c r="F263" s="14">
        <v>1</v>
      </c>
      <c r="G263" s="86" t="s">
        <v>1510</v>
      </c>
      <c r="H263" s="86" t="s">
        <v>2802</v>
      </c>
    </row>
    <row r="264" spans="1:9">
      <c r="A264" s="42">
        <v>45945</v>
      </c>
      <c r="B264" s="86" t="s">
        <v>352</v>
      </c>
      <c r="C264" s="86" t="s">
        <v>2845</v>
      </c>
      <c r="D264" s="86" t="s">
        <v>2823</v>
      </c>
      <c r="E264" s="86" t="s">
        <v>2606</v>
      </c>
      <c r="F264" s="14">
        <v>1</v>
      </c>
      <c r="G264" s="86" t="s">
        <v>1530</v>
      </c>
      <c r="H264" s="86" t="s">
        <v>2802</v>
      </c>
    </row>
    <row r="265" spans="1:9">
      <c r="A265" s="42">
        <v>45945</v>
      </c>
      <c r="B265" s="86" t="s">
        <v>352</v>
      </c>
      <c r="C265" s="86" t="s">
        <v>2846</v>
      </c>
      <c r="D265" s="86" t="s">
        <v>2823</v>
      </c>
      <c r="E265" s="86" t="s">
        <v>2606</v>
      </c>
      <c r="F265" s="14">
        <v>1</v>
      </c>
      <c r="G265" s="86"/>
      <c r="H265" s="86" t="s">
        <v>2802</v>
      </c>
    </row>
    <row r="266" spans="1:9">
      <c r="A266" s="42">
        <v>45945</v>
      </c>
      <c r="B266" s="86" t="s">
        <v>352</v>
      </c>
      <c r="C266" s="86" t="s">
        <v>2847</v>
      </c>
      <c r="D266" s="86" t="s">
        <v>2823</v>
      </c>
      <c r="E266" s="86" t="s">
        <v>2606</v>
      </c>
      <c r="F266" s="14">
        <v>1</v>
      </c>
      <c r="G266" s="86"/>
      <c r="H266" s="86" t="s">
        <v>2802</v>
      </c>
    </row>
    <row r="267" spans="1:9">
      <c r="A267" s="42">
        <v>45945</v>
      </c>
      <c r="B267" s="86" t="s">
        <v>352</v>
      </c>
      <c r="C267" s="86" t="s">
        <v>2848</v>
      </c>
      <c r="D267" s="86" t="s">
        <v>2823</v>
      </c>
      <c r="E267" s="86" t="s">
        <v>2606</v>
      </c>
      <c r="F267" s="14">
        <v>1</v>
      </c>
      <c r="G267" s="86" t="s">
        <v>1539</v>
      </c>
      <c r="H267" s="86" t="s">
        <v>2802</v>
      </c>
    </row>
    <row r="268" spans="1:9">
      <c r="A268" s="42">
        <v>45945</v>
      </c>
      <c r="B268" s="86" t="s">
        <v>352</v>
      </c>
      <c r="C268" s="86" t="s">
        <v>2849</v>
      </c>
      <c r="D268" s="86" t="s">
        <v>2823</v>
      </c>
      <c r="E268" s="86" t="s">
        <v>2606</v>
      </c>
      <c r="F268" s="14">
        <v>1</v>
      </c>
      <c r="G268" s="86" t="s">
        <v>2850</v>
      </c>
      <c r="H268" s="86" t="s">
        <v>2802</v>
      </c>
    </row>
    <row r="269" spans="1:9">
      <c r="A269" s="42">
        <v>45945</v>
      </c>
      <c r="B269" s="86" t="s">
        <v>352</v>
      </c>
      <c r="C269" s="86" t="s">
        <v>2851</v>
      </c>
      <c r="D269" s="86" t="s">
        <v>2823</v>
      </c>
      <c r="E269" s="86" t="s">
        <v>2606</v>
      </c>
      <c r="F269" s="14">
        <v>1</v>
      </c>
      <c r="G269" s="86"/>
      <c r="H269" s="86" t="s">
        <v>2802</v>
      </c>
    </row>
    <row r="270" spans="1:9">
      <c r="A270" s="28">
        <v>45938</v>
      </c>
      <c r="B270" s="10" t="s">
        <v>2852</v>
      </c>
      <c r="C270" s="10" t="s">
        <v>2853</v>
      </c>
      <c r="D270" s="10" t="s">
        <v>2854</v>
      </c>
      <c r="E270" s="10" t="s">
        <v>2606</v>
      </c>
      <c r="F270" s="10">
        <v>1</v>
      </c>
      <c r="G270" s="10" t="s">
        <v>613</v>
      </c>
      <c r="H270" s="10" t="s">
        <v>2855</v>
      </c>
    </row>
    <row r="271" spans="1:9">
      <c r="A271" s="42">
        <v>45938</v>
      </c>
      <c r="B271" s="86" t="s">
        <v>2852</v>
      </c>
      <c r="C271" s="86" t="s">
        <v>2856</v>
      </c>
      <c r="D271" s="86" t="s">
        <v>2854</v>
      </c>
      <c r="E271" s="86" t="s">
        <v>2606</v>
      </c>
      <c r="F271" s="14">
        <v>1</v>
      </c>
      <c r="G271" s="86"/>
      <c r="H271" s="86" t="s">
        <v>2855</v>
      </c>
    </row>
    <row r="272" spans="1:9">
      <c r="A272" s="42">
        <v>45938</v>
      </c>
      <c r="B272" s="86" t="s">
        <v>2852</v>
      </c>
      <c r="C272" s="86" t="s">
        <v>2857</v>
      </c>
      <c r="D272" s="86" t="s">
        <v>2854</v>
      </c>
      <c r="E272" s="86" t="s">
        <v>2606</v>
      </c>
      <c r="F272" s="14">
        <v>1</v>
      </c>
      <c r="G272" s="86"/>
      <c r="H272" s="86" t="s">
        <v>2855</v>
      </c>
    </row>
    <row r="273" spans="1:8">
      <c r="A273" s="28">
        <v>45938</v>
      </c>
      <c r="B273" s="10" t="s">
        <v>2852</v>
      </c>
      <c r="C273" s="10" t="s">
        <v>2858</v>
      </c>
      <c r="D273" s="10" t="s">
        <v>2854</v>
      </c>
      <c r="E273" s="10" t="s">
        <v>2606</v>
      </c>
      <c r="F273" s="10">
        <v>1</v>
      </c>
      <c r="G273" s="10" t="s">
        <v>1144</v>
      </c>
      <c r="H273" s="10" t="s">
        <v>2855</v>
      </c>
    </row>
    <row r="274" spans="1:8">
      <c r="A274" s="42">
        <v>45938</v>
      </c>
      <c r="B274" s="86" t="s">
        <v>2852</v>
      </c>
      <c r="C274" s="86" t="s">
        <v>2859</v>
      </c>
      <c r="D274" s="86" t="s">
        <v>2854</v>
      </c>
      <c r="E274" s="86" t="s">
        <v>2606</v>
      </c>
      <c r="F274" s="14">
        <v>1</v>
      </c>
      <c r="G274" s="86" t="s">
        <v>3287</v>
      </c>
      <c r="H274" s="10" t="s">
        <v>2855</v>
      </c>
    </row>
    <row r="275" spans="1:8">
      <c r="A275" s="28">
        <v>45938</v>
      </c>
      <c r="B275" s="10" t="s">
        <v>2852</v>
      </c>
      <c r="C275" s="10" t="s">
        <v>2860</v>
      </c>
      <c r="D275" s="10" t="s">
        <v>2854</v>
      </c>
      <c r="E275" s="10" t="s">
        <v>2606</v>
      </c>
      <c r="F275" s="10">
        <v>1</v>
      </c>
      <c r="G275" s="10" t="s">
        <v>1169</v>
      </c>
      <c r="H275" s="10" t="s">
        <v>2855</v>
      </c>
    </row>
    <row r="276" spans="1:8">
      <c r="A276" s="42">
        <v>45938</v>
      </c>
      <c r="B276" s="86" t="s">
        <v>2852</v>
      </c>
      <c r="C276" s="86" t="s">
        <v>2861</v>
      </c>
      <c r="D276" s="86" t="s">
        <v>2854</v>
      </c>
      <c r="E276" s="86" t="s">
        <v>2606</v>
      </c>
      <c r="F276" s="14">
        <v>1</v>
      </c>
      <c r="G276" s="86" t="s">
        <v>2157</v>
      </c>
      <c r="H276" s="10" t="s">
        <v>2855</v>
      </c>
    </row>
    <row r="277" spans="1:8">
      <c r="A277" s="42">
        <v>45938</v>
      </c>
      <c r="B277" s="86" t="s">
        <v>2862</v>
      </c>
      <c r="C277" s="86" t="s">
        <v>2863</v>
      </c>
      <c r="D277" s="86" t="s">
        <v>2864</v>
      </c>
      <c r="E277" s="86" t="s">
        <v>2606</v>
      </c>
      <c r="F277" s="14">
        <v>1</v>
      </c>
      <c r="G277" s="86"/>
      <c r="H277" s="86" t="s">
        <v>2855</v>
      </c>
    </row>
    <row r="278" spans="1:8">
      <c r="A278" s="42">
        <v>45938</v>
      </c>
      <c r="B278" s="86" t="s">
        <v>2862</v>
      </c>
      <c r="C278" s="86" t="s">
        <v>2863</v>
      </c>
      <c r="D278" s="86" t="s">
        <v>2864</v>
      </c>
      <c r="E278" s="86" t="s">
        <v>2606</v>
      </c>
      <c r="F278" s="14">
        <v>1</v>
      </c>
      <c r="G278" s="86"/>
      <c r="H278" s="86" t="s">
        <v>2855</v>
      </c>
    </row>
    <row r="279" spans="1:8">
      <c r="A279" s="42">
        <v>45938</v>
      </c>
      <c r="B279" s="86" t="s">
        <v>2862</v>
      </c>
      <c r="C279" s="86" t="s">
        <v>2863</v>
      </c>
      <c r="D279" s="86" t="s">
        <v>2864</v>
      </c>
      <c r="E279" s="86" t="s">
        <v>2606</v>
      </c>
      <c r="F279" s="14">
        <v>1</v>
      </c>
      <c r="G279" s="86"/>
      <c r="H279" s="86" t="s">
        <v>2855</v>
      </c>
    </row>
    <row r="280" spans="1:8">
      <c r="A280" s="28">
        <v>45938</v>
      </c>
      <c r="B280" s="10" t="s">
        <v>2865</v>
      </c>
      <c r="C280" s="10" t="s">
        <v>2866</v>
      </c>
      <c r="D280" s="10" t="s">
        <v>2749</v>
      </c>
      <c r="E280" s="10" t="s">
        <v>2606</v>
      </c>
      <c r="F280" s="10">
        <v>1</v>
      </c>
      <c r="G280" s="10" t="s">
        <v>1535</v>
      </c>
      <c r="H280" s="10" t="s">
        <v>2867</v>
      </c>
    </row>
    <row r="281" spans="1:8">
      <c r="A281" s="42">
        <v>45938</v>
      </c>
      <c r="B281" s="86" t="s">
        <v>2865</v>
      </c>
      <c r="C281" s="86" t="s">
        <v>2868</v>
      </c>
      <c r="D281" s="86" t="s">
        <v>2749</v>
      </c>
      <c r="E281" s="86" t="s">
        <v>2606</v>
      </c>
      <c r="F281" s="14">
        <v>1</v>
      </c>
      <c r="G281" s="86"/>
      <c r="H281" s="86" t="s">
        <v>2867</v>
      </c>
    </row>
    <row r="282" spans="1:8">
      <c r="A282" s="42">
        <v>45938</v>
      </c>
      <c r="B282" s="86" t="s">
        <v>2865</v>
      </c>
      <c r="C282" s="86" t="s">
        <v>2869</v>
      </c>
      <c r="D282" s="86" t="s">
        <v>2749</v>
      </c>
      <c r="E282" s="86" t="s">
        <v>2606</v>
      </c>
      <c r="F282" s="14">
        <v>1</v>
      </c>
      <c r="G282" s="86" t="s">
        <v>2277</v>
      </c>
      <c r="H282" s="86" t="s">
        <v>2867</v>
      </c>
    </row>
    <row r="283" spans="1:8">
      <c r="A283" s="42">
        <v>45938</v>
      </c>
      <c r="B283" s="86" t="s">
        <v>2865</v>
      </c>
      <c r="C283" s="86" t="s">
        <v>2870</v>
      </c>
      <c r="D283" s="86" t="s">
        <v>2749</v>
      </c>
      <c r="E283" s="86" t="s">
        <v>2606</v>
      </c>
      <c r="F283" s="14">
        <v>1</v>
      </c>
      <c r="G283" s="86" t="s">
        <v>2273</v>
      </c>
      <c r="H283" s="86" t="s">
        <v>2867</v>
      </c>
    </row>
    <row r="284" spans="1:8">
      <c r="A284" s="42">
        <v>45938</v>
      </c>
      <c r="B284" s="86" t="s">
        <v>2865</v>
      </c>
      <c r="C284" s="86" t="s">
        <v>2871</v>
      </c>
      <c r="D284" s="86" t="s">
        <v>2749</v>
      </c>
      <c r="E284" s="86" t="s">
        <v>2606</v>
      </c>
      <c r="F284" s="14">
        <v>1</v>
      </c>
      <c r="G284" s="86"/>
      <c r="H284" s="86" t="s">
        <v>2867</v>
      </c>
    </row>
    <row r="285" spans="1:8">
      <c r="A285" s="42">
        <v>45938</v>
      </c>
      <c r="B285" s="86" t="s">
        <v>2865</v>
      </c>
      <c r="C285" s="86" t="s">
        <v>2872</v>
      </c>
      <c r="D285" s="86" t="s">
        <v>2749</v>
      </c>
      <c r="E285" s="86" t="s">
        <v>2606</v>
      </c>
      <c r="F285" s="14">
        <v>1</v>
      </c>
      <c r="G285" s="86" t="s">
        <v>2358</v>
      </c>
      <c r="H285" s="86" t="s">
        <v>2867</v>
      </c>
    </row>
    <row r="286" spans="1:8">
      <c r="A286" s="28">
        <v>45946</v>
      </c>
      <c r="B286" s="10" t="s">
        <v>2852</v>
      </c>
      <c r="C286" s="10" t="s">
        <v>2873</v>
      </c>
      <c r="D286" s="10" t="s">
        <v>2854</v>
      </c>
      <c r="E286" s="10" t="s">
        <v>2606</v>
      </c>
      <c r="F286" s="10">
        <v>1</v>
      </c>
      <c r="G286" s="10" t="s">
        <v>1486</v>
      </c>
      <c r="H286" s="86" t="s">
        <v>2874</v>
      </c>
    </row>
    <row r="287" spans="1:8">
      <c r="A287" s="42">
        <v>45946</v>
      </c>
      <c r="B287" s="86" t="s">
        <v>2852</v>
      </c>
      <c r="C287" s="86" t="s">
        <v>2875</v>
      </c>
      <c r="D287" s="86" t="s">
        <v>2854</v>
      </c>
      <c r="E287" s="86" t="s">
        <v>2606</v>
      </c>
      <c r="F287" s="14">
        <v>1</v>
      </c>
      <c r="G287" s="86"/>
      <c r="H287" s="86" t="s">
        <v>2874</v>
      </c>
    </row>
    <row r="288" spans="1:8">
      <c r="A288" s="42">
        <v>45946</v>
      </c>
      <c r="B288" s="86" t="s">
        <v>2852</v>
      </c>
      <c r="C288" s="86" t="s">
        <v>2876</v>
      </c>
      <c r="D288" s="86" t="s">
        <v>2854</v>
      </c>
      <c r="E288" s="86" t="s">
        <v>2606</v>
      </c>
      <c r="F288" s="14">
        <v>1</v>
      </c>
      <c r="G288" s="86" t="s">
        <v>1825</v>
      </c>
      <c r="H288" s="86" t="s">
        <v>2874</v>
      </c>
    </row>
    <row r="289" spans="1:8">
      <c r="A289" s="42">
        <v>45946</v>
      </c>
      <c r="B289" s="86" t="s">
        <v>2862</v>
      </c>
      <c r="C289" s="86" t="s">
        <v>2877</v>
      </c>
      <c r="D289" s="86" t="s">
        <v>2864</v>
      </c>
      <c r="E289" s="86" t="s">
        <v>2606</v>
      </c>
      <c r="F289" s="14">
        <v>1</v>
      </c>
      <c r="G289" s="86"/>
      <c r="H289" s="86" t="s">
        <v>2874</v>
      </c>
    </row>
    <row r="290" spans="1:8">
      <c r="A290" s="42">
        <v>45946</v>
      </c>
      <c r="B290" s="86" t="s">
        <v>2862</v>
      </c>
      <c r="C290" s="86" t="s">
        <v>2878</v>
      </c>
      <c r="D290" s="86" t="s">
        <v>2864</v>
      </c>
      <c r="E290" s="86" t="s">
        <v>2606</v>
      </c>
      <c r="F290" s="14">
        <v>1</v>
      </c>
      <c r="G290" s="86"/>
      <c r="H290" s="86" t="s">
        <v>2874</v>
      </c>
    </row>
    <row r="291" spans="1:8">
      <c r="A291" s="42">
        <v>45947</v>
      </c>
      <c r="B291" s="86" t="s">
        <v>3195</v>
      </c>
      <c r="C291" s="86" t="s">
        <v>2879</v>
      </c>
      <c r="D291" s="86" t="s">
        <v>2880</v>
      </c>
      <c r="E291" s="86" t="s">
        <v>2606</v>
      </c>
      <c r="F291" s="14">
        <v>1</v>
      </c>
      <c r="G291" s="86"/>
      <c r="H291" s="86" t="s">
        <v>2748</v>
      </c>
    </row>
    <row r="292" spans="1:8">
      <c r="A292" s="42">
        <v>45947</v>
      </c>
      <c r="B292" s="86" t="s">
        <v>3195</v>
      </c>
      <c r="C292" s="86" t="s">
        <v>2881</v>
      </c>
      <c r="D292" s="86" t="s">
        <v>2880</v>
      </c>
      <c r="E292" s="86" t="s">
        <v>2606</v>
      </c>
      <c r="F292" s="14">
        <v>1</v>
      </c>
      <c r="G292" s="86"/>
      <c r="H292" s="86" t="s">
        <v>2748</v>
      </c>
    </row>
    <row r="293" spans="1:8">
      <c r="A293" s="28"/>
      <c r="B293" s="10" t="s">
        <v>66</v>
      </c>
      <c r="C293" s="10" t="s">
        <v>2882</v>
      </c>
      <c r="D293" s="10" t="s">
        <v>2605</v>
      </c>
      <c r="E293" s="15" t="s">
        <v>2606</v>
      </c>
      <c r="F293" s="10">
        <v>1</v>
      </c>
      <c r="G293" s="10" t="s">
        <v>1280</v>
      </c>
      <c r="H293" s="14"/>
    </row>
    <row r="294" spans="1:8">
      <c r="A294" s="28">
        <v>45992</v>
      </c>
      <c r="B294" s="10" t="s">
        <v>457</v>
      </c>
      <c r="C294" s="10">
        <v>501931296</v>
      </c>
      <c r="D294" s="10" t="s">
        <v>2562</v>
      </c>
      <c r="E294" s="11" t="s">
        <v>2606</v>
      </c>
      <c r="F294" s="10">
        <v>1</v>
      </c>
      <c r="G294" s="10" t="s">
        <v>1569</v>
      </c>
      <c r="H294" s="14"/>
    </row>
    <row r="295" spans="1:8">
      <c r="A295" s="42">
        <v>45993</v>
      </c>
      <c r="B295" s="86" t="s">
        <v>352</v>
      </c>
      <c r="C295" s="86" t="s">
        <v>2883</v>
      </c>
      <c r="D295" s="86" t="s">
        <v>2884</v>
      </c>
      <c r="E295" s="86" t="s">
        <v>4011</v>
      </c>
      <c r="F295" s="14">
        <v>1</v>
      </c>
      <c r="G295" s="86"/>
      <c r="H295" s="14" t="s">
        <v>4010</v>
      </c>
    </row>
    <row r="296" spans="1:8">
      <c r="A296" s="42">
        <v>45993</v>
      </c>
      <c r="B296" s="86" t="s">
        <v>352</v>
      </c>
      <c r="C296" s="86" t="s">
        <v>2886</v>
      </c>
      <c r="D296" s="86" t="s">
        <v>2884</v>
      </c>
      <c r="E296" s="86" t="s">
        <v>4011</v>
      </c>
      <c r="F296" s="14">
        <v>1</v>
      </c>
      <c r="G296" s="86"/>
      <c r="H296" s="14" t="s">
        <v>4010</v>
      </c>
    </row>
    <row r="297" spans="1:8">
      <c r="A297" s="42">
        <v>45993</v>
      </c>
      <c r="B297" s="86" t="s">
        <v>352</v>
      </c>
      <c r="C297" s="86" t="s">
        <v>2887</v>
      </c>
      <c r="D297" s="86" t="s">
        <v>2884</v>
      </c>
      <c r="E297" s="86" t="s">
        <v>4011</v>
      </c>
      <c r="F297" s="14">
        <v>1</v>
      </c>
      <c r="G297" s="86"/>
      <c r="H297" s="14" t="s">
        <v>4010</v>
      </c>
    </row>
    <row r="298" spans="1:8">
      <c r="A298" s="42">
        <v>45993</v>
      </c>
      <c r="B298" s="86" t="s">
        <v>352</v>
      </c>
      <c r="C298" s="86" t="s">
        <v>2888</v>
      </c>
      <c r="D298" s="86" t="s">
        <v>2884</v>
      </c>
      <c r="E298" s="86" t="s">
        <v>4011</v>
      </c>
      <c r="F298" s="14">
        <v>1</v>
      </c>
      <c r="G298" s="86"/>
      <c r="H298" s="14" t="s">
        <v>4010</v>
      </c>
    </row>
    <row r="299" spans="1:8">
      <c r="A299" s="42">
        <v>45993</v>
      </c>
      <c r="B299" s="86" t="s">
        <v>352</v>
      </c>
      <c r="C299" s="86" t="s">
        <v>2889</v>
      </c>
      <c r="D299" s="86" t="s">
        <v>2884</v>
      </c>
      <c r="E299" s="86" t="s">
        <v>4011</v>
      </c>
      <c r="F299" s="14">
        <v>1</v>
      </c>
      <c r="G299" s="86"/>
      <c r="H299" s="14" t="s">
        <v>4010</v>
      </c>
    </row>
    <row r="300" spans="1:8">
      <c r="A300" s="42">
        <v>45993</v>
      </c>
      <c r="B300" s="86" t="s">
        <v>352</v>
      </c>
      <c r="C300" s="86" t="s">
        <v>2890</v>
      </c>
      <c r="D300" s="86" t="s">
        <v>2884</v>
      </c>
      <c r="E300" s="86" t="s">
        <v>4011</v>
      </c>
      <c r="F300" s="14">
        <v>1</v>
      </c>
      <c r="G300" s="86"/>
      <c r="H300" s="14" t="s">
        <v>4010</v>
      </c>
    </row>
    <row r="301" spans="1:8">
      <c r="A301" s="42">
        <v>45993</v>
      </c>
      <c r="B301" s="86" t="s">
        <v>352</v>
      </c>
      <c r="C301" s="86" t="s">
        <v>2891</v>
      </c>
      <c r="D301" s="86" t="s">
        <v>2884</v>
      </c>
      <c r="E301" s="86" t="s">
        <v>4011</v>
      </c>
      <c r="F301" s="14">
        <v>1</v>
      </c>
      <c r="G301" s="86"/>
      <c r="H301" s="14" t="s">
        <v>4010</v>
      </c>
    </row>
    <row r="302" spans="1:8">
      <c r="A302" s="42">
        <v>45993</v>
      </c>
      <c r="B302" s="86" t="s">
        <v>352</v>
      </c>
      <c r="C302" s="86" t="s">
        <v>2892</v>
      </c>
      <c r="D302" s="86" t="s">
        <v>2884</v>
      </c>
      <c r="E302" s="86" t="s">
        <v>4011</v>
      </c>
      <c r="F302" s="14">
        <v>1</v>
      </c>
      <c r="G302" s="86"/>
      <c r="H302" s="14" t="s">
        <v>4010</v>
      </c>
    </row>
    <row r="303" spans="1:8">
      <c r="A303" s="28">
        <v>45993</v>
      </c>
      <c r="B303" s="10" t="s">
        <v>352</v>
      </c>
      <c r="C303" s="10" t="s">
        <v>2893</v>
      </c>
      <c r="D303" s="10" t="s">
        <v>2884</v>
      </c>
      <c r="E303" s="86" t="s">
        <v>4011</v>
      </c>
      <c r="F303" s="10">
        <v>1</v>
      </c>
      <c r="G303" s="10" t="s">
        <v>1552</v>
      </c>
      <c r="H303" s="14" t="s">
        <v>4010</v>
      </c>
    </row>
    <row r="304" spans="1:8">
      <c r="A304" s="42">
        <v>45993</v>
      </c>
      <c r="B304" s="86" t="s">
        <v>352</v>
      </c>
      <c r="C304" s="86" t="s">
        <v>2894</v>
      </c>
      <c r="D304" s="86" t="s">
        <v>2884</v>
      </c>
      <c r="E304" s="86" t="s">
        <v>4011</v>
      </c>
      <c r="F304" s="14">
        <v>1</v>
      </c>
      <c r="G304" s="86"/>
      <c r="H304" s="14" t="s">
        <v>4010</v>
      </c>
    </row>
    <row r="305" spans="1:8">
      <c r="A305" s="28">
        <v>45993</v>
      </c>
      <c r="B305" s="10" t="s">
        <v>66</v>
      </c>
      <c r="C305" s="10" t="s">
        <v>2895</v>
      </c>
      <c r="D305" s="10" t="s">
        <v>2605</v>
      </c>
      <c r="E305" s="15" t="s">
        <v>2606</v>
      </c>
      <c r="F305" s="10">
        <v>1</v>
      </c>
      <c r="G305" s="10" t="s">
        <v>1689</v>
      </c>
      <c r="H305" s="14" t="s">
        <v>2885</v>
      </c>
    </row>
    <row r="306" spans="1:8">
      <c r="A306" s="42">
        <v>45993</v>
      </c>
      <c r="B306" s="86" t="s">
        <v>66</v>
      </c>
      <c r="C306" s="86" t="s">
        <v>2896</v>
      </c>
      <c r="D306" s="86" t="s">
        <v>2605</v>
      </c>
      <c r="E306" s="15" t="s">
        <v>2606</v>
      </c>
      <c r="F306" s="14">
        <v>1</v>
      </c>
      <c r="G306" s="86" t="s">
        <v>563</v>
      </c>
      <c r="H306" s="14" t="s">
        <v>2885</v>
      </c>
    </row>
    <row r="307" spans="1:8">
      <c r="A307" s="42">
        <v>45993</v>
      </c>
      <c r="B307" s="86" t="s">
        <v>66</v>
      </c>
      <c r="C307" s="86" t="s">
        <v>2897</v>
      </c>
      <c r="D307" s="86" t="s">
        <v>2605</v>
      </c>
      <c r="E307" s="15" t="s">
        <v>2606</v>
      </c>
      <c r="F307" s="14">
        <v>1</v>
      </c>
      <c r="G307" s="86" t="s">
        <v>1987</v>
      </c>
      <c r="H307" s="14" t="s">
        <v>2885</v>
      </c>
    </row>
    <row r="308" spans="1:8">
      <c r="A308" s="28">
        <v>45993</v>
      </c>
      <c r="B308" s="10" t="s">
        <v>66</v>
      </c>
      <c r="C308" s="10" t="s">
        <v>2898</v>
      </c>
      <c r="D308" s="10" t="s">
        <v>2605</v>
      </c>
      <c r="E308" s="15" t="s">
        <v>2606</v>
      </c>
      <c r="F308" s="10">
        <v>1</v>
      </c>
      <c r="G308" s="10" t="s">
        <v>2899</v>
      </c>
      <c r="H308" s="14" t="s">
        <v>2885</v>
      </c>
    </row>
    <row r="309" spans="1:8">
      <c r="A309" s="42">
        <v>45993</v>
      </c>
      <c r="B309" s="86" t="s">
        <v>66</v>
      </c>
      <c r="C309" s="86" t="s">
        <v>2900</v>
      </c>
      <c r="D309" s="86" t="s">
        <v>2605</v>
      </c>
      <c r="E309" s="15" t="s">
        <v>2606</v>
      </c>
      <c r="F309" s="14">
        <v>1</v>
      </c>
      <c r="G309" s="86" t="s">
        <v>1548</v>
      </c>
      <c r="H309" s="14" t="s">
        <v>2885</v>
      </c>
    </row>
    <row r="310" spans="1:8">
      <c r="A310" s="42">
        <v>45993</v>
      </c>
      <c r="B310" s="86" t="s">
        <v>66</v>
      </c>
      <c r="C310" s="86" t="s">
        <v>2901</v>
      </c>
      <c r="D310" s="86" t="s">
        <v>2605</v>
      </c>
      <c r="E310" s="15" t="s">
        <v>2606</v>
      </c>
      <c r="F310" s="14">
        <v>1</v>
      </c>
      <c r="G310" s="86"/>
      <c r="H310" s="14" t="s">
        <v>2885</v>
      </c>
    </row>
    <row r="311" spans="1:8">
      <c r="A311" s="42">
        <v>45993</v>
      </c>
      <c r="B311" s="86" t="s">
        <v>66</v>
      </c>
      <c r="C311" s="86" t="s">
        <v>2902</v>
      </c>
      <c r="D311" s="86" t="s">
        <v>2605</v>
      </c>
      <c r="E311" s="15" t="s">
        <v>2606</v>
      </c>
      <c r="F311" s="14">
        <v>1</v>
      </c>
      <c r="G311" s="86" t="s">
        <v>1352</v>
      </c>
      <c r="H311" s="14" t="s">
        <v>2885</v>
      </c>
    </row>
    <row r="312" spans="1:8">
      <c r="A312" s="42">
        <v>45993</v>
      </c>
      <c r="B312" s="86" t="s">
        <v>66</v>
      </c>
      <c r="C312" s="86" t="s">
        <v>2903</v>
      </c>
      <c r="D312" s="86" t="s">
        <v>2605</v>
      </c>
      <c r="E312" s="15" t="s">
        <v>2606</v>
      </c>
      <c r="F312" s="14">
        <v>1</v>
      </c>
      <c r="G312" s="86" t="s">
        <v>1862</v>
      </c>
      <c r="H312" s="14" t="s">
        <v>2885</v>
      </c>
    </row>
    <row r="313" spans="1:8">
      <c r="A313" s="42">
        <v>45993</v>
      </c>
      <c r="B313" s="86" t="s">
        <v>66</v>
      </c>
      <c r="C313" s="86" t="s">
        <v>2904</v>
      </c>
      <c r="D313" s="86" t="s">
        <v>2605</v>
      </c>
      <c r="E313" s="15" t="s">
        <v>2606</v>
      </c>
      <c r="F313" s="14">
        <v>1</v>
      </c>
      <c r="G313" s="86" t="s">
        <v>1931</v>
      </c>
      <c r="H313" s="14" t="s">
        <v>2885</v>
      </c>
    </row>
    <row r="314" spans="1:8">
      <c r="A314" s="42">
        <v>45993</v>
      </c>
      <c r="B314" s="86" t="s">
        <v>66</v>
      </c>
      <c r="C314" s="86" t="s">
        <v>2905</v>
      </c>
      <c r="D314" s="86" t="s">
        <v>2605</v>
      </c>
      <c r="E314" s="15" t="s">
        <v>2606</v>
      </c>
      <c r="F314" s="14">
        <v>1</v>
      </c>
      <c r="G314" s="86" t="s">
        <v>1069</v>
      </c>
      <c r="H314" s="14" t="s">
        <v>2885</v>
      </c>
    </row>
    <row r="315" spans="1:8">
      <c r="A315" s="28">
        <v>45993</v>
      </c>
      <c r="B315" s="10" t="s">
        <v>66</v>
      </c>
      <c r="C315" s="10" t="s">
        <v>2906</v>
      </c>
      <c r="D315" s="10" t="s">
        <v>2605</v>
      </c>
      <c r="E315" s="15" t="s">
        <v>2606</v>
      </c>
      <c r="F315" s="10">
        <v>1</v>
      </c>
      <c r="G315" s="10" t="s">
        <v>480</v>
      </c>
      <c r="H315" s="14" t="s">
        <v>2885</v>
      </c>
    </row>
    <row r="316" spans="1:8">
      <c r="A316" s="28">
        <v>45993</v>
      </c>
      <c r="B316" s="10" t="s">
        <v>66</v>
      </c>
      <c r="C316" s="10" t="s">
        <v>2907</v>
      </c>
      <c r="D316" s="10" t="s">
        <v>2605</v>
      </c>
      <c r="E316" s="15" t="s">
        <v>2606</v>
      </c>
      <c r="F316" s="10">
        <v>1</v>
      </c>
      <c r="G316" s="10" t="s">
        <v>1452</v>
      </c>
      <c r="H316" s="14" t="s">
        <v>2885</v>
      </c>
    </row>
    <row r="317" spans="1:8">
      <c r="A317" s="28">
        <v>45993</v>
      </c>
      <c r="B317" s="10" t="s">
        <v>66</v>
      </c>
      <c r="C317" s="10" t="s">
        <v>2908</v>
      </c>
      <c r="D317" s="10" t="s">
        <v>2605</v>
      </c>
      <c r="E317" s="15" t="s">
        <v>2606</v>
      </c>
      <c r="F317" s="10">
        <v>1</v>
      </c>
      <c r="G317" s="10" t="s">
        <v>1808</v>
      </c>
      <c r="H317" s="14" t="s">
        <v>2885</v>
      </c>
    </row>
    <row r="318" spans="1:8">
      <c r="A318" s="42">
        <v>45993</v>
      </c>
      <c r="B318" s="86" t="s">
        <v>66</v>
      </c>
      <c r="C318" s="86" t="s">
        <v>2909</v>
      </c>
      <c r="D318" s="86" t="s">
        <v>2605</v>
      </c>
      <c r="E318" s="15" t="s">
        <v>2606</v>
      </c>
      <c r="F318" s="14">
        <v>1</v>
      </c>
      <c r="G318" s="86" t="s">
        <v>1825</v>
      </c>
      <c r="H318" s="14" t="s">
        <v>2885</v>
      </c>
    </row>
    <row r="319" spans="1:8">
      <c r="A319" s="42">
        <v>45993</v>
      </c>
      <c r="B319" s="86" t="s">
        <v>66</v>
      </c>
      <c r="C319" s="86" t="s">
        <v>2910</v>
      </c>
      <c r="D319" s="86" t="s">
        <v>2617</v>
      </c>
      <c r="E319" s="15" t="s">
        <v>3750</v>
      </c>
      <c r="F319" s="14">
        <v>1</v>
      </c>
      <c r="G319" s="86"/>
      <c r="H319" s="86" t="s">
        <v>2885</v>
      </c>
    </row>
    <row r="320" spans="1:8">
      <c r="A320" s="42">
        <v>45993</v>
      </c>
      <c r="B320" s="86" t="s">
        <v>66</v>
      </c>
      <c r="C320" s="86" t="s">
        <v>2911</v>
      </c>
      <c r="D320" s="86" t="s">
        <v>2617</v>
      </c>
      <c r="E320" s="15" t="s">
        <v>3750</v>
      </c>
      <c r="F320" s="14">
        <v>1</v>
      </c>
      <c r="G320" s="86"/>
      <c r="H320" s="86" t="s">
        <v>2885</v>
      </c>
    </row>
    <row r="321" spans="1:8">
      <c r="A321" s="42">
        <v>45993</v>
      </c>
      <c r="B321" s="86" t="s">
        <v>66</v>
      </c>
      <c r="C321" s="86" t="s">
        <v>2912</v>
      </c>
      <c r="D321" s="86" t="s">
        <v>2617</v>
      </c>
      <c r="E321" s="15" t="s">
        <v>3750</v>
      </c>
      <c r="F321" s="14">
        <v>1</v>
      </c>
      <c r="G321" s="86"/>
      <c r="H321" s="86" t="s">
        <v>2885</v>
      </c>
    </row>
    <row r="322" spans="1:8">
      <c r="A322" s="28">
        <v>45993</v>
      </c>
      <c r="B322" s="10" t="s">
        <v>66</v>
      </c>
      <c r="C322" s="10" t="s">
        <v>2913</v>
      </c>
      <c r="D322" s="10" t="s">
        <v>2617</v>
      </c>
      <c r="E322" s="15" t="s">
        <v>3750</v>
      </c>
      <c r="F322" s="10">
        <v>1</v>
      </c>
      <c r="G322" s="10" t="s">
        <v>1788</v>
      </c>
      <c r="H322" s="14" t="s">
        <v>2885</v>
      </c>
    </row>
    <row r="323" spans="1:8">
      <c r="A323" s="42">
        <v>45993</v>
      </c>
      <c r="B323" s="86" t="s">
        <v>66</v>
      </c>
      <c r="C323" s="86" t="s">
        <v>2914</v>
      </c>
      <c r="D323" s="86" t="s">
        <v>2617</v>
      </c>
      <c r="E323" s="15" t="s">
        <v>3750</v>
      </c>
      <c r="F323" s="14">
        <v>1</v>
      </c>
      <c r="G323" s="86" t="s">
        <v>1775</v>
      </c>
      <c r="H323" s="14" t="s">
        <v>2885</v>
      </c>
    </row>
    <row r="324" spans="1:8">
      <c r="A324" s="42">
        <v>45993</v>
      </c>
      <c r="B324" s="86" t="s">
        <v>66</v>
      </c>
      <c r="C324" s="86" t="s">
        <v>2915</v>
      </c>
      <c r="D324" s="86" t="s">
        <v>2617</v>
      </c>
      <c r="E324" s="15" t="s">
        <v>3750</v>
      </c>
      <c r="F324" s="14">
        <v>1</v>
      </c>
      <c r="G324" s="86" t="s">
        <v>2214</v>
      </c>
      <c r="H324" s="14" t="s">
        <v>2885</v>
      </c>
    </row>
    <row r="325" spans="1:8">
      <c r="A325" s="28">
        <v>45993</v>
      </c>
      <c r="B325" s="10" t="s">
        <v>66</v>
      </c>
      <c r="C325" s="10" t="s">
        <v>2916</v>
      </c>
      <c r="D325" s="10" t="s">
        <v>2617</v>
      </c>
      <c r="E325" s="15" t="s">
        <v>3750</v>
      </c>
      <c r="F325" s="10">
        <v>1</v>
      </c>
      <c r="G325" s="10" t="s">
        <v>1136</v>
      </c>
      <c r="H325" s="14" t="s">
        <v>2885</v>
      </c>
    </row>
    <row r="326" spans="1:8">
      <c r="A326" s="42">
        <v>45993</v>
      </c>
      <c r="B326" s="86" t="s">
        <v>66</v>
      </c>
      <c r="C326" s="86" t="s">
        <v>2917</v>
      </c>
      <c r="D326" s="86" t="s">
        <v>2617</v>
      </c>
      <c r="E326" s="15" t="s">
        <v>3750</v>
      </c>
      <c r="F326" s="14">
        <v>1</v>
      </c>
      <c r="G326" s="86" t="s">
        <v>2344</v>
      </c>
      <c r="H326" s="14" t="s">
        <v>2885</v>
      </c>
    </row>
    <row r="327" spans="1:8">
      <c r="A327" s="42">
        <v>45993</v>
      </c>
      <c r="B327" s="86" t="s">
        <v>66</v>
      </c>
      <c r="C327" s="86" t="s">
        <v>2918</v>
      </c>
      <c r="D327" s="86" t="s">
        <v>2617</v>
      </c>
      <c r="E327" s="15" t="s">
        <v>3750</v>
      </c>
      <c r="F327" s="14">
        <v>1</v>
      </c>
      <c r="G327" s="86" t="s">
        <v>1572</v>
      </c>
      <c r="H327" s="14" t="s">
        <v>2885</v>
      </c>
    </row>
    <row r="328" spans="1:8">
      <c r="A328" s="42">
        <v>45993</v>
      </c>
      <c r="B328" s="86" t="s">
        <v>66</v>
      </c>
      <c r="C328" s="86" t="s">
        <v>2919</v>
      </c>
      <c r="D328" s="86" t="s">
        <v>2617</v>
      </c>
      <c r="E328" s="15" t="s">
        <v>3750</v>
      </c>
      <c r="F328" s="14">
        <v>1</v>
      </c>
      <c r="G328" s="86"/>
      <c r="H328" s="86" t="s">
        <v>2885</v>
      </c>
    </row>
    <row r="329" spans="1:8">
      <c r="A329" s="42">
        <v>45993</v>
      </c>
      <c r="B329" s="86" t="s">
        <v>2740</v>
      </c>
      <c r="C329" s="86" t="s">
        <v>2921</v>
      </c>
      <c r="D329" s="86" t="s">
        <v>2742</v>
      </c>
      <c r="E329" s="86" t="s">
        <v>2606</v>
      </c>
      <c r="F329" s="14">
        <v>1</v>
      </c>
      <c r="G329" s="86" t="s">
        <v>572</v>
      </c>
      <c r="H329" s="14" t="s">
        <v>2885</v>
      </c>
    </row>
    <row r="330" spans="1:8">
      <c r="A330" s="42">
        <v>45993</v>
      </c>
      <c r="B330" s="86" t="s">
        <v>2740</v>
      </c>
      <c r="C330" s="86" t="s">
        <v>2922</v>
      </c>
      <c r="D330" s="86" t="s">
        <v>2742</v>
      </c>
      <c r="E330" s="86" t="s">
        <v>2606</v>
      </c>
      <c r="F330" s="14">
        <v>1</v>
      </c>
      <c r="G330" s="86" t="s">
        <v>1825</v>
      </c>
      <c r="H330" s="14" t="s">
        <v>2885</v>
      </c>
    </row>
    <row r="331" spans="1:8">
      <c r="A331" s="42">
        <v>45993</v>
      </c>
      <c r="B331" s="86" t="s">
        <v>2740</v>
      </c>
      <c r="C331" s="86" t="s">
        <v>2923</v>
      </c>
      <c r="D331" s="86" t="s">
        <v>2742</v>
      </c>
      <c r="E331" s="86" t="s">
        <v>2606</v>
      </c>
      <c r="F331" s="14">
        <v>1</v>
      </c>
      <c r="G331" s="86"/>
      <c r="H331" s="86" t="s">
        <v>2885</v>
      </c>
    </row>
    <row r="332" spans="1:8">
      <c r="A332" s="42">
        <v>45993</v>
      </c>
      <c r="B332" s="86" t="s">
        <v>2740</v>
      </c>
      <c r="C332" s="86" t="s">
        <v>2924</v>
      </c>
      <c r="D332" s="86" t="s">
        <v>2742</v>
      </c>
      <c r="E332" s="86" t="s">
        <v>2606</v>
      </c>
      <c r="F332" s="14">
        <v>1</v>
      </c>
      <c r="G332" s="86"/>
      <c r="H332" s="86" t="s">
        <v>2885</v>
      </c>
    </row>
    <row r="333" spans="1:8">
      <c r="A333" s="42">
        <v>45993</v>
      </c>
      <c r="B333" s="86" t="s">
        <v>2740</v>
      </c>
      <c r="C333" s="86" t="s">
        <v>2925</v>
      </c>
      <c r="D333" s="86" t="s">
        <v>2742</v>
      </c>
      <c r="E333" s="86" t="s">
        <v>2606</v>
      </c>
      <c r="F333" s="14">
        <v>1</v>
      </c>
      <c r="G333" s="86"/>
      <c r="H333" s="86" t="s">
        <v>2885</v>
      </c>
    </row>
    <row r="334" spans="1:8">
      <c r="A334" s="42">
        <v>45993</v>
      </c>
      <c r="B334" s="86" t="s">
        <v>2740</v>
      </c>
      <c r="C334" s="86" t="s">
        <v>2926</v>
      </c>
      <c r="D334" s="86" t="s">
        <v>2742</v>
      </c>
      <c r="E334" s="86" t="s">
        <v>2606</v>
      </c>
      <c r="F334" s="14">
        <v>1</v>
      </c>
      <c r="G334" s="86" t="s">
        <v>524</v>
      </c>
      <c r="H334" s="14" t="s">
        <v>2885</v>
      </c>
    </row>
    <row r="335" spans="1:8">
      <c r="A335" s="42">
        <v>45993</v>
      </c>
      <c r="B335" s="86" t="s">
        <v>2740</v>
      </c>
      <c r="C335" s="86" t="s">
        <v>2927</v>
      </c>
      <c r="D335" s="86" t="s">
        <v>2742</v>
      </c>
      <c r="E335" s="86" t="s">
        <v>2606</v>
      </c>
      <c r="F335" s="14">
        <v>1</v>
      </c>
      <c r="G335" s="86"/>
      <c r="H335" s="86" t="s">
        <v>2885</v>
      </c>
    </row>
    <row r="336" spans="1:8">
      <c r="A336" s="42">
        <v>45993</v>
      </c>
      <c r="B336" s="86" t="s">
        <v>2740</v>
      </c>
      <c r="C336" s="86" t="s">
        <v>2928</v>
      </c>
      <c r="D336" s="86" t="s">
        <v>2742</v>
      </c>
      <c r="E336" s="86" t="s">
        <v>2606</v>
      </c>
      <c r="F336" s="14">
        <v>1</v>
      </c>
      <c r="G336" s="86"/>
      <c r="H336" s="86" t="s">
        <v>2885</v>
      </c>
    </row>
    <row r="337" spans="1:8">
      <c r="A337" s="42">
        <v>45993</v>
      </c>
      <c r="B337" s="86" t="s">
        <v>2740</v>
      </c>
      <c r="C337" s="86" t="s">
        <v>2929</v>
      </c>
      <c r="D337" s="86" t="s">
        <v>2742</v>
      </c>
      <c r="E337" s="86" t="s">
        <v>2606</v>
      </c>
      <c r="F337" s="14">
        <v>1</v>
      </c>
      <c r="G337" s="86"/>
      <c r="H337" s="86" t="s">
        <v>2885</v>
      </c>
    </row>
    <row r="338" spans="1:8">
      <c r="A338" s="42">
        <v>45993</v>
      </c>
      <c r="B338" s="86" t="s">
        <v>2740</v>
      </c>
      <c r="C338" s="86" t="s">
        <v>2930</v>
      </c>
      <c r="D338" s="86" t="s">
        <v>2742</v>
      </c>
      <c r="E338" s="86" t="s">
        <v>2606</v>
      </c>
      <c r="F338" s="14">
        <v>1</v>
      </c>
      <c r="G338" s="86"/>
      <c r="H338" s="86" t="s">
        <v>2885</v>
      </c>
    </row>
    <row r="339" spans="1:8">
      <c r="A339" s="42">
        <v>45993</v>
      </c>
      <c r="B339" s="86" t="s">
        <v>2740</v>
      </c>
      <c r="C339" s="86" t="s">
        <v>2931</v>
      </c>
      <c r="D339" s="86" t="s">
        <v>2742</v>
      </c>
      <c r="E339" s="86" t="s">
        <v>2606</v>
      </c>
      <c r="F339" s="14">
        <v>1</v>
      </c>
      <c r="G339" s="86"/>
      <c r="H339" s="86" t="s">
        <v>2885</v>
      </c>
    </row>
    <row r="340" spans="1:8">
      <c r="A340" s="42">
        <v>45993</v>
      </c>
      <c r="B340" s="86" t="s">
        <v>2740</v>
      </c>
      <c r="C340" s="86" t="s">
        <v>2932</v>
      </c>
      <c r="D340" s="86" t="s">
        <v>2742</v>
      </c>
      <c r="E340" s="86" t="s">
        <v>2606</v>
      </c>
      <c r="F340" s="14">
        <v>1</v>
      </c>
      <c r="G340" s="86" t="s">
        <v>521</v>
      </c>
      <c r="H340" s="14" t="s">
        <v>2885</v>
      </c>
    </row>
    <row r="341" spans="1:8">
      <c r="A341" s="42">
        <v>45993</v>
      </c>
      <c r="B341" s="86" t="s">
        <v>2740</v>
      </c>
      <c r="C341" s="86" t="s">
        <v>2933</v>
      </c>
      <c r="D341" s="86" t="s">
        <v>2742</v>
      </c>
      <c r="E341" s="86" t="s">
        <v>2606</v>
      </c>
      <c r="F341" s="14">
        <v>1</v>
      </c>
      <c r="G341" s="86"/>
      <c r="H341" s="86" t="s">
        <v>2885</v>
      </c>
    </row>
    <row r="342" spans="1:8">
      <c r="A342" s="42">
        <v>45993</v>
      </c>
      <c r="B342" s="86" t="s">
        <v>2740</v>
      </c>
      <c r="C342" s="86" t="s">
        <v>2934</v>
      </c>
      <c r="D342" s="86" t="s">
        <v>2742</v>
      </c>
      <c r="E342" s="86" t="s">
        <v>2606</v>
      </c>
      <c r="F342" s="14">
        <v>1</v>
      </c>
      <c r="G342" s="86"/>
      <c r="H342" s="86" t="s">
        <v>2885</v>
      </c>
    </row>
    <row r="343" spans="1:8">
      <c r="A343" s="42">
        <v>45993</v>
      </c>
      <c r="B343" s="86" t="s">
        <v>2740</v>
      </c>
      <c r="C343" s="86" t="s">
        <v>2935</v>
      </c>
      <c r="D343" s="86" t="s">
        <v>2742</v>
      </c>
      <c r="E343" s="86" t="s">
        <v>2606</v>
      </c>
      <c r="F343" s="14">
        <v>1</v>
      </c>
      <c r="G343" s="86"/>
      <c r="H343" s="86" t="s">
        <v>2885</v>
      </c>
    </row>
    <row r="344" spans="1:8">
      <c r="A344" s="42">
        <v>45993</v>
      </c>
      <c r="B344" s="86" t="s">
        <v>2740</v>
      </c>
      <c r="C344" s="86" t="s">
        <v>2936</v>
      </c>
      <c r="D344" s="86" t="s">
        <v>2742</v>
      </c>
      <c r="E344" s="86" t="s">
        <v>2606</v>
      </c>
      <c r="F344" s="14">
        <v>1</v>
      </c>
      <c r="G344" s="86" t="s">
        <v>2261</v>
      </c>
      <c r="H344" s="14" t="s">
        <v>2885</v>
      </c>
    </row>
    <row r="345" spans="1:8">
      <c r="A345" s="42">
        <v>45993</v>
      </c>
      <c r="B345" s="86" t="s">
        <v>2740</v>
      </c>
      <c r="C345" s="86" t="s">
        <v>2937</v>
      </c>
      <c r="D345" s="86" t="s">
        <v>2742</v>
      </c>
      <c r="E345" s="86" t="s">
        <v>2606</v>
      </c>
      <c r="F345" s="14">
        <v>1</v>
      </c>
      <c r="G345" s="86" t="s">
        <v>1535</v>
      </c>
      <c r="H345" s="14" t="s">
        <v>2885</v>
      </c>
    </row>
    <row r="346" spans="1:8">
      <c r="A346" s="42">
        <v>45993</v>
      </c>
      <c r="B346" s="86" t="s">
        <v>2740</v>
      </c>
      <c r="C346" s="86" t="s">
        <v>2938</v>
      </c>
      <c r="D346" s="86" t="s">
        <v>2742</v>
      </c>
      <c r="E346" s="86" t="s">
        <v>2606</v>
      </c>
      <c r="F346" s="14">
        <v>1</v>
      </c>
      <c r="G346" s="86" t="s">
        <v>1633</v>
      </c>
      <c r="H346" s="14" t="s">
        <v>2885</v>
      </c>
    </row>
    <row r="347" spans="1:8">
      <c r="A347" s="42">
        <v>45993</v>
      </c>
      <c r="B347" s="86" t="s">
        <v>2740</v>
      </c>
      <c r="C347" s="86" t="s">
        <v>2939</v>
      </c>
      <c r="D347" s="86" t="s">
        <v>2742</v>
      </c>
      <c r="E347" s="86" t="s">
        <v>2606</v>
      </c>
      <c r="F347" s="14">
        <v>1</v>
      </c>
      <c r="G347" s="86" t="s">
        <v>2273</v>
      </c>
      <c r="H347" s="14" t="s">
        <v>2885</v>
      </c>
    </row>
    <row r="348" spans="1:8">
      <c r="A348" s="42">
        <v>45993</v>
      </c>
      <c r="B348" s="86" t="s">
        <v>2740</v>
      </c>
      <c r="C348" s="86" t="s">
        <v>2940</v>
      </c>
      <c r="D348" s="86" t="s">
        <v>2742</v>
      </c>
      <c r="E348" s="86" t="s">
        <v>2606</v>
      </c>
      <c r="F348" s="14">
        <v>1</v>
      </c>
      <c r="G348" s="86"/>
      <c r="H348" s="86" t="s">
        <v>2885</v>
      </c>
    </row>
    <row r="349" spans="1:8">
      <c r="A349" s="42">
        <v>45993</v>
      </c>
      <c r="B349" s="86" t="s">
        <v>2740</v>
      </c>
      <c r="C349" s="86" t="s">
        <v>2941</v>
      </c>
      <c r="D349" s="86" t="s">
        <v>2742</v>
      </c>
      <c r="E349" s="86" t="s">
        <v>2606</v>
      </c>
      <c r="F349" s="14">
        <v>1</v>
      </c>
      <c r="G349" s="86"/>
      <c r="H349" s="86" t="s">
        <v>2885</v>
      </c>
    </row>
    <row r="350" spans="1:8">
      <c r="A350" s="42">
        <v>45993</v>
      </c>
      <c r="B350" s="86" t="s">
        <v>2740</v>
      </c>
      <c r="C350" s="86" t="s">
        <v>2942</v>
      </c>
      <c r="D350" s="86" t="s">
        <v>2742</v>
      </c>
      <c r="E350" s="86" t="s">
        <v>2606</v>
      </c>
      <c r="F350" s="14">
        <v>1</v>
      </c>
      <c r="G350" s="86"/>
      <c r="H350" s="86" t="s">
        <v>2885</v>
      </c>
    </row>
    <row r="351" spans="1:8">
      <c r="A351" s="42">
        <v>45993</v>
      </c>
      <c r="B351" s="86" t="s">
        <v>2740</v>
      </c>
      <c r="C351" s="86" t="s">
        <v>2943</v>
      </c>
      <c r="D351" s="86" t="s">
        <v>2742</v>
      </c>
      <c r="E351" s="86" t="s">
        <v>2606</v>
      </c>
      <c r="F351" s="14">
        <v>1</v>
      </c>
      <c r="G351" s="86"/>
      <c r="H351" s="86" t="s">
        <v>2885</v>
      </c>
    </row>
    <row r="352" spans="1:8">
      <c r="A352" s="42">
        <v>45993</v>
      </c>
      <c r="B352" s="86" t="s">
        <v>2740</v>
      </c>
      <c r="C352" s="86" t="s">
        <v>2944</v>
      </c>
      <c r="D352" s="86" t="s">
        <v>2742</v>
      </c>
      <c r="E352" s="86" t="s">
        <v>2606</v>
      </c>
      <c r="F352" s="14">
        <v>1</v>
      </c>
      <c r="G352" s="86" t="s">
        <v>3374</v>
      </c>
      <c r="H352" s="14" t="s">
        <v>2885</v>
      </c>
    </row>
    <row r="353" spans="1:8">
      <c r="A353" s="42">
        <v>45993</v>
      </c>
      <c r="B353" s="86" t="s">
        <v>2740</v>
      </c>
      <c r="C353" s="86" t="s">
        <v>2945</v>
      </c>
      <c r="D353" s="86" t="s">
        <v>2742</v>
      </c>
      <c r="E353" s="86" t="s">
        <v>2606</v>
      </c>
      <c r="F353" s="14">
        <v>1</v>
      </c>
      <c r="G353" s="86"/>
      <c r="H353" s="86" t="s">
        <v>2885</v>
      </c>
    </row>
    <row r="354" spans="1:8">
      <c r="A354" s="42">
        <v>45993</v>
      </c>
      <c r="B354" s="86" t="s">
        <v>2740</v>
      </c>
      <c r="C354" s="86" t="s">
        <v>2946</v>
      </c>
      <c r="D354" s="86" t="s">
        <v>2742</v>
      </c>
      <c r="E354" s="86" t="s">
        <v>2606</v>
      </c>
      <c r="F354" s="14">
        <v>1</v>
      </c>
      <c r="G354" s="86"/>
      <c r="H354" s="86" t="s">
        <v>2885</v>
      </c>
    </row>
    <row r="355" spans="1:8">
      <c r="A355" s="42">
        <v>45993</v>
      </c>
      <c r="B355" s="86" t="s">
        <v>2740</v>
      </c>
      <c r="C355" s="86" t="s">
        <v>2947</v>
      </c>
      <c r="D355" s="86" t="s">
        <v>2742</v>
      </c>
      <c r="E355" s="86" t="s">
        <v>2606</v>
      </c>
      <c r="F355" s="14">
        <v>1</v>
      </c>
      <c r="G355" s="86"/>
      <c r="H355" s="86" t="s">
        <v>2885</v>
      </c>
    </row>
    <row r="356" spans="1:8">
      <c r="A356" s="42">
        <v>45993</v>
      </c>
      <c r="B356" s="86" t="s">
        <v>2740</v>
      </c>
      <c r="C356" s="86" t="s">
        <v>2948</v>
      </c>
      <c r="D356" s="86" t="s">
        <v>2742</v>
      </c>
      <c r="E356" s="86" t="s">
        <v>2606</v>
      </c>
      <c r="F356" s="14">
        <v>1</v>
      </c>
      <c r="G356" s="86"/>
      <c r="H356" s="86" t="s">
        <v>2885</v>
      </c>
    </row>
    <row r="357" spans="1:8">
      <c r="A357" s="42">
        <v>45993</v>
      </c>
      <c r="B357" s="86" t="s">
        <v>2740</v>
      </c>
      <c r="C357" s="86" t="s">
        <v>2949</v>
      </c>
      <c r="D357" s="86" t="s">
        <v>2742</v>
      </c>
      <c r="E357" s="86" t="s">
        <v>2606</v>
      </c>
      <c r="F357" s="14">
        <v>1</v>
      </c>
      <c r="G357" s="86"/>
      <c r="H357" s="86" t="s">
        <v>2885</v>
      </c>
    </row>
    <row r="358" spans="1:8">
      <c r="A358" s="42">
        <v>45993</v>
      </c>
      <c r="B358" s="86" t="s">
        <v>457</v>
      </c>
      <c r="C358" s="86" t="s">
        <v>2950</v>
      </c>
      <c r="D358" s="86" t="s">
        <v>2539</v>
      </c>
      <c r="E358" s="11" t="s">
        <v>2606</v>
      </c>
      <c r="F358" s="14">
        <v>1</v>
      </c>
      <c r="G358" s="86" t="s">
        <v>1464</v>
      </c>
      <c r="H358" s="86" t="s">
        <v>2885</v>
      </c>
    </row>
    <row r="359" spans="1:8">
      <c r="A359" s="42">
        <v>45993</v>
      </c>
      <c r="B359" s="86" t="s">
        <v>457</v>
      </c>
      <c r="C359" s="86" t="s">
        <v>2951</v>
      </c>
      <c r="D359" s="86" t="s">
        <v>2539</v>
      </c>
      <c r="E359" s="11" t="s">
        <v>2606</v>
      </c>
      <c r="F359" s="14">
        <v>1</v>
      </c>
      <c r="G359" s="86" t="s">
        <v>1455</v>
      </c>
      <c r="H359" s="86" t="s">
        <v>2885</v>
      </c>
    </row>
    <row r="360" spans="1:8">
      <c r="A360" s="28">
        <v>45993</v>
      </c>
      <c r="B360" s="10" t="s">
        <v>457</v>
      </c>
      <c r="C360" s="10" t="s">
        <v>2952</v>
      </c>
      <c r="D360" s="10" t="s">
        <v>2539</v>
      </c>
      <c r="E360" s="11" t="s">
        <v>2606</v>
      </c>
      <c r="F360" s="10">
        <v>1</v>
      </c>
      <c r="G360" s="10" t="s">
        <v>1490</v>
      </c>
      <c r="H360" s="86" t="s">
        <v>2885</v>
      </c>
    </row>
    <row r="361" spans="1:8">
      <c r="A361" s="28">
        <v>45993</v>
      </c>
      <c r="B361" s="10" t="s">
        <v>457</v>
      </c>
      <c r="C361" s="10" t="s">
        <v>2953</v>
      </c>
      <c r="D361" s="10" t="s">
        <v>2539</v>
      </c>
      <c r="E361" s="11" t="s">
        <v>2606</v>
      </c>
      <c r="F361" s="10">
        <v>1</v>
      </c>
      <c r="G361" s="10" t="s">
        <v>1383</v>
      </c>
      <c r="H361" s="86" t="s">
        <v>2885</v>
      </c>
    </row>
    <row r="362" spans="1:8">
      <c r="A362" s="28">
        <v>45993</v>
      </c>
      <c r="B362" s="10" t="s">
        <v>457</v>
      </c>
      <c r="C362" s="10" t="s">
        <v>2954</v>
      </c>
      <c r="D362" s="10" t="s">
        <v>2539</v>
      </c>
      <c r="E362" s="11" t="s">
        <v>2606</v>
      </c>
      <c r="F362" s="10">
        <v>1</v>
      </c>
      <c r="G362" s="10" t="s">
        <v>1812</v>
      </c>
      <c r="H362" s="86" t="s">
        <v>2885</v>
      </c>
    </row>
    <row r="363" spans="1:8">
      <c r="A363" s="28">
        <v>45993</v>
      </c>
      <c r="B363" s="10" t="s">
        <v>457</v>
      </c>
      <c r="C363" s="10" t="s">
        <v>2955</v>
      </c>
      <c r="D363" s="10" t="s">
        <v>2539</v>
      </c>
      <c r="E363" s="11" t="s">
        <v>2606</v>
      </c>
      <c r="F363" s="10">
        <v>1</v>
      </c>
      <c r="G363" s="10" t="s">
        <v>1825</v>
      </c>
      <c r="H363" s="86" t="s">
        <v>2885</v>
      </c>
    </row>
    <row r="364" spans="1:8">
      <c r="A364" s="42">
        <v>45993</v>
      </c>
      <c r="B364" s="86" t="s">
        <v>457</v>
      </c>
      <c r="C364" s="86" t="s">
        <v>2956</v>
      </c>
      <c r="D364" s="86" t="s">
        <v>2539</v>
      </c>
      <c r="E364" s="11" t="s">
        <v>2606</v>
      </c>
      <c r="F364" s="14">
        <v>1</v>
      </c>
      <c r="G364" s="86" t="s">
        <v>1971</v>
      </c>
      <c r="H364" s="86" t="s">
        <v>2885</v>
      </c>
    </row>
    <row r="365" spans="1:8">
      <c r="A365" s="42">
        <v>45993</v>
      </c>
      <c r="B365" s="86" t="s">
        <v>457</v>
      </c>
      <c r="C365" s="86" t="s">
        <v>2957</v>
      </c>
      <c r="D365" s="86" t="s">
        <v>2539</v>
      </c>
      <c r="E365" s="11" t="s">
        <v>2606</v>
      </c>
      <c r="F365" s="14">
        <v>1</v>
      </c>
      <c r="G365" s="86" t="s">
        <v>1292</v>
      </c>
      <c r="H365" s="86" t="s">
        <v>2885</v>
      </c>
    </row>
    <row r="366" spans="1:8">
      <c r="A366" s="42">
        <v>45993</v>
      </c>
      <c r="B366" s="86" t="s">
        <v>457</v>
      </c>
      <c r="C366" s="86" t="s">
        <v>2958</v>
      </c>
      <c r="D366" s="86" t="s">
        <v>2539</v>
      </c>
      <c r="E366" s="11" t="s">
        <v>2606</v>
      </c>
      <c r="F366" s="14">
        <v>1</v>
      </c>
      <c r="G366" s="86" t="s">
        <v>1966</v>
      </c>
      <c r="H366" s="86" t="s">
        <v>2885</v>
      </c>
    </row>
    <row r="367" spans="1:8">
      <c r="A367" s="28">
        <v>45993</v>
      </c>
      <c r="B367" s="10" t="s">
        <v>457</v>
      </c>
      <c r="C367" s="10" t="s">
        <v>2959</v>
      </c>
      <c r="D367" s="10" t="s">
        <v>2539</v>
      </c>
      <c r="E367" s="11" t="s">
        <v>2606</v>
      </c>
      <c r="F367" s="10">
        <v>1</v>
      </c>
      <c r="G367" s="10" t="s">
        <v>1089</v>
      </c>
      <c r="H367" s="86" t="s">
        <v>2885</v>
      </c>
    </row>
    <row r="368" spans="1:8">
      <c r="A368" s="28">
        <v>45993</v>
      </c>
      <c r="B368" s="10" t="s">
        <v>457</v>
      </c>
      <c r="C368" s="10" t="s">
        <v>2960</v>
      </c>
      <c r="D368" s="10" t="s">
        <v>2539</v>
      </c>
      <c r="E368" s="11" t="s">
        <v>2606</v>
      </c>
      <c r="F368" s="10">
        <v>1</v>
      </c>
      <c r="G368" s="10" t="s">
        <v>1686</v>
      </c>
      <c r="H368" s="86" t="s">
        <v>2885</v>
      </c>
    </row>
    <row r="369" spans="1:8">
      <c r="A369" s="28">
        <v>45993</v>
      </c>
      <c r="B369" s="10" t="s">
        <v>457</v>
      </c>
      <c r="C369" s="10" t="s">
        <v>2961</v>
      </c>
      <c r="D369" s="10" t="s">
        <v>2539</v>
      </c>
      <c r="E369" s="11" t="s">
        <v>2606</v>
      </c>
      <c r="F369" s="10">
        <v>1</v>
      </c>
      <c r="G369" s="10" t="s">
        <v>1175</v>
      </c>
      <c r="H369" s="86" t="s">
        <v>2885</v>
      </c>
    </row>
    <row r="370" spans="1:8">
      <c r="A370" s="28">
        <v>45993</v>
      </c>
      <c r="B370" s="10" t="s">
        <v>457</v>
      </c>
      <c r="C370" s="10" t="s">
        <v>2962</v>
      </c>
      <c r="D370" s="10" t="s">
        <v>2539</v>
      </c>
      <c r="E370" s="11" t="s">
        <v>2606</v>
      </c>
      <c r="F370" s="10">
        <v>1</v>
      </c>
      <c r="G370" s="10" t="s">
        <v>1448</v>
      </c>
      <c r="H370" s="86" t="s">
        <v>2885</v>
      </c>
    </row>
    <row r="371" spans="1:8">
      <c r="A371" s="42">
        <v>45993</v>
      </c>
      <c r="B371" s="86" t="s">
        <v>457</v>
      </c>
      <c r="C371" s="86" t="s">
        <v>2963</v>
      </c>
      <c r="D371" s="86" t="s">
        <v>2539</v>
      </c>
      <c r="E371" s="86" t="s">
        <v>2606</v>
      </c>
      <c r="F371" s="14">
        <v>1</v>
      </c>
      <c r="G371" s="86"/>
      <c r="H371" s="86" t="s">
        <v>2885</v>
      </c>
    </row>
    <row r="372" spans="1:8">
      <c r="A372" s="28">
        <v>45993</v>
      </c>
      <c r="B372" s="10" t="s">
        <v>457</v>
      </c>
      <c r="C372" s="10" t="s">
        <v>2964</v>
      </c>
      <c r="D372" s="10" t="s">
        <v>2539</v>
      </c>
      <c r="E372" s="11" t="s">
        <v>2606</v>
      </c>
      <c r="F372" s="10">
        <v>1</v>
      </c>
      <c r="G372" s="10" t="s">
        <v>1502</v>
      </c>
      <c r="H372" s="86" t="s">
        <v>2885</v>
      </c>
    </row>
    <row r="373" spans="1:8">
      <c r="A373" s="28">
        <v>45993</v>
      </c>
      <c r="B373" s="10" t="s">
        <v>457</v>
      </c>
      <c r="C373" s="10" t="s">
        <v>2965</v>
      </c>
      <c r="D373" s="10" t="s">
        <v>2539</v>
      </c>
      <c r="E373" s="11" t="s">
        <v>2606</v>
      </c>
      <c r="F373" s="10">
        <v>1</v>
      </c>
      <c r="G373" s="10" t="s">
        <v>1496</v>
      </c>
      <c r="H373" s="86" t="s">
        <v>2885</v>
      </c>
    </row>
    <row r="374" spans="1:8">
      <c r="A374" s="28">
        <v>45993</v>
      </c>
      <c r="B374" s="10" t="s">
        <v>457</v>
      </c>
      <c r="C374" s="10" t="s">
        <v>2966</v>
      </c>
      <c r="D374" s="10" t="s">
        <v>2539</v>
      </c>
      <c r="E374" s="11" t="s">
        <v>2606</v>
      </c>
      <c r="F374" s="10">
        <v>1</v>
      </c>
      <c r="G374" s="10" t="s">
        <v>613</v>
      </c>
      <c r="H374" s="86" t="s">
        <v>2885</v>
      </c>
    </row>
    <row r="375" spans="1:8">
      <c r="A375" s="28">
        <v>45993</v>
      </c>
      <c r="B375" s="10" t="s">
        <v>457</v>
      </c>
      <c r="C375" s="10" t="s">
        <v>2967</v>
      </c>
      <c r="D375" s="10" t="s">
        <v>2539</v>
      </c>
      <c r="E375" s="11" t="s">
        <v>2606</v>
      </c>
      <c r="F375" s="10">
        <v>1</v>
      </c>
      <c r="G375" s="10" t="s">
        <v>1619</v>
      </c>
      <c r="H375" s="86" t="s">
        <v>2885</v>
      </c>
    </row>
    <row r="376" spans="1:8">
      <c r="A376" s="28">
        <v>45993</v>
      </c>
      <c r="B376" s="10" t="s">
        <v>457</v>
      </c>
      <c r="C376" s="10" t="s">
        <v>2968</v>
      </c>
      <c r="D376" s="10" t="s">
        <v>2539</v>
      </c>
      <c r="E376" s="11" t="s">
        <v>2606</v>
      </c>
      <c r="F376" s="10">
        <v>1</v>
      </c>
      <c r="G376" s="10" t="s">
        <v>1092</v>
      </c>
      <c r="H376" s="86" t="s">
        <v>2885</v>
      </c>
    </row>
    <row r="377" spans="1:8">
      <c r="A377" s="28">
        <v>45993</v>
      </c>
      <c r="B377" s="10" t="s">
        <v>457</v>
      </c>
      <c r="C377" s="10" t="s">
        <v>2969</v>
      </c>
      <c r="D377" s="10" t="s">
        <v>2539</v>
      </c>
      <c r="E377" s="11" t="s">
        <v>2606</v>
      </c>
      <c r="F377" s="10">
        <v>1</v>
      </c>
      <c r="G377" s="10" t="s">
        <v>1151</v>
      </c>
      <c r="H377" s="86" t="s">
        <v>2885</v>
      </c>
    </row>
    <row r="378" spans="1:8">
      <c r="A378" s="28">
        <v>45993</v>
      </c>
      <c r="B378" s="10" t="s">
        <v>457</v>
      </c>
      <c r="C378" s="10" t="s">
        <v>2970</v>
      </c>
      <c r="D378" s="10" t="s">
        <v>2539</v>
      </c>
      <c r="E378" s="11" t="s">
        <v>2606</v>
      </c>
      <c r="F378" s="10">
        <v>1</v>
      </c>
      <c r="G378" s="10" t="s">
        <v>1421</v>
      </c>
      <c r="H378" s="86" t="s">
        <v>2885</v>
      </c>
    </row>
    <row r="379" spans="1:8">
      <c r="A379" s="28">
        <v>45993</v>
      </c>
      <c r="B379" s="10" t="s">
        <v>457</v>
      </c>
      <c r="C379" s="10" t="s">
        <v>2971</v>
      </c>
      <c r="D379" s="10" t="s">
        <v>2539</v>
      </c>
      <c r="E379" s="11" t="s">
        <v>2606</v>
      </c>
      <c r="F379" s="10">
        <v>1</v>
      </c>
      <c r="G379" s="10" t="s">
        <v>874</v>
      </c>
      <c r="H379" s="86" t="s">
        <v>2885</v>
      </c>
    </row>
    <row r="380" spans="1:8">
      <c r="A380" s="42">
        <v>45993</v>
      </c>
      <c r="B380" s="86" t="s">
        <v>457</v>
      </c>
      <c r="C380" s="86" t="s">
        <v>2972</v>
      </c>
      <c r="D380" s="86" t="s">
        <v>2539</v>
      </c>
      <c r="E380" s="86" t="s">
        <v>2606</v>
      </c>
      <c r="F380" s="14">
        <v>1</v>
      </c>
      <c r="G380" s="86"/>
      <c r="H380" s="86" t="s">
        <v>2885</v>
      </c>
    </row>
    <row r="381" spans="1:8">
      <c r="A381" s="42">
        <v>45993</v>
      </c>
      <c r="B381" s="86" t="s">
        <v>457</v>
      </c>
      <c r="C381" s="86" t="s">
        <v>2973</v>
      </c>
      <c r="D381" s="86" t="s">
        <v>2539</v>
      </c>
      <c r="E381" s="86" t="s">
        <v>2606</v>
      </c>
      <c r="F381" s="14">
        <v>1</v>
      </c>
      <c r="G381" s="86"/>
      <c r="H381" s="86" t="s">
        <v>2885</v>
      </c>
    </row>
    <row r="382" spans="1:8">
      <c r="A382" s="28">
        <v>45993</v>
      </c>
      <c r="B382" s="10" t="s">
        <v>457</v>
      </c>
      <c r="C382" s="10" t="s">
        <v>2974</v>
      </c>
      <c r="D382" s="10" t="s">
        <v>2539</v>
      </c>
      <c r="E382" s="11" t="s">
        <v>2606</v>
      </c>
      <c r="F382" s="10">
        <v>1</v>
      </c>
      <c r="G382" s="10" t="s">
        <v>1313</v>
      </c>
      <c r="H382" s="86" t="s">
        <v>2885</v>
      </c>
    </row>
    <row r="383" spans="1:8">
      <c r="A383" s="28">
        <v>45993</v>
      </c>
      <c r="B383" s="10" t="s">
        <v>457</v>
      </c>
      <c r="C383" s="10" t="s">
        <v>2975</v>
      </c>
      <c r="D383" s="10" t="s">
        <v>2539</v>
      </c>
      <c r="E383" s="11" t="s">
        <v>2606</v>
      </c>
      <c r="F383" s="10">
        <v>1</v>
      </c>
      <c r="G383" s="10" t="s">
        <v>1258</v>
      </c>
      <c r="H383" s="86" t="s">
        <v>2885</v>
      </c>
    </row>
    <row r="384" spans="1:8">
      <c r="A384" s="28">
        <v>45993</v>
      </c>
      <c r="B384" s="10" t="s">
        <v>457</v>
      </c>
      <c r="C384" s="10" t="s">
        <v>2976</v>
      </c>
      <c r="D384" s="10" t="s">
        <v>2539</v>
      </c>
      <c r="E384" s="11" t="s">
        <v>2606</v>
      </c>
      <c r="F384" s="10">
        <v>1</v>
      </c>
      <c r="G384" s="10" t="s">
        <v>1234</v>
      </c>
      <c r="H384" s="86" t="s">
        <v>2885</v>
      </c>
    </row>
    <row r="385" spans="1:8">
      <c r="A385" s="28">
        <v>45993</v>
      </c>
      <c r="B385" s="10" t="s">
        <v>457</v>
      </c>
      <c r="C385" s="10" t="s">
        <v>2977</v>
      </c>
      <c r="D385" s="10" t="s">
        <v>2539</v>
      </c>
      <c r="E385" s="11" t="s">
        <v>2606</v>
      </c>
      <c r="F385" s="10">
        <v>1</v>
      </c>
      <c r="G385" s="10" t="s">
        <v>1309</v>
      </c>
      <c r="H385" s="86" t="s">
        <v>2885</v>
      </c>
    </row>
    <row r="386" spans="1:8">
      <c r="A386" s="28">
        <v>45993</v>
      </c>
      <c r="B386" s="10" t="s">
        <v>457</v>
      </c>
      <c r="C386" s="10" t="s">
        <v>2978</v>
      </c>
      <c r="D386" s="10" t="s">
        <v>2539</v>
      </c>
      <c r="E386" s="11" t="s">
        <v>2606</v>
      </c>
      <c r="F386" s="10">
        <v>1</v>
      </c>
      <c r="G386" s="10" t="s">
        <v>1219</v>
      </c>
      <c r="H386" s="86" t="s">
        <v>2885</v>
      </c>
    </row>
    <row r="387" spans="1:8">
      <c r="A387" s="28">
        <v>45993</v>
      </c>
      <c r="B387" s="10" t="s">
        <v>457</v>
      </c>
      <c r="C387" s="10" t="s">
        <v>2979</v>
      </c>
      <c r="D387" s="14" t="s">
        <v>2539</v>
      </c>
      <c r="E387" s="11" t="s">
        <v>2606</v>
      </c>
      <c r="F387" s="10">
        <v>1</v>
      </c>
      <c r="G387" s="10" t="s">
        <v>1548</v>
      </c>
      <c r="H387" s="86" t="s">
        <v>2885</v>
      </c>
    </row>
    <row r="388" spans="1:8">
      <c r="A388" s="42">
        <v>45671</v>
      </c>
      <c r="B388" s="14" t="s">
        <v>2865</v>
      </c>
      <c r="C388" s="86" t="s">
        <v>2980</v>
      </c>
      <c r="D388" s="14" t="s">
        <v>2749</v>
      </c>
      <c r="E388" s="14" t="s">
        <v>2606</v>
      </c>
      <c r="F388" s="14">
        <v>1</v>
      </c>
      <c r="G388" s="14" t="s">
        <v>2253</v>
      </c>
      <c r="H388" s="86" t="s">
        <v>2748</v>
      </c>
    </row>
    <row r="389" spans="1:8">
      <c r="A389" s="42">
        <v>45671</v>
      </c>
      <c r="B389" s="14" t="s">
        <v>2865</v>
      </c>
      <c r="C389" s="86" t="s">
        <v>2981</v>
      </c>
      <c r="D389" s="14" t="s">
        <v>2749</v>
      </c>
      <c r="E389" s="14" t="s">
        <v>2606</v>
      </c>
      <c r="F389" s="14">
        <v>1</v>
      </c>
      <c r="G389" s="14"/>
      <c r="H389" s="86" t="s">
        <v>2748</v>
      </c>
    </row>
    <row r="390" spans="1:8">
      <c r="A390" s="42">
        <v>45671</v>
      </c>
      <c r="B390" s="14" t="s">
        <v>2865</v>
      </c>
      <c r="C390" s="86" t="s">
        <v>2982</v>
      </c>
      <c r="D390" s="14" t="s">
        <v>2749</v>
      </c>
      <c r="E390" s="14" t="s">
        <v>2606</v>
      </c>
      <c r="F390" s="14">
        <v>1</v>
      </c>
      <c r="G390" s="14"/>
      <c r="H390" s="86" t="s">
        <v>2748</v>
      </c>
    </row>
    <row r="391" spans="1:8">
      <c r="A391" s="42">
        <v>45671</v>
      </c>
      <c r="B391" s="14" t="s">
        <v>457</v>
      </c>
      <c r="C391" s="86" t="s">
        <v>2983</v>
      </c>
      <c r="D391" s="14" t="s">
        <v>2539</v>
      </c>
      <c r="E391" s="14" t="s">
        <v>2606</v>
      </c>
      <c r="F391" s="14">
        <v>1</v>
      </c>
      <c r="G391" s="14" t="s">
        <v>572</v>
      </c>
      <c r="H391" s="86" t="s">
        <v>2984</v>
      </c>
    </row>
    <row r="392" spans="1:8">
      <c r="A392" s="42">
        <v>45671</v>
      </c>
      <c r="B392" s="14" t="s">
        <v>457</v>
      </c>
      <c r="C392" s="86" t="s">
        <v>2985</v>
      </c>
      <c r="D392" s="14" t="s">
        <v>2539</v>
      </c>
      <c r="E392" s="14" t="s">
        <v>2606</v>
      </c>
      <c r="F392" s="14">
        <v>1</v>
      </c>
      <c r="G392" s="14" t="s">
        <v>1379</v>
      </c>
      <c r="H392" s="86" t="s">
        <v>2984</v>
      </c>
    </row>
    <row r="393" spans="1:8">
      <c r="A393" s="42">
        <v>45671</v>
      </c>
      <c r="B393" s="14" t="s">
        <v>457</v>
      </c>
      <c r="C393" s="86" t="s">
        <v>2986</v>
      </c>
      <c r="D393" s="14" t="s">
        <v>2539</v>
      </c>
      <c r="E393" s="14" t="s">
        <v>2606</v>
      </c>
      <c r="F393" s="14">
        <v>1</v>
      </c>
      <c r="G393" s="14" t="s">
        <v>1085</v>
      </c>
      <c r="H393" s="86" t="s">
        <v>2984</v>
      </c>
    </row>
    <row r="394" spans="1:8">
      <c r="A394" s="42">
        <v>45671</v>
      </c>
      <c r="B394" s="14" t="s">
        <v>457</v>
      </c>
      <c r="C394" s="86" t="s">
        <v>2987</v>
      </c>
      <c r="D394" s="14" t="s">
        <v>2539</v>
      </c>
      <c r="E394" s="14" t="s">
        <v>2606</v>
      </c>
      <c r="F394" s="14">
        <v>1</v>
      </c>
      <c r="G394" s="14" t="s">
        <v>1920</v>
      </c>
      <c r="H394" s="86" t="s">
        <v>2984</v>
      </c>
    </row>
    <row r="395" spans="1:8">
      <c r="A395" s="42">
        <v>45671</v>
      </c>
      <c r="B395" s="14" t="s">
        <v>457</v>
      </c>
      <c r="C395" s="86" t="s">
        <v>2988</v>
      </c>
      <c r="D395" s="14" t="s">
        <v>2539</v>
      </c>
      <c r="E395" s="14" t="s">
        <v>2606</v>
      </c>
      <c r="F395" s="14">
        <v>1</v>
      </c>
      <c r="G395" s="14" t="s">
        <v>1602</v>
      </c>
      <c r="H395" s="86" t="s">
        <v>2984</v>
      </c>
    </row>
    <row r="396" spans="1:8">
      <c r="A396" s="42">
        <v>45671</v>
      </c>
      <c r="B396" s="14" t="s">
        <v>66</v>
      </c>
      <c r="C396" s="14" t="s">
        <v>2989</v>
      </c>
      <c r="D396" s="86" t="s">
        <v>2617</v>
      </c>
      <c r="E396" s="15" t="s">
        <v>3750</v>
      </c>
      <c r="F396" s="14">
        <v>1</v>
      </c>
      <c r="G396" s="14" t="s">
        <v>524</v>
      </c>
      <c r="H396" s="14" t="s">
        <v>2984</v>
      </c>
    </row>
    <row r="397" spans="1:8">
      <c r="A397" s="42">
        <v>45671</v>
      </c>
      <c r="B397" s="14" t="s">
        <v>66</v>
      </c>
      <c r="C397" s="14" t="s">
        <v>2990</v>
      </c>
      <c r="D397" s="86" t="s">
        <v>2617</v>
      </c>
      <c r="E397" s="15" t="s">
        <v>3750</v>
      </c>
      <c r="F397" s="14">
        <v>1</v>
      </c>
      <c r="G397" s="14"/>
      <c r="H397" s="14" t="s">
        <v>2984</v>
      </c>
    </row>
    <row r="398" spans="1:8">
      <c r="A398" s="42">
        <v>45671</v>
      </c>
      <c r="B398" s="14" t="s">
        <v>66</v>
      </c>
      <c r="C398" s="14" t="s">
        <v>2991</v>
      </c>
      <c r="D398" s="86" t="s">
        <v>2617</v>
      </c>
      <c r="E398" s="15" t="s">
        <v>3750</v>
      </c>
      <c r="F398" s="14">
        <v>1</v>
      </c>
      <c r="G398" s="14"/>
      <c r="H398" s="14" t="s">
        <v>2984</v>
      </c>
    </row>
    <row r="399" spans="1:8">
      <c r="A399" s="42">
        <v>45671</v>
      </c>
      <c r="B399" s="14" t="s">
        <v>66</v>
      </c>
      <c r="C399" s="14" t="s">
        <v>2992</v>
      </c>
      <c r="D399" s="86" t="s">
        <v>2617</v>
      </c>
      <c r="E399" s="15" t="s">
        <v>3750</v>
      </c>
      <c r="F399" s="14">
        <v>1</v>
      </c>
      <c r="G399" s="14" t="s">
        <v>2277</v>
      </c>
      <c r="H399" s="14" t="s">
        <v>2984</v>
      </c>
    </row>
    <row r="400" spans="1:8">
      <c r="A400" s="42">
        <v>45671</v>
      </c>
      <c r="B400" s="14" t="s">
        <v>66</v>
      </c>
      <c r="C400" s="14" t="s">
        <v>2993</v>
      </c>
      <c r="D400" s="86" t="s">
        <v>2617</v>
      </c>
      <c r="E400" s="15" t="s">
        <v>3750</v>
      </c>
      <c r="F400" s="14">
        <v>1</v>
      </c>
      <c r="G400" s="14"/>
      <c r="H400" s="14" t="s">
        <v>2984</v>
      </c>
    </row>
    <row r="401" spans="1:8">
      <c r="A401" s="42">
        <v>45671</v>
      </c>
      <c r="B401" s="14" t="s">
        <v>66</v>
      </c>
      <c r="C401" s="14" t="s">
        <v>2994</v>
      </c>
      <c r="D401" s="86" t="s">
        <v>2617</v>
      </c>
      <c r="E401" s="15" t="s">
        <v>3750</v>
      </c>
      <c r="F401" s="14">
        <v>1</v>
      </c>
      <c r="G401" s="14" t="s">
        <v>2383</v>
      </c>
      <c r="H401" s="14" t="s">
        <v>2984</v>
      </c>
    </row>
    <row r="402" spans="1:8">
      <c r="A402" s="42">
        <v>45671</v>
      </c>
      <c r="B402" s="14" t="s">
        <v>66</v>
      </c>
      <c r="C402" s="14" t="s">
        <v>2995</v>
      </c>
      <c r="D402" s="86" t="s">
        <v>2617</v>
      </c>
      <c r="E402" s="15" t="s">
        <v>3750</v>
      </c>
      <c r="F402" s="14">
        <v>1</v>
      </c>
      <c r="G402" s="14" t="s">
        <v>610</v>
      </c>
      <c r="H402" s="14" t="s">
        <v>2984</v>
      </c>
    </row>
    <row r="403" spans="1:8">
      <c r="A403" s="42">
        <v>45671</v>
      </c>
      <c r="B403" s="14" t="s">
        <v>66</v>
      </c>
      <c r="C403" s="14" t="s">
        <v>2996</v>
      </c>
      <c r="D403" s="86" t="s">
        <v>2617</v>
      </c>
      <c r="E403" s="15" t="s">
        <v>3750</v>
      </c>
      <c r="F403" s="14">
        <v>1</v>
      </c>
      <c r="G403" s="14" t="s">
        <v>1535</v>
      </c>
      <c r="H403" s="14" t="s">
        <v>2984</v>
      </c>
    </row>
    <row r="404" spans="1:8">
      <c r="A404" s="42">
        <v>45671</v>
      </c>
      <c r="B404" s="14" t="s">
        <v>66</v>
      </c>
      <c r="C404" s="14" t="s">
        <v>2997</v>
      </c>
      <c r="D404" s="86" t="s">
        <v>2617</v>
      </c>
      <c r="E404" s="15" t="s">
        <v>3750</v>
      </c>
      <c r="F404" s="14">
        <v>1</v>
      </c>
      <c r="G404" s="14" t="s">
        <v>2273</v>
      </c>
      <c r="H404" s="14" t="s">
        <v>2984</v>
      </c>
    </row>
    <row r="405" spans="1:8">
      <c r="A405" s="42">
        <v>45671</v>
      </c>
      <c r="B405" s="14" t="s">
        <v>66</v>
      </c>
      <c r="C405" s="14" t="s">
        <v>2998</v>
      </c>
      <c r="D405" s="86" t="s">
        <v>2617</v>
      </c>
      <c r="E405" s="15" t="s">
        <v>3750</v>
      </c>
      <c r="F405" s="14">
        <v>1</v>
      </c>
      <c r="G405" s="14" t="s">
        <v>1502</v>
      </c>
      <c r="H405" s="14" t="s">
        <v>2984</v>
      </c>
    </row>
    <row r="406" spans="1:8">
      <c r="A406" s="42">
        <v>45671</v>
      </c>
      <c r="B406" s="14" t="s">
        <v>66</v>
      </c>
      <c r="C406" s="14" t="s">
        <v>2999</v>
      </c>
      <c r="D406" s="86" t="s">
        <v>2617</v>
      </c>
      <c r="E406" s="15" t="s">
        <v>3750</v>
      </c>
      <c r="F406" s="14">
        <v>1</v>
      </c>
      <c r="G406" s="14"/>
      <c r="H406" s="14" t="s">
        <v>2984</v>
      </c>
    </row>
    <row r="407" spans="1:8">
      <c r="A407" s="42">
        <v>45671</v>
      </c>
      <c r="B407" s="14" t="s">
        <v>66</v>
      </c>
      <c r="C407" s="14" t="s">
        <v>3000</v>
      </c>
      <c r="D407" s="86" t="s">
        <v>2617</v>
      </c>
      <c r="E407" s="15" t="s">
        <v>3750</v>
      </c>
      <c r="F407" s="14">
        <v>1</v>
      </c>
      <c r="G407" s="14"/>
      <c r="H407" s="14" t="s">
        <v>2984</v>
      </c>
    </row>
    <row r="408" spans="1:8">
      <c r="A408" s="42">
        <v>45671</v>
      </c>
      <c r="B408" s="14" t="s">
        <v>66</v>
      </c>
      <c r="C408" s="14" t="s">
        <v>3001</v>
      </c>
      <c r="D408" s="86" t="s">
        <v>2617</v>
      </c>
      <c r="E408" s="15" t="s">
        <v>3750</v>
      </c>
      <c r="F408" s="14">
        <v>1</v>
      </c>
      <c r="G408" s="14"/>
      <c r="H408" s="14" t="s">
        <v>2984</v>
      </c>
    </row>
    <row r="409" spans="1:8">
      <c r="A409" s="42">
        <v>45671</v>
      </c>
      <c r="B409" s="14" t="s">
        <v>66</v>
      </c>
      <c r="C409" s="14" t="s">
        <v>3002</v>
      </c>
      <c r="D409" s="86" t="s">
        <v>2617</v>
      </c>
      <c r="E409" s="15" t="s">
        <v>3750</v>
      </c>
      <c r="F409" s="14">
        <v>1</v>
      </c>
      <c r="G409" s="14" t="s">
        <v>1759</v>
      </c>
      <c r="H409" s="14" t="s">
        <v>2984</v>
      </c>
    </row>
    <row r="410" spans="1:8">
      <c r="A410" s="42">
        <v>45671</v>
      </c>
      <c r="B410" s="14" t="s">
        <v>66</v>
      </c>
      <c r="C410" s="14" t="s">
        <v>3003</v>
      </c>
      <c r="D410" s="86" t="s">
        <v>2617</v>
      </c>
      <c r="E410" s="15" t="s">
        <v>3750</v>
      </c>
      <c r="F410" s="14">
        <v>1</v>
      </c>
      <c r="G410" s="14" t="s">
        <v>1780</v>
      </c>
      <c r="H410" s="14" t="s">
        <v>2984</v>
      </c>
    </row>
    <row r="411" spans="1:8">
      <c r="A411" s="42">
        <v>45671</v>
      </c>
      <c r="B411" s="14" t="s">
        <v>66</v>
      </c>
      <c r="C411" s="14" t="s">
        <v>3004</v>
      </c>
      <c r="D411" s="86" t="s">
        <v>2617</v>
      </c>
      <c r="E411" s="15" t="s">
        <v>3750</v>
      </c>
      <c r="F411" s="14">
        <v>1</v>
      </c>
      <c r="G411" s="14" t="s">
        <v>31</v>
      </c>
      <c r="H411" s="14" t="s">
        <v>2984</v>
      </c>
    </row>
    <row r="412" spans="1:8">
      <c r="A412" s="42">
        <v>45671</v>
      </c>
      <c r="B412" s="14" t="s">
        <v>66</v>
      </c>
      <c r="C412" s="14" t="s">
        <v>3005</v>
      </c>
      <c r="D412" s="86" t="s">
        <v>2617</v>
      </c>
      <c r="E412" s="15" t="s">
        <v>3750</v>
      </c>
      <c r="F412" s="14">
        <v>1</v>
      </c>
      <c r="G412" s="14" t="s">
        <v>2294</v>
      </c>
      <c r="H412" s="14" t="s">
        <v>2984</v>
      </c>
    </row>
    <row r="413" spans="1:8">
      <c r="A413" s="42">
        <v>45671</v>
      </c>
      <c r="B413" s="14" t="s">
        <v>66</v>
      </c>
      <c r="C413" s="14" t="s">
        <v>3006</v>
      </c>
      <c r="D413" s="86" t="s">
        <v>2617</v>
      </c>
      <c r="E413" s="15" t="s">
        <v>3750</v>
      </c>
      <c r="F413" s="14">
        <v>1</v>
      </c>
      <c r="G413" s="14"/>
      <c r="H413" s="14" t="s">
        <v>2984</v>
      </c>
    </row>
    <row r="414" spans="1:8">
      <c r="A414" s="42">
        <v>45671</v>
      </c>
      <c r="B414" s="14" t="s">
        <v>66</v>
      </c>
      <c r="C414" s="14" t="s">
        <v>3007</v>
      </c>
      <c r="D414" s="86" t="s">
        <v>2617</v>
      </c>
      <c r="E414" s="15" t="s">
        <v>3750</v>
      </c>
      <c r="F414" s="14">
        <v>1</v>
      </c>
      <c r="G414" s="14"/>
      <c r="H414" s="14" t="s">
        <v>2984</v>
      </c>
    </row>
    <row r="415" spans="1:8">
      <c r="A415" s="42">
        <v>45671</v>
      </c>
      <c r="B415" s="14" t="s">
        <v>66</v>
      </c>
      <c r="C415" s="14" t="s">
        <v>3008</v>
      </c>
      <c r="D415" s="86" t="s">
        <v>2617</v>
      </c>
      <c r="E415" s="15" t="s">
        <v>3750</v>
      </c>
      <c r="F415" s="14">
        <v>1</v>
      </c>
      <c r="G415" s="14"/>
      <c r="H415" s="14" t="s">
        <v>2984</v>
      </c>
    </row>
    <row r="416" spans="1:8">
      <c r="A416" s="42">
        <v>45671</v>
      </c>
      <c r="B416" s="14" t="s">
        <v>66</v>
      </c>
      <c r="C416" s="14" t="s">
        <v>3009</v>
      </c>
      <c r="D416" s="86" t="s">
        <v>2617</v>
      </c>
      <c r="E416" s="15" t="s">
        <v>3750</v>
      </c>
      <c r="F416" s="14">
        <v>1</v>
      </c>
      <c r="G416" s="14"/>
      <c r="H416" s="14" t="s">
        <v>2984</v>
      </c>
    </row>
    <row r="417" spans="1:8">
      <c r="A417" s="42">
        <v>45671</v>
      </c>
      <c r="B417" s="14" t="s">
        <v>66</v>
      </c>
      <c r="C417" s="14" t="s">
        <v>3010</v>
      </c>
      <c r="D417" s="14" t="s">
        <v>2605</v>
      </c>
      <c r="E417" s="15" t="s">
        <v>2606</v>
      </c>
      <c r="F417" s="14">
        <v>1</v>
      </c>
      <c r="G417" s="14"/>
      <c r="H417" s="14" t="s">
        <v>2984</v>
      </c>
    </row>
    <row r="418" spans="1:8">
      <c r="A418" s="42">
        <v>45671</v>
      </c>
      <c r="B418" s="14" t="s">
        <v>66</v>
      </c>
      <c r="C418" s="14" t="s">
        <v>3011</v>
      </c>
      <c r="D418" s="14" t="s">
        <v>2617</v>
      </c>
      <c r="E418" s="15" t="s">
        <v>3750</v>
      </c>
      <c r="F418" s="14">
        <v>1</v>
      </c>
      <c r="G418" s="14"/>
      <c r="H418" s="14" t="s">
        <v>2984</v>
      </c>
    </row>
    <row r="419" spans="1:8">
      <c r="A419" s="42">
        <v>45671</v>
      </c>
      <c r="B419" s="14" t="s">
        <v>66</v>
      </c>
      <c r="C419" s="14" t="s">
        <v>3012</v>
      </c>
      <c r="D419" s="14" t="s">
        <v>2617</v>
      </c>
      <c r="E419" s="15" t="s">
        <v>3750</v>
      </c>
      <c r="F419" s="14">
        <v>1</v>
      </c>
      <c r="G419" s="14"/>
      <c r="H419" s="14" t="s">
        <v>2984</v>
      </c>
    </row>
    <row r="420" spans="1:8">
      <c r="A420" s="42">
        <v>45671</v>
      </c>
      <c r="B420" s="14" t="s">
        <v>66</v>
      </c>
      <c r="C420" s="14" t="s">
        <v>3013</v>
      </c>
      <c r="D420" s="14" t="s">
        <v>2605</v>
      </c>
      <c r="E420" s="15" t="s">
        <v>2606</v>
      </c>
      <c r="F420" s="14">
        <v>1</v>
      </c>
      <c r="G420" s="14"/>
      <c r="H420" s="14" t="s">
        <v>2984</v>
      </c>
    </row>
    <row r="421" spans="1:8">
      <c r="A421" s="42">
        <v>45671</v>
      </c>
      <c r="B421" s="14" t="s">
        <v>66</v>
      </c>
      <c r="C421" s="14" t="s">
        <v>3014</v>
      </c>
      <c r="D421" s="14" t="s">
        <v>2605</v>
      </c>
      <c r="E421" s="15" t="s">
        <v>2606</v>
      </c>
      <c r="F421" s="14">
        <v>1</v>
      </c>
      <c r="G421" s="14"/>
      <c r="H421" s="14" t="s">
        <v>2984</v>
      </c>
    </row>
    <row r="422" spans="1:8">
      <c r="A422" s="42">
        <v>45671</v>
      </c>
      <c r="B422" s="14" t="s">
        <v>66</v>
      </c>
      <c r="C422" s="14" t="s">
        <v>3015</v>
      </c>
      <c r="D422" s="14" t="s">
        <v>2605</v>
      </c>
      <c r="E422" s="15" t="s">
        <v>2606</v>
      </c>
      <c r="F422" s="14">
        <v>1</v>
      </c>
      <c r="G422" s="14"/>
      <c r="H422" s="14" t="s">
        <v>2984</v>
      </c>
    </row>
    <row r="423" spans="1:8">
      <c r="A423" s="42">
        <v>45671</v>
      </c>
      <c r="B423" s="14" t="s">
        <v>66</v>
      </c>
      <c r="C423" s="14" t="s">
        <v>3016</v>
      </c>
      <c r="D423" s="14" t="s">
        <v>2605</v>
      </c>
      <c r="E423" s="15" t="s">
        <v>2606</v>
      </c>
      <c r="F423" s="14">
        <v>1</v>
      </c>
      <c r="G423" s="14"/>
      <c r="H423" s="14" t="s">
        <v>2984</v>
      </c>
    </row>
    <row r="424" spans="1:8">
      <c r="A424" s="42">
        <v>45671</v>
      </c>
      <c r="B424" s="14" t="s">
        <v>66</v>
      </c>
      <c r="C424" s="14" t="s">
        <v>3017</v>
      </c>
      <c r="D424" s="14" t="s">
        <v>2605</v>
      </c>
      <c r="E424" s="15" t="s">
        <v>2606</v>
      </c>
      <c r="F424" s="14">
        <v>1</v>
      </c>
      <c r="G424" s="14"/>
      <c r="H424" s="14" t="s">
        <v>2984</v>
      </c>
    </row>
    <row r="425" spans="1:8">
      <c r="A425" s="42">
        <v>45671</v>
      </c>
      <c r="B425" s="14" t="s">
        <v>66</v>
      </c>
      <c r="C425" s="14" t="s">
        <v>3018</v>
      </c>
      <c r="D425" s="14" t="s">
        <v>2605</v>
      </c>
      <c r="E425" s="15" t="s">
        <v>2606</v>
      </c>
      <c r="F425" s="14">
        <v>1</v>
      </c>
      <c r="G425" s="14"/>
      <c r="H425" s="14" t="s">
        <v>2984</v>
      </c>
    </row>
    <row r="426" spans="1:8">
      <c r="A426" s="42">
        <v>45671</v>
      </c>
      <c r="B426" s="14" t="s">
        <v>66</v>
      </c>
      <c r="C426" s="14" t="s">
        <v>3019</v>
      </c>
      <c r="D426" s="14" t="s">
        <v>2605</v>
      </c>
      <c r="E426" s="15" t="s">
        <v>2606</v>
      </c>
      <c r="F426" s="14">
        <v>1</v>
      </c>
      <c r="G426" s="14"/>
      <c r="H426" s="14" t="s">
        <v>2984</v>
      </c>
    </row>
    <row r="427" spans="1:8">
      <c r="A427" s="42">
        <v>45671</v>
      </c>
      <c r="B427" s="14" t="s">
        <v>66</v>
      </c>
      <c r="C427" s="14" t="s">
        <v>3020</v>
      </c>
      <c r="D427" s="14" t="s">
        <v>2605</v>
      </c>
      <c r="E427" s="15" t="s">
        <v>2606</v>
      </c>
      <c r="F427" s="14">
        <v>1</v>
      </c>
      <c r="G427" s="14"/>
      <c r="H427" s="14" t="s">
        <v>2984</v>
      </c>
    </row>
    <row r="428" spans="1:8">
      <c r="A428" s="42">
        <v>45671</v>
      </c>
      <c r="B428" s="14" t="s">
        <v>66</v>
      </c>
      <c r="C428" s="14" t="s">
        <v>3021</v>
      </c>
      <c r="D428" s="14" t="s">
        <v>2605</v>
      </c>
      <c r="E428" s="15" t="s">
        <v>2606</v>
      </c>
      <c r="F428" s="14">
        <v>1</v>
      </c>
      <c r="G428" s="14"/>
      <c r="H428" s="14" t="s">
        <v>2984</v>
      </c>
    </row>
    <row r="429" spans="1:8">
      <c r="A429" s="42">
        <v>45671</v>
      </c>
      <c r="B429" s="14" t="s">
        <v>66</v>
      </c>
      <c r="C429" s="14" t="s">
        <v>3022</v>
      </c>
      <c r="D429" s="14" t="s">
        <v>2605</v>
      </c>
      <c r="E429" s="15" t="s">
        <v>2606</v>
      </c>
      <c r="F429" s="14">
        <v>1</v>
      </c>
      <c r="G429" s="14"/>
      <c r="H429" s="14" t="s">
        <v>2984</v>
      </c>
    </row>
    <row r="430" spans="1:8">
      <c r="A430" s="42">
        <v>45671</v>
      </c>
      <c r="B430" s="14" t="s">
        <v>66</v>
      </c>
      <c r="C430" s="14" t="s">
        <v>3023</v>
      </c>
      <c r="D430" s="14" t="s">
        <v>2605</v>
      </c>
      <c r="E430" s="15" t="s">
        <v>2606</v>
      </c>
      <c r="F430" s="14">
        <v>1</v>
      </c>
      <c r="G430" s="14"/>
      <c r="H430" s="14" t="s">
        <v>2984</v>
      </c>
    </row>
    <row r="431" spans="1:8">
      <c r="A431" s="42">
        <v>45671</v>
      </c>
      <c r="B431" s="14" t="s">
        <v>66</v>
      </c>
      <c r="C431" s="14" t="s">
        <v>3024</v>
      </c>
      <c r="D431" s="14" t="s">
        <v>2605</v>
      </c>
      <c r="E431" s="15" t="s">
        <v>2606</v>
      </c>
      <c r="F431" s="14">
        <v>1</v>
      </c>
      <c r="G431" s="14" t="s">
        <v>2037</v>
      </c>
      <c r="H431" s="14" t="s">
        <v>2984</v>
      </c>
    </row>
    <row r="432" spans="1:8">
      <c r="A432" s="42">
        <v>45671</v>
      </c>
      <c r="B432" s="14" t="s">
        <v>66</v>
      </c>
      <c r="C432" s="14" t="s">
        <v>3025</v>
      </c>
      <c r="D432" s="14" t="s">
        <v>2605</v>
      </c>
      <c r="E432" s="15" t="s">
        <v>2606</v>
      </c>
      <c r="F432" s="14">
        <v>1</v>
      </c>
      <c r="G432" s="14" t="s">
        <v>2130</v>
      </c>
      <c r="H432" s="14" t="s">
        <v>2984</v>
      </c>
    </row>
    <row r="433" spans="1:8">
      <c r="A433" s="42">
        <v>46050</v>
      </c>
      <c r="B433" s="14"/>
      <c r="C433" s="14"/>
      <c r="D433" s="14"/>
      <c r="E433" s="15" t="s">
        <v>2606</v>
      </c>
      <c r="F433" s="14"/>
      <c r="G433" s="14"/>
      <c r="H433" s="14"/>
    </row>
    <row r="434" spans="1:8">
      <c r="A434" s="42">
        <v>46050</v>
      </c>
      <c r="B434" s="14" t="s">
        <v>352</v>
      </c>
      <c r="C434" s="86" t="s">
        <v>3026</v>
      </c>
      <c r="D434" s="14" t="s">
        <v>3027</v>
      </c>
      <c r="E434" s="86" t="s">
        <v>2606</v>
      </c>
      <c r="F434" s="14">
        <v>1</v>
      </c>
      <c r="G434" s="14"/>
      <c r="H434" s="14" t="s">
        <v>3028</v>
      </c>
    </row>
    <row r="435" spans="1:8">
      <c r="A435" s="42">
        <v>46050</v>
      </c>
      <c r="B435" s="14" t="s">
        <v>352</v>
      </c>
      <c r="C435" s="86" t="s">
        <v>3029</v>
      </c>
      <c r="D435" s="14" t="s">
        <v>3027</v>
      </c>
      <c r="E435" s="86" t="s">
        <v>2606</v>
      </c>
      <c r="F435" s="14">
        <v>1</v>
      </c>
      <c r="G435" s="14"/>
      <c r="H435" s="14" t="s">
        <v>3028</v>
      </c>
    </row>
    <row r="436" spans="1:8">
      <c r="A436" s="42">
        <v>46050</v>
      </c>
      <c r="B436" s="14" t="s">
        <v>352</v>
      </c>
      <c r="C436" s="86" t="s">
        <v>3030</v>
      </c>
      <c r="D436" s="14" t="s">
        <v>3027</v>
      </c>
      <c r="E436" s="86" t="s">
        <v>2606</v>
      </c>
      <c r="F436" s="14">
        <v>1</v>
      </c>
      <c r="G436" s="14"/>
      <c r="H436" s="14" t="s">
        <v>3028</v>
      </c>
    </row>
    <row r="437" spans="1:8">
      <c r="A437" s="42">
        <v>46050</v>
      </c>
      <c r="B437" s="14" t="s">
        <v>352</v>
      </c>
      <c r="C437" s="86" t="s">
        <v>3031</v>
      </c>
      <c r="D437" s="14" t="s">
        <v>3027</v>
      </c>
      <c r="E437" s="86" t="s">
        <v>2606</v>
      </c>
      <c r="F437" s="14">
        <v>1</v>
      </c>
      <c r="G437" s="14" t="s">
        <v>2142</v>
      </c>
      <c r="H437" s="14" t="s">
        <v>3028</v>
      </c>
    </row>
    <row r="438" spans="1:8">
      <c r="A438" s="42">
        <v>46050</v>
      </c>
      <c r="B438" s="14" t="s">
        <v>352</v>
      </c>
      <c r="C438" s="86" t="s">
        <v>3032</v>
      </c>
      <c r="D438" s="14" t="s">
        <v>3027</v>
      </c>
      <c r="E438" s="86" t="s">
        <v>2606</v>
      </c>
      <c r="F438" s="14">
        <v>1</v>
      </c>
      <c r="G438" s="14"/>
      <c r="H438" s="14" t="s">
        <v>3028</v>
      </c>
    </row>
    <row r="439" spans="1:8">
      <c r="A439" s="42">
        <v>46050</v>
      </c>
      <c r="B439" s="14" t="s">
        <v>352</v>
      </c>
      <c r="C439" s="86" t="s">
        <v>3033</v>
      </c>
      <c r="D439" s="14" t="s">
        <v>3034</v>
      </c>
      <c r="E439" s="86" t="s">
        <v>2606</v>
      </c>
      <c r="F439" s="14">
        <v>1</v>
      </c>
      <c r="G439" s="14" t="s">
        <v>2140</v>
      </c>
      <c r="H439" s="14" t="s">
        <v>3028</v>
      </c>
    </row>
    <row r="440" spans="1:8">
      <c r="A440" s="42">
        <v>46050</v>
      </c>
      <c r="B440" s="14" t="s">
        <v>352</v>
      </c>
      <c r="C440" s="86" t="s">
        <v>3035</v>
      </c>
      <c r="D440" s="14" t="s">
        <v>3034</v>
      </c>
      <c r="E440" s="86" t="s">
        <v>2606</v>
      </c>
      <c r="F440" s="14">
        <v>1</v>
      </c>
      <c r="G440" s="14"/>
      <c r="H440" s="14" t="s">
        <v>3028</v>
      </c>
    </row>
    <row r="441" spans="1:8">
      <c r="A441" s="42">
        <v>46050</v>
      </c>
      <c r="B441" s="14" t="s">
        <v>352</v>
      </c>
      <c r="C441" s="86" t="s">
        <v>3036</v>
      </c>
      <c r="D441" s="14" t="s">
        <v>3034</v>
      </c>
      <c r="E441" s="86" t="s">
        <v>2606</v>
      </c>
      <c r="F441" s="14">
        <v>1</v>
      </c>
      <c r="G441" s="14"/>
      <c r="H441" s="14" t="s">
        <v>3028</v>
      </c>
    </row>
    <row r="442" spans="1:8">
      <c r="A442" s="42">
        <v>46050</v>
      </c>
      <c r="B442" s="14" t="s">
        <v>352</v>
      </c>
      <c r="C442" s="86" t="s">
        <v>3037</v>
      </c>
      <c r="D442" s="14" t="s">
        <v>3034</v>
      </c>
      <c r="E442" s="86" t="s">
        <v>2606</v>
      </c>
      <c r="F442" s="14">
        <v>1</v>
      </c>
      <c r="G442" s="14"/>
      <c r="H442" s="14" t="s">
        <v>3028</v>
      </c>
    </row>
    <row r="443" spans="1:8">
      <c r="A443" s="42">
        <v>46050</v>
      </c>
      <c r="B443" s="14" t="s">
        <v>352</v>
      </c>
      <c r="C443" s="86" t="s">
        <v>3038</v>
      </c>
      <c r="D443" s="14" t="s">
        <v>3034</v>
      </c>
      <c r="E443" s="86" t="s">
        <v>2606</v>
      </c>
      <c r="F443" s="14">
        <v>1</v>
      </c>
      <c r="G443" s="14"/>
      <c r="H443" s="14" t="s">
        <v>3028</v>
      </c>
    </row>
    <row r="444" spans="1:8">
      <c r="A444" s="42">
        <v>46050</v>
      </c>
      <c r="B444" s="86" t="s">
        <v>2865</v>
      </c>
      <c r="C444" s="8" t="s">
        <v>2982</v>
      </c>
      <c r="D444" s="14" t="s">
        <v>2749</v>
      </c>
      <c r="E444" s="86" t="s">
        <v>2606</v>
      </c>
      <c r="F444" s="14">
        <v>1</v>
      </c>
      <c r="G444" s="8" t="s">
        <v>1898</v>
      </c>
      <c r="H444" s="14"/>
    </row>
    <row r="445" spans="1:8">
      <c r="A445" s="42">
        <v>46050</v>
      </c>
      <c r="B445" s="86" t="s">
        <v>457</v>
      </c>
      <c r="C445" s="8" t="s">
        <v>3039</v>
      </c>
      <c r="D445" s="14"/>
      <c r="E445" s="11" t="s">
        <v>2606</v>
      </c>
      <c r="F445" s="8">
        <v>1</v>
      </c>
      <c r="G445" s="8" t="s">
        <v>1893</v>
      </c>
      <c r="H445" s="14"/>
    </row>
    <row r="446" spans="1:8">
      <c r="A446" s="42">
        <v>46050</v>
      </c>
      <c r="B446" s="86" t="s">
        <v>457</v>
      </c>
      <c r="C446" s="8" t="s">
        <v>3040</v>
      </c>
      <c r="D446" s="14" t="s">
        <v>2562</v>
      </c>
      <c r="E446" s="11" t="s">
        <v>2606</v>
      </c>
      <c r="F446" s="8">
        <v>1</v>
      </c>
      <c r="G446" s="8" t="s">
        <v>1439</v>
      </c>
      <c r="H446" s="14"/>
    </row>
    <row r="447" spans="1:8">
      <c r="A447" s="42">
        <v>46050</v>
      </c>
      <c r="B447" s="86" t="s">
        <v>457</v>
      </c>
      <c r="C447" s="8" t="s">
        <v>3041</v>
      </c>
      <c r="D447" s="14" t="s">
        <v>2562</v>
      </c>
      <c r="E447" s="11" t="s">
        <v>2606</v>
      </c>
      <c r="F447" s="8">
        <v>1</v>
      </c>
      <c r="G447" s="8" t="s">
        <v>1821</v>
      </c>
      <c r="H447" s="14"/>
    </row>
    <row r="448" spans="1:8">
      <c r="A448" s="42">
        <v>46050</v>
      </c>
      <c r="B448" s="86" t="s">
        <v>457</v>
      </c>
      <c r="C448" s="8" t="s">
        <v>3042</v>
      </c>
      <c r="D448" s="14" t="s">
        <v>2562</v>
      </c>
      <c r="E448" s="11" t="s">
        <v>2606</v>
      </c>
      <c r="F448" s="8">
        <v>1</v>
      </c>
      <c r="G448" s="8" t="s">
        <v>1572</v>
      </c>
      <c r="H448" s="14"/>
    </row>
    <row r="449" spans="1:8">
      <c r="A449" s="42">
        <v>46050</v>
      </c>
      <c r="B449" s="86" t="s">
        <v>457</v>
      </c>
      <c r="C449" s="8" t="s">
        <v>3043</v>
      </c>
      <c r="D449" s="14" t="s">
        <v>2562</v>
      </c>
      <c r="E449" s="11" t="s">
        <v>2606</v>
      </c>
      <c r="F449" s="8">
        <v>1</v>
      </c>
      <c r="G449" s="8" t="s">
        <v>1872</v>
      </c>
      <c r="H449" s="14"/>
    </row>
    <row r="450" spans="1:8">
      <c r="A450" s="42">
        <v>46050</v>
      </c>
      <c r="B450" s="86" t="s">
        <v>457</v>
      </c>
      <c r="C450" s="8" t="s">
        <v>3044</v>
      </c>
      <c r="D450" s="14" t="s">
        <v>2562</v>
      </c>
      <c r="E450" s="11" t="s">
        <v>2606</v>
      </c>
      <c r="F450" s="8">
        <v>1</v>
      </c>
      <c r="G450" s="8" t="s">
        <v>1625</v>
      </c>
      <c r="H450" s="14"/>
    </row>
    <row r="451" spans="1:8">
      <c r="A451" s="42">
        <v>46050</v>
      </c>
      <c r="B451" s="88" t="s">
        <v>258</v>
      </c>
      <c r="C451" s="10" t="s">
        <v>3045</v>
      </c>
      <c r="D451" s="14" t="s">
        <v>2584</v>
      </c>
      <c r="E451" s="10" t="s">
        <v>2606</v>
      </c>
      <c r="F451" s="10">
        <v>1</v>
      </c>
      <c r="G451" s="10" t="s">
        <v>1707</v>
      </c>
      <c r="H451" s="14"/>
    </row>
    <row r="452" spans="1:8">
      <c r="A452" s="42">
        <v>46062</v>
      </c>
      <c r="B452" s="14" t="s">
        <v>258</v>
      </c>
      <c r="C452" s="14" t="s">
        <v>3046</v>
      </c>
      <c r="D452" s="14" t="s">
        <v>2584</v>
      </c>
      <c r="E452" s="86" t="s">
        <v>2606</v>
      </c>
      <c r="F452" s="10">
        <v>1</v>
      </c>
      <c r="G452" s="8" t="s">
        <v>2120</v>
      </c>
      <c r="H452" s="14"/>
    </row>
    <row r="453" spans="1:8">
      <c r="A453" s="42">
        <v>46062</v>
      </c>
      <c r="B453" s="14" t="s">
        <v>258</v>
      </c>
      <c r="C453" s="14" t="s">
        <v>3048</v>
      </c>
      <c r="D453" s="14" t="s">
        <v>2584</v>
      </c>
      <c r="E453" s="86" t="s">
        <v>2606</v>
      </c>
      <c r="F453" s="10">
        <v>1</v>
      </c>
      <c r="G453" s="10" t="s">
        <v>1264</v>
      </c>
      <c r="H453" s="14"/>
    </row>
    <row r="454" spans="1:8">
      <c r="A454" s="42">
        <v>46062</v>
      </c>
      <c r="B454" s="14" t="s">
        <v>258</v>
      </c>
      <c r="C454" s="14" t="s">
        <v>3049</v>
      </c>
      <c r="D454" s="14" t="s">
        <v>2584</v>
      </c>
      <c r="E454" s="86" t="s">
        <v>2606</v>
      </c>
      <c r="F454" s="14">
        <v>1</v>
      </c>
      <c r="G454" s="14"/>
      <c r="H454" s="14"/>
    </row>
    <row r="455" spans="1:8">
      <c r="A455" s="42">
        <v>46062</v>
      </c>
      <c r="B455" s="14" t="s">
        <v>258</v>
      </c>
      <c r="C455" s="14" t="s">
        <v>3050</v>
      </c>
      <c r="D455" s="14" t="s">
        <v>2584</v>
      </c>
      <c r="E455" s="86" t="s">
        <v>2606</v>
      </c>
      <c r="F455" s="10">
        <v>1</v>
      </c>
      <c r="G455" s="10" t="s">
        <v>1880</v>
      </c>
      <c r="H455" s="14"/>
    </row>
    <row r="456" spans="1:8">
      <c r="A456" s="42">
        <v>46062</v>
      </c>
      <c r="B456" s="14" t="s">
        <v>258</v>
      </c>
      <c r="C456" s="14" t="s">
        <v>3051</v>
      </c>
      <c r="D456" s="14" t="s">
        <v>2584</v>
      </c>
      <c r="E456" s="86" t="s">
        <v>2606</v>
      </c>
      <c r="F456" s="10">
        <v>1</v>
      </c>
      <c r="G456" s="86" t="s">
        <v>2435</v>
      </c>
      <c r="H456" s="14"/>
    </row>
    <row r="457" spans="1:8">
      <c r="A457" s="42">
        <v>46062</v>
      </c>
      <c r="B457" s="14" t="s">
        <v>258</v>
      </c>
      <c r="C457" s="14" t="s">
        <v>3052</v>
      </c>
      <c r="D457" s="14" t="s">
        <v>2584</v>
      </c>
      <c r="E457" s="86" t="s">
        <v>2606</v>
      </c>
      <c r="F457" s="10">
        <v>1</v>
      </c>
      <c r="G457" s="86" t="s">
        <v>1902</v>
      </c>
      <c r="H457" s="14"/>
    </row>
    <row r="458" spans="1:8">
      <c r="A458" s="42">
        <v>46062</v>
      </c>
      <c r="B458" s="14" t="s">
        <v>258</v>
      </c>
      <c r="C458" s="14" t="s">
        <v>3053</v>
      </c>
      <c r="D458" s="14" t="s">
        <v>2584</v>
      </c>
      <c r="E458" s="86" t="s">
        <v>2606</v>
      </c>
      <c r="F458" s="10">
        <v>1</v>
      </c>
      <c r="G458" s="86" t="s">
        <v>2419</v>
      </c>
      <c r="H458" s="14"/>
    </row>
    <row r="459" spans="1:8">
      <c r="A459" s="42">
        <v>46062</v>
      </c>
      <c r="B459" s="14" t="s">
        <v>258</v>
      </c>
      <c r="C459" s="14" t="s">
        <v>3054</v>
      </c>
      <c r="D459" s="14" t="s">
        <v>2584</v>
      </c>
      <c r="E459" s="86" t="s">
        <v>2606</v>
      </c>
      <c r="F459" s="10">
        <v>1</v>
      </c>
      <c r="G459" s="86" t="s">
        <v>1734</v>
      </c>
      <c r="H459" s="14"/>
    </row>
    <row r="460" spans="1:8">
      <c r="A460" s="42">
        <v>46062</v>
      </c>
      <c r="B460" s="14" t="s">
        <v>258</v>
      </c>
      <c r="C460" s="14" t="s">
        <v>3055</v>
      </c>
      <c r="D460" s="14" t="s">
        <v>2584</v>
      </c>
      <c r="E460" s="86" t="s">
        <v>2606</v>
      </c>
      <c r="F460" s="14">
        <v>1</v>
      </c>
      <c r="G460" s="14"/>
      <c r="H460" s="14"/>
    </row>
    <row r="461" spans="1:8">
      <c r="A461" s="42">
        <v>46062</v>
      </c>
      <c r="B461" s="14" t="s">
        <v>258</v>
      </c>
      <c r="C461" s="14" t="s">
        <v>3056</v>
      </c>
      <c r="D461" s="14" t="s">
        <v>2584</v>
      </c>
      <c r="E461" s="86" t="s">
        <v>2606</v>
      </c>
      <c r="F461" s="10">
        <v>1</v>
      </c>
      <c r="G461" s="86" t="s">
        <v>961</v>
      </c>
      <c r="H461" s="14"/>
    </row>
    <row r="462" spans="1:8">
      <c r="A462" s="42">
        <v>46062</v>
      </c>
      <c r="B462" s="14" t="s">
        <v>258</v>
      </c>
      <c r="C462" s="14" t="s">
        <v>3057</v>
      </c>
      <c r="D462" s="14" t="s">
        <v>2584</v>
      </c>
      <c r="E462" s="86" t="s">
        <v>2606</v>
      </c>
      <c r="F462" s="10">
        <v>1</v>
      </c>
      <c r="G462" s="86" t="s">
        <v>1215</v>
      </c>
      <c r="H462" s="14"/>
    </row>
    <row r="463" spans="1:8">
      <c r="A463" s="42">
        <v>46062</v>
      </c>
      <c r="B463" s="14" t="s">
        <v>258</v>
      </c>
      <c r="C463" s="14" t="s">
        <v>3058</v>
      </c>
      <c r="D463" s="14" t="s">
        <v>2584</v>
      </c>
      <c r="E463" s="86" t="s">
        <v>2606</v>
      </c>
      <c r="F463" s="10">
        <v>1</v>
      </c>
      <c r="G463" s="10" t="s">
        <v>1868</v>
      </c>
      <c r="H463" s="14"/>
    </row>
    <row r="464" spans="1:8">
      <c r="A464" s="42">
        <v>46062</v>
      </c>
      <c r="B464" s="14" t="s">
        <v>258</v>
      </c>
      <c r="C464" s="14" t="s">
        <v>3059</v>
      </c>
      <c r="D464" s="14" t="s">
        <v>2584</v>
      </c>
      <c r="E464" s="86" t="s">
        <v>2606</v>
      </c>
      <c r="F464" s="10">
        <v>1</v>
      </c>
      <c r="G464" s="10" t="s">
        <v>1569</v>
      </c>
      <c r="H464" s="14"/>
    </row>
    <row r="465" spans="1:8">
      <c r="A465" s="42">
        <v>46062</v>
      </c>
      <c r="B465" s="14" t="s">
        <v>258</v>
      </c>
      <c r="C465" s="14" t="s">
        <v>3060</v>
      </c>
      <c r="D465" s="14" t="s">
        <v>2584</v>
      </c>
      <c r="E465" s="86" t="s">
        <v>2606</v>
      </c>
      <c r="F465" s="14">
        <v>1</v>
      </c>
      <c r="G465" s="14"/>
      <c r="H465" s="14"/>
    </row>
    <row r="466" spans="1:8">
      <c r="A466" s="42">
        <v>46062</v>
      </c>
      <c r="B466" s="14" t="s">
        <v>258</v>
      </c>
      <c r="C466" s="14" t="s">
        <v>3061</v>
      </c>
      <c r="D466" s="14" t="s">
        <v>2584</v>
      </c>
      <c r="E466" s="86" t="s">
        <v>2606</v>
      </c>
      <c r="F466" s="14">
        <v>1</v>
      </c>
      <c r="G466" s="14"/>
      <c r="H466" s="14"/>
    </row>
    <row r="467" spans="1:8">
      <c r="A467" s="42">
        <v>46062</v>
      </c>
      <c r="B467" s="14" t="s">
        <v>258</v>
      </c>
      <c r="C467" s="14" t="s">
        <v>3062</v>
      </c>
      <c r="D467" s="14" t="s">
        <v>2584</v>
      </c>
      <c r="E467" s="86" t="s">
        <v>2606</v>
      </c>
      <c r="F467" s="14">
        <v>1</v>
      </c>
      <c r="G467" s="14"/>
      <c r="H467" s="14"/>
    </row>
    <row r="468" spans="1:8">
      <c r="A468" s="42">
        <v>46062</v>
      </c>
      <c r="B468" s="14" t="s">
        <v>258</v>
      </c>
      <c r="C468" s="14" t="s">
        <v>3063</v>
      </c>
      <c r="D468" s="14" t="s">
        <v>2584</v>
      </c>
      <c r="E468" s="86" t="s">
        <v>2606</v>
      </c>
      <c r="F468" s="14">
        <v>1</v>
      </c>
      <c r="G468" s="14"/>
      <c r="H468" s="14"/>
    </row>
    <row r="469" spans="1:8">
      <c r="A469" s="42">
        <v>46062</v>
      </c>
      <c r="B469" s="14" t="s">
        <v>258</v>
      </c>
      <c r="C469" s="14" t="s">
        <v>3064</v>
      </c>
      <c r="D469" s="14" t="s">
        <v>2584</v>
      </c>
      <c r="E469" s="86" t="s">
        <v>2606</v>
      </c>
      <c r="F469" s="14">
        <v>1</v>
      </c>
      <c r="G469" s="14"/>
      <c r="H469" s="14"/>
    </row>
    <row r="470" spans="1:8">
      <c r="A470" s="42">
        <v>46062</v>
      </c>
      <c r="B470" s="14" t="s">
        <v>258</v>
      </c>
      <c r="C470" s="14" t="s">
        <v>3065</v>
      </c>
      <c r="D470" s="14" t="s">
        <v>2584</v>
      </c>
      <c r="E470" s="86" t="s">
        <v>2606</v>
      </c>
      <c r="F470" s="14">
        <v>1</v>
      </c>
      <c r="G470" s="14"/>
      <c r="H470" s="14"/>
    </row>
    <row r="471" spans="1:8">
      <c r="A471" s="42">
        <v>46062</v>
      </c>
      <c r="B471" s="14" t="s">
        <v>258</v>
      </c>
      <c r="C471" s="14" t="s">
        <v>3066</v>
      </c>
      <c r="D471" s="14" t="s">
        <v>2584</v>
      </c>
      <c r="E471" s="86" t="s">
        <v>2606</v>
      </c>
      <c r="F471" s="14">
        <v>1</v>
      </c>
      <c r="G471" s="14"/>
      <c r="H471" s="14"/>
    </row>
    <row r="472" spans="1:8">
      <c r="A472" s="42">
        <v>46062</v>
      </c>
      <c r="B472" s="14" t="s">
        <v>258</v>
      </c>
      <c r="C472" s="14" t="s">
        <v>3067</v>
      </c>
      <c r="D472" s="14" t="s">
        <v>2584</v>
      </c>
      <c r="E472" s="86" t="s">
        <v>2606</v>
      </c>
      <c r="F472" s="14">
        <v>1</v>
      </c>
      <c r="G472" s="14"/>
      <c r="H472" s="14"/>
    </row>
    <row r="473" spans="1:8">
      <c r="A473" s="42">
        <v>46062</v>
      </c>
      <c r="B473" s="14" t="s">
        <v>258</v>
      </c>
      <c r="C473" s="14" t="s">
        <v>3068</v>
      </c>
      <c r="D473" s="14" t="s">
        <v>2584</v>
      </c>
      <c r="E473" s="86" t="s">
        <v>2606</v>
      </c>
      <c r="F473" s="14">
        <v>1</v>
      </c>
      <c r="G473" s="14"/>
      <c r="H473" s="14"/>
    </row>
    <row r="474" spans="1:8">
      <c r="A474" s="42">
        <v>46062</v>
      </c>
      <c r="B474" s="14" t="s">
        <v>258</v>
      </c>
      <c r="C474" s="14" t="s">
        <v>3069</v>
      </c>
      <c r="D474" s="14" t="s">
        <v>2584</v>
      </c>
      <c r="E474" s="86" t="s">
        <v>2606</v>
      </c>
      <c r="F474" s="14">
        <v>1</v>
      </c>
      <c r="G474" s="14"/>
      <c r="H474" s="14"/>
    </row>
    <row r="475" spans="1:8">
      <c r="A475" s="42">
        <v>46062</v>
      </c>
      <c r="B475" s="14" t="s">
        <v>258</v>
      </c>
      <c r="C475" s="14" t="s">
        <v>3070</v>
      </c>
      <c r="D475" s="14" t="s">
        <v>2584</v>
      </c>
      <c r="E475" s="86" t="s">
        <v>2606</v>
      </c>
      <c r="F475" s="14">
        <v>1</v>
      </c>
      <c r="G475" s="14"/>
      <c r="H475" s="14"/>
    </row>
    <row r="476" spans="1:8">
      <c r="A476" s="42">
        <v>46062</v>
      </c>
      <c r="B476" s="14" t="s">
        <v>258</v>
      </c>
      <c r="C476" s="14" t="s">
        <v>3071</v>
      </c>
      <c r="D476" s="14" t="s">
        <v>2584</v>
      </c>
      <c r="E476" s="86" t="s">
        <v>2606</v>
      </c>
      <c r="F476" s="14">
        <v>1</v>
      </c>
      <c r="G476" s="14"/>
      <c r="H476" s="14"/>
    </row>
    <row r="477" spans="1:8">
      <c r="A477" s="42">
        <v>46062</v>
      </c>
      <c r="B477" s="14" t="s">
        <v>258</v>
      </c>
      <c r="C477" s="14" t="s">
        <v>3072</v>
      </c>
      <c r="D477" s="14" t="s">
        <v>2584</v>
      </c>
      <c r="E477" s="86" t="s">
        <v>2606</v>
      </c>
      <c r="F477" s="14">
        <v>1</v>
      </c>
      <c r="G477" s="14"/>
      <c r="H477" s="14"/>
    </row>
    <row r="478" spans="1:8">
      <c r="A478" s="42">
        <v>46062</v>
      </c>
      <c r="B478" s="14" t="s">
        <v>258</v>
      </c>
      <c r="C478" s="14" t="s">
        <v>3073</v>
      </c>
      <c r="D478" s="14" t="s">
        <v>2584</v>
      </c>
      <c r="E478" s="86" t="s">
        <v>2606</v>
      </c>
      <c r="F478" s="14">
        <v>1</v>
      </c>
      <c r="G478" s="14"/>
      <c r="H478" s="14"/>
    </row>
    <row r="479" spans="1:8">
      <c r="A479" s="42">
        <v>46062</v>
      </c>
      <c r="B479" s="14" t="s">
        <v>258</v>
      </c>
      <c r="C479" s="14" t="s">
        <v>3074</v>
      </c>
      <c r="D479" s="14" t="s">
        <v>2584</v>
      </c>
      <c r="E479" s="86" t="s">
        <v>2606</v>
      </c>
      <c r="F479" s="14">
        <v>1</v>
      </c>
      <c r="G479" s="14"/>
      <c r="H479" s="14"/>
    </row>
    <row r="480" spans="1:8">
      <c r="A480" s="42">
        <v>46062</v>
      </c>
      <c r="B480" s="14" t="s">
        <v>258</v>
      </c>
      <c r="C480" s="14" t="s">
        <v>3075</v>
      </c>
      <c r="D480" s="14" t="s">
        <v>2584</v>
      </c>
      <c r="E480" s="86" t="s">
        <v>2606</v>
      </c>
      <c r="F480" s="14">
        <v>1</v>
      </c>
      <c r="G480" s="14"/>
      <c r="H480" s="14"/>
    </row>
    <row r="481" spans="1:8">
      <c r="A481" s="42">
        <v>46062</v>
      </c>
      <c r="B481" s="14" t="s">
        <v>258</v>
      </c>
      <c r="C481" s="14" t="s">
        <v>3076</v>
      </c>
      <c r="D481" s="14" t="s">
        <v>2584</v>
      </c>
      <c r="E481" s="86" t="s">
        <v>2606</v>
      </c>
      <c r="F481" s="14">
        <v>1</v>
      </c>
      <c r="G481" s="14"/>
      <c r="H481" s="14"/>
    </row>
    <row r="482" spans="1:8">
      <c r="A482" s="42">
        <v>46062</v>
      </c>
      <c r="B482" s="14" t="s">
        <v>258</v>
      </c>
      <c r="C482" s="14" t="s">
        <v>3077</v>
      </c>
      <c r="D482" s="14" t="s">
        <v>2584</v>
      </c>
      <c r="E482" s="86" t="s">
        <v>2606</v>
      </c>
      <c r="F482" s="14">
        <v>1</v>
      </c>
      <c r="G482" s="14"/>
      <c r="H482" s="14"/>
    </row>
    <row r="483" spans="1:8">
      <c r="A483" s="42">
        <v>46062</v>
      </c>
      <c r="B483" s="14" t="s">
        <v>258</v>
      </c>
      <c r="C483" s="14" t="s">
        <v>3078</v>
      </c>
      <c r="D483" s="14" t="s">
        <v>2584</v>
      </c>
      <c r="E483" s="86" t="s">
        <v>2606</v>
      </c>
      <c r="F483" s="14">
        <v>1</v>
      </c>
      <c r="G483" s="14"/>
      <c r="H483" s="14"/>
    </row>
    <row r="484" spans="1:8">
      <c r="A484" s="42">
        <v>46062</v>
      </c>
      <c r="B484" s="14" t="s">
        <v>258</v>
      </c>
      <c r="C484" s="14" t="s">
        <v>3079</v>
      </c>
      <c r="D484" s="14" t="s">
        <v>2584</v>
      </c>
      <c r="E484" s="86" t="s">
        <v>2606</v>
      </c>
      <c r="F484" s="14">
        <v>1</v>
      </c>
      <c r="G484" s="14"/>
      <c r="H484" s="14"/>
    </row>
    <row r="485" spans="1:8">
      <c r="A485" s="42">
        <v>46062</v>
      </c>
      <c r="B485" s="14" t="s">
        <v>258</v>
      </c>
      <c r="C485" s="14" t="s">
        <v>3080</v>
      </c>
      <c r="D485" s="14" t="s">
        <v>2584</v>
      </c>
      <c r="E485" s="86" t="s">
        <v>2606</v>
      </c>
      <c r="F485" s="14">
        <v>1</v>
      </c>
      <c r="G485" s="14"/>
      <c r="H485" s="14"/>
    </row>
    <row r="486" spans="1:8">
      <c r="A486" s="42">
        <v>46062</v>
      </c>
      <c r="B486" s="14" t="s">
        <v>258</v>
      </c>
      <c r="C486" s="14" t="s">
        <v>3081</v>
      </c>
      <c r="D486" s="14" t="s">
        <v>2584</v>
      </c>
      <c r="E486" s="86" t="s">
        <v>2606</v>
      </c>
      <c r="F486" s="14">
        <v>1</v>
      </c>
      <c r="G486" s="14"/>
      <c r="H486" s="14"/>
    </row>
    <row r="487" spans="1:8">
      <c r="A487" s="42">
        <v>46062</v>
      </c>
      <c r="B487" s="14" t="s">
        <v>258</v>
      </c>
      <c r="C487" s="14" t="s">
        <v>3082</v>
      </c>
      <c r="D487" s="14" t="s">
        <v>2584</v>
      </c>
      <c r="E487" s="86" t="s">
        <v>2606</v>
      </c>
      <c r="F487" s="14">
        <v>1</v>
      </c>
      <c r="G487" s="14"/>
      <c r="H487" s="14"/>
    </row>
    <row r="488" spans="1:8">
      <c r="A488" s="42">
        <v>46062</v>
      </c>
      <c r="B488" s="14" t="s">
        <v>258</v>
      </c>
      <c r="C488" s="14" t="s">
        <v>3083</v>
      </c>
      <c r="D488" s="14" t="s">
        <v>2584</v>
      </c>
      <c r="E488" s="86" t="s">
        <v>2606</v>
      </c>
      <c r="F488" s="14">
        <v>1</v>
      </c>
      <c r="G488" s="14"/>
      <c r="H488" s="14"/>
    </row>
    <row r="489" spans="1:8">
      <c r="A489" s="42">
        <v>46062</v>
      </c>
      <c r="B489" s="14" t="s">
        <v>258</v>
      </c>
      <c r="C489" s="14" t="s">
        <v>3084</v>
      </c>
      <c r="D489" s="14" t="s">
        <v>2584</v>
      </c>
      <c r="E489" s="86" t="s">
        <v>2606</v>
      </c>
      <c r="F489" s="14">
        <v>1</v>
      </c>
      <c r="G489" s="14"/>
      <c r="H489" s="14"/>
    </row>
    <row r="490" spans="1:8">
      <c r="A490" s="42">
        <v>46062</v>
      </c>
      <c r="B490" s="14" t="s">
        <v>258</v>
      </c>
      <c r="C490" s="14" t="s">
        <v>3085</v>
      </c>
      <c r="D490" s="14" t="s">
        <v>2584</v>
      </c>
      <c r="E490" s="86" t="s">
        <v>2606</v>
      </c>
      <c r="F490" s="14">
        <v>1</v>
      </c>
      <c r="G490" s="14"/>
      <c r="H490" s="14"/>
    </row>
    <row r="491" spans="1:8">
      <c r="A491" s="42">
        <v>46062</v>
      </c>
      <c r="B491" s="14" t="s">
        <v>258</v>
      </c>
      <c r="C491" s="14" t="s">
        <v>3086</v>
      </c>
      <c r="D491" s="14" t="s">
        <v>2584</v>
      </c>
      <c r="E491" s="86" t="s">
        <v>2606</v>
      </c>
      <c r="F491" s="14">
        <v>1</v>
      </c>
      <c r="G491" s="14"/>
      <c r="H491" s="14"/>
    </row>
    <row r="492" spans="1:8">
      <c r="A492" s="42">
        <v>46062</v>
      </c>
      <c r="B492" s="14" t="s">
        <v>258</v>
      </c>
      <c r="C492" s="14" t="s">
        <v>3087</v>
      </c>
      <c r="D492" s="14" t="s">
        <v>2584</v>
      </c>
      <c r="E492" s="86" t="s">
        <v>2606</v>
      </c>
      <c r="F492" s="14">
        <v>1</v>
      </c>
      <c r="G492" s="14"/>
      <c r="H492" s="14"/>
    </row>
    <row r="493" spans="1:8">
      <c r="A493" s="42">
        <v>46062</v>
      </c>
      <c r="B493" s="14" t="s">
        <v>258</v>
      </c>
      <c r="C493" s="14" t="s">
        <v>3088</v>
      </c>
      <c r="D493" s="14" t="s">
        <v>2584</v>
      </c>
      <c r="E493" s="86" t="s">
        <v>2606</v>
      </c>
      <c r="F493" s="14">
        <v>1</v>
      </c>
      <c r="G493" s="14"/>
      <c r="H493" s="14"/>
    </row>
    <row r="494" spans="1:8">
      <c r="A494" s="42">
        <v>46062</v>
      </c>
      <c r="B494" s="14" t="s">
        <v>258</v>
      </c>
      <c r="C494" s="14" t="s">
        <v>3089</v>
      </c>
      <c r="D494" s="14" t="s">
        <v>2584</v>
      </c>
      <c r="E494" s="86" t="s">
        <v>2606</v>
      </c>
      <c r="F494" s="14">
        <v>1</v>
      </c>
      <c r="G494" s="14"/>
      <c r="H494" s="14"/>
    </row>
    <row r="495" spans="1:8">
      <c r="A495" s="42">
        <v>46062</v>
      </c>
      <c r="B495" s="14" t="s">
        <v>258</v>
      </c>
      <c r="C495" s="14" t="s">
        <v>3090</v>
      </c>
      <c r="D495" s="14" t="s">
        <v>2584</v>
      </c>
      <c r="E495" s="86" t="s">
        <v>2606</v>
      </c>
      <c r="F495" s="14">
        <v>1</v>
      </c>
      <c r="G495" s="14"/>
      <c r="H495" s="14"/>
    </row>
    <row r="496" spans="1:8">
      <c r="A496" s="42">
        <v>46062</v>
      </c>
      <c r="B496" s="14" t="s">
        <v>258</v>
      </c>
      <c r="C496" s="14" t="s">
        <v>3091</v>
      </c>
      <c r="D496" s="14" t="s">
        <v>2584</v>
      </c>
      <c r="E496" s="86" t="s">
        <v>2606</v>
      </c>
      <c r="F496" s="14">
        <v>1</v>
      </c>
      <c r="G496" s="14"/>
      <c r="H496" s="14"/>
    </row>
    <row r="497" spans="1:8">
      <c r="A497" s="42">
        <v>46062</v>
      </c>
      <c r="B497" s="14" t="s">
        <v>258</v>
      </c>
      <c r="C497" s="14" t="s">
        <v>3092</v>
      </c>
      <c r="D497" s="14" t="s">
        <v>2584</v>
      </c>
      <c r="E497" s="86" t="s">
        <v>2606</v>
      </c>
      <c r="F497" s="14">
        <v>1</v>
      </c>
      <c r="G497" s="14"/>
      <c r="H497" s="14"/>
    </row>
    <row r="498" spans="1:8">
      <c r="A498" s="42">
        <v>46062</v>
      </c>
      <c r="B498" s="14" t="s">
        <v>258</v>
      </c>
      <c r="C498" s="14" t="s">
        <v>3093</v>
      </c>
      <c r="D498" s="14" t="s">
        <v>2584</v>
      </c>
      <c r="E498" s="86" t="s">
        <v>2606</v>
      </c>
      <c r="F498" s="14">
        <v>1</v>
      </c>
      <c r="G498" s="14"/>
      <c r="H498" s="14"/>
    </row>
    <row r="499" spans="1:8">
      <c r="A499" s="42">
        <v>46062</v>
      </c>
      <c r="B499" s="14" t="s">
        <v>258</v>
      </c>
      <c r="C499" s="14" t="s">
        <v>3094</v>
      </c>
      <c r="D499" s="14" t="s">
        <v>2584</v>
      </c>
      <c r="E499" s="86" t="s">
        <v>2606</v>
      </c>
      <c r="F499" s="14">
        <v>1</v>
      </c>
      <c r="G499" s="14"/>
      <c r="H499" s="14"/>
    </row>
    <row r="500" spans="1:8">
      <c r="A500" s="42">
        <v>46062</v>
      </c>
      <c r="B500" s="14" t="s">
        <v>457</v>
      </c>
      <c r="C500" s="14" t="s">
        <v>3095</v>
      </c>
      <c r="D500" s="14" t="s">
        <v>2539</v>
      </c>
      <c r="E500" s="86" t="s">
        <v>2606</v>
      </c>
      <c r="F500" s="11">
        <v>1</v>
      </c>
      <c r="G500" s="11" t="s">
        <v>3326</v>
      </c>
      <c r="H500" s="14"/>
    </row>
    <row r="501" spans="1:8">
      <c r="A501" s="42">
        <v>46062</v>
      </c>
      <c r="B501" s="14" t="s">
        <v>457</v>
      </c>
      <c r="C501" s="14" t="s">
        <v>3096</v>
      </c>
      <c r="D501" s="14" t="s">
        <v>2539</v>
      </c>
      <c r="E501" s="86" t="s">
        <v>2606</v>
      </c>
      <c r="F501" s="11">
        <v>1</v>
      </c>
      <c r="G501" s="11" t="s">
        <v>1464</v>
      </c>
      <c r="H501" s="14"/>
    </row>
    <row r="502" spans="1:8">
      <c r="A502" s="42">
        <v>46062</v>
      </c>
      <c r="B502" s="14" t="s">
        <v>457</v>
      </c>
      <c r="C502" s="14" t="s">
        <v>3097</v>
      </c>
      <c r="D502" s="14" t="s">
        <v>2539</v>
      </c>
      <c r="E502" s="86" t="s">
        <v>2606</v>
      </c>
      <c r="F502" s="11">
        <v>1</v>
      </c>
      <c r="G502" s="11" t="s">
        <v>1231</v>
      </c>
      <c r="H502" s="14"/>
    </row>
    <row r="503" spans="1:8">
      <c r="A503" s="42">
        <v>46062</v>
      </c>
      <c r="B503" s="14" t="s">
        <v>457</v>
      </c>
      <c r="C503" s="14" t="s">
        <v>3098</v>
      </c>
      <c r="D503" s="14" t="s">
        <v>2539</v>
      </c>
      <c r="E503" s="86" t="s">
        <v>2606</v>
      </c>
      <c r="F503" s="14">
        <v>1</v>
      </c>
      <c r="G503" s="14"/>
      <c r="H503" s="14"/>
    </row>
    <row r="504" spans="1:8">
      <c r="A504" s="42">
        <v>46062</v>
      </c>
      <c r="B504" s="14" t="s">
        <v>457</v>
      </c>
      <c r="C504" s="14" t="s">
        <v>3099</v>
      </c>
      <c r="D504" s="14" t="s">
        <v>2539</v>
      </c>
      <c r="E504" s="86" t="s">
        <v>2606</v>
      </c>
      <c r="F504" s="14">
        <v>1</v>
      </c>
      <c r="G504" s="14"/>
      <c r="H504" s="14"/>
    </row>
    <row r="505" spans="1:8">
      <c r="A505" s="42">
        <v>46062</v>
      </c>
      <c r="B505" s="14" t="s">
        <v>457</v>
      </c>
      <c r="C505" s="14" t="s">
        <v>3100</v>
      </c>
      <c r="D505" s="14" t="s">
        <v>2539</v>
      </c>
      <c r="E505" s="86" t="s">
        <v>2606</v>
      </c>
      <c r="F505" s="14">
        <v>1</v>
      </c>
      <c r="G505" s="14"/>
      <c r="H505" s="14"/>
    </row>
    <row r="506" spans="1:8">
      <c r="A506" s="42">
        <v>46062</v>
      </c>
      <c r="B506" s="14" t="s">
        <v>457</v>
      </c>
      <c r="C506" s="14" t="s">
        <v>3101</v>
      </c>
      <c r="D506" s="14" t="s">
        <v>2539</v>
      </c>
      <c r="E506" s="86" t="s">
        <v>2606</v>
      </c>
      <c r="F506" s="14">
        <v>1</v>
      </c>
      <c r="G506" s="14"/>
      <c r="H506" s="14"/>
    </row>
    <row r="507" spans="1:8">
      <c r="A507" s="42">
        <v>46062</v>
      </c>
      <c r="B507" s="14" t="s">
        <v>457</v>
      </c>
      <c r="C507" s="14" t="s">
        <v>3102</v>
      </c>
      <c r="D507" s="14" t="s">
        <v>2539</v>
      </c>
      <c r="E507" s="86" t="s">
        <v>2606</v>
      </c>
      <c r="F507" s="149">
        <v>1</v>
      </c>
      <c r="G507" s="86" t="s">
        <v>472</v>
      </c>
      <c r="H507" s="14"/>
    </row>
    <row r="508" spans="1:8">
      <c r="A508" s="42">
        <v>46062</v>
      </c>
      <c r="B508" s="14" t="s">
        <v>457</v>
      </c>
      <c r="C508" s="14" t="s">
        <v>3103</v>
      </c>
      <c r="D508" s="14" t="s">
        <v>2539</v>
      </c>
      <c r="E508" s="86" t="s">
        <v>2606</v>
      </c>
      <c r="F508" s="14">
        <v>1</v>
      </c>
      <c r="G508" s="14"/>
      <c r="H508" s="14"/>
    </row>
    <row r="509" spans="1:8">
      <c r="A509" s="42">
        <v>46062</v>
      </c>
      <c r="B509" s="14" t="s">
        <v>457</v>
      </c>
      <c r="C509" s="14" t="s">
        <v>3104</v>
      </c>
      <c r="D509" s="14" t="s">
        <v>2539</v>
      </c>
      <c r="E509" s="86" t="s">
        <v>2606</v>
      </c>
      <c r="F509" s="14">
        <v>1</v>
      </c>
      <c r="G509" s="14"/>
      <c r="H509" s="14"/>
    </row>
    <row r="510" spans="1:8">
      <c r="A510" s="42">
        <v>46062</v>
      </c>
      <c r="B510" s="14" t="s">
        <v>457</v>
      </c>
      <c r="C510" s="14" t="s">
        <v>3105</v>
      </c>
      <c r="D510" s="14" t="s">
        <v>2539</v>
      </c>
      <c r="E510" s="86" t="s">
        <v>2606</v>
      </c>
      <c r="F510" s="11">
        <v>1</v>
      </c>
      <c r="G510" s="11" t="s">
        <v>3374</v>
      </c>
      <c r="H510" s="14"/>
    </row>
    <row r="511" spans="1:8">
      <c r="A511" s="42">
        <v>46062</v>
      </c>
      <c r="B511" s="14" t="s">
        <v>457</v>
      </c>
      <c r="C511" s="14" t="s">
        <v>3106</v>
      </c>
      <c r="D511" s="14" t="s">
        <v>2539</v>
      </c>
      <c r="E511" s="86" t="s">
        <v>2606</v>
      </c>
      <c r="F511" s="11">
        <v>1</v>
      </c>
      <c r="G511" s="11" t="s">
        <v>3367</v>
      </c>
      <c r="H511" s="14"/>
    </row>
    <row r="512" spans="1:8">
      <c r="A512" s="42">
        <v>46062</v>
      </c>
      <c r="B512" s="14" t="s">
        <v>457</v>
      </c>
      <c r="C512" s="14" t="s">
        <v>3107</v>
      </c>
      <c r="D512" s="14" t="s">
        <v>2539</v>
      </c>
      <c r="E512" s="86" t="s">
        <v>2606</v>
      </c>
      <c r="F512" s="11">
        <v>1</v>
      </c>
      <c r="G512" s="11" t="s">
        <v>3319</v>
      </c>
      <c r="H512" s="14"/>
    </row>
    <row r="513" spans="1:8">
      <c r="A513" s="42">
        <v>46062</v>
      </c>
      <c r="B513" s="14" t="s">
        <v>457</v>
      </c>
      <c r="C513" s="14" t="s">
        <v>3108</v>
      </c>
      <c r="D513" s="14" t="s">
        <v>2539</v>
      </c>
      <c r="E513" s="86" t="s">
        <v>2606</v>
      </c>
      <c r="F513" s="14">
        <v>1</v>
      </c>
      <c r="G513" s="14"/>
      <c r="H513" s="14"/>
    </row>
    <row r="514" spans="1:8">
      <c r="A514" s="42">
        <v>46062</v>
      </c>
      <c r="B514" s="14" t="s">
        <v>457</v>
      </c>
      <c r="C514" s="14" t="s">
        <v>3109</v>
      </c>
      <c r="D514" s="14" t="s">
        <v>2539</v>
      </c>
      <c r="E514" s="86" t="s">
        <v>2606</v>
      </c>
      <c r="F514" s="14">
        <v>1</v>
      </c>
      <c r="G514" s="14"/>
      <c r="H514" s="14"/>
    </row>
    <row r="515" spans="1:8">
      <c r="A515" s="42">
        <v>46062</v>
      </c>
      <c r="B515" s="14" t="s">
        <v>457</v>
      </c>
      <c r="C515" s="14" t="s">
        <v>3110</v>
      </c>
      <c r="D515" s="14" t="s">
        <v>2539</v>
      </c>
      <c r="E515" s="86" t="s">
        <v>2606</v>
      </c>
      <c r="F515" s="14">
        <v>1</v>
      </c>
      <c r="G515" s="14"/>
      <c r="H515" s="14"/>
    </row>
    <row r="516" spans="1:8">
      <c r="A516" s="42">
        <v>46062</v>
      </c>
      <c r="B516" s="14" t="s">
        <v>457</v>
      </c>
      <c r="C516" s="14" t="s">
        <v>3111</v>
      </c>
      <c r="D516" s="14" t="s">
        <v>2539</v>
      </c>
      <c r="E516" s="86" t="s">
        <v>2606</v>
      </c>
      <c r="F516" s="14">
        <v>1</v>
      </c>
      <c r="G516" s="14"/>
      <c r="H516" s="14"/>
    </row>
    <row r="517" spans="1:8">
      <c r="A517" s="42">
        <v>46062</v>
      </c>
      <c r="B517" s="14" t="s">
        <v>457</v>
      </c>
      <c r="C517" s="14" t="s">
        <v>3112</v>
      </c>
      <c r="D517" s="14" t="s">
        <v>2539</v>
      </c>
      <c r="E517" s="86" t="s">
        <v>2606</v>
      </c>
      <c r="F517" s="11">
        <v>1</v>
      </c>
      <c r="G517" s="11" t="s">
        <v>2270</v>
      </c>
      <c r="H517" s="14"/>
    </row>
    <row r="518" spans="1:8">
      <c r="A518" s="42">
        <v>46062</v>
      </c>
      <c r="B518" s="14" t="s">
        <v>457</v>
      </c>
      <c r="C518" s="14" t="s">
        <v>3113</v>
      </c>
      <c r="D518" s="14" t="s">
        <v>2539</v>
      </c>
      <c r="E518" s="86" t="s">
        <v>2606</v>
      </c>
      <c r="F518" s="14">
        <v>1</v>
      </c>
      <c r="G518" s="14"/>
      <c r="H518" s="14"/>
    </row>
    <row r="519" spans="1:8">
      <c r="A519" s="42">
        <v>46062</v>
      </c>
      <c r="B519" s="14" t="s">
        <v>457</v>
      </c>
      <c r="C519" s="14" t="s">
        <v>3114</v>
      </c>
      <c r="D519" s="14" t="s">
        <v>2539</v>
      </c>
      <c r="E519" s="86" t="s">
        <v>2606</v>
      </c>
      <c r="F519" s="14">
        <v>1</v>
      </c>
      <c r="G519" s="14"/>
      <c r="H519" s="14"/>
    </row>
    <row r="520" spans="1:8">
      <c r="A520" s="42">
        <v>46062</v>
      </c>
      <c r="B520" s="14" t="s">
        <v>457</v>
      </c>
      <c r="C520" s="14" t="s">
        <v>3115</v>
      </c>
      <c r="D520" s="14" t="s">
        <v>2539</v>
      </c>
      <c r="E520" s="86" t="s">
        <v>2606</v>
      </c>
      <c r="F520" s="14">
        <v>1</v>
      </c>
      <c r="G520" s="14"/>
      <c r="H520" s="14"/>
    </row>
    <row r="521" spans="1:8">
      <c r="A521" s="42">
        <v>46062</v>
      </c>
      <c r="B521" s="14" t="s">
        <v>457</v>
      </c>
      <c r="C521" s="14" t="s">
        <v>3116</v>
      </c>
      <c r="D521" s="14" t="s">
        <v>2539</v>
      </c>
      <c r="E521" s="86" t="s">
        <v>2606</v>
      </c>
      <c r="F521" s="14">
        <v>1</v>
      </c>
      <c r="G521" s="14"/>
      <c r="H521" s="14"/>
    </row>
    <row r="522" spans="1:8">
      <c r="A522" s="42">
        <v>46062</v>
      </c>
      <c r="B522" s="14" t="s">
        <v>457</v>
      </c>
      <c r="C522" s="14" t="s">
        <v>3117</v>
      </c>
      <c r="D522" s="14" t="s">
        <v>2539</v>
      </c>
      <c r="E522" s="86" t="s">
        <v>2606</v>
      </c>
      <c r="F522" s="14">
        <v>1</v>
      </c>
      <c r="G522" s="14"/>
      <c r="H522" s="14"/>
    </row>
    <row r="523" spans="1:8">
      <c r="A523" s="42">
        <v>46062</v>
      </c>
      <c r="B523" s="14" t="s">
        <v>457</v>
      </c>
      <c r="C523" s="14" t="s">
        <v>3118</v>
      </c>
      <c r="D523" s="14" t="s">
        <v>2539</v>
      </c>
      <c r="E523" s="86" t="s">
        <v>2606</v>
      </c>
      <c r="F523" s="14">
        <v>1</v>
      </c>
      <c r="G523" s="14"/>
      <c r="H523" s="14"/>
    </row>
    <row r="524" spans="1:8">
      <c r="A524" s="42">
        <v>46062</v>
      </c>
      <c r="B524" s="14" t="s">
        <v>457</v>
      </c>
      <c r="C524" s="14" t="s">
        <v>3119</v>
      </c>
      <c r="D524" s="14" t="s">
        <v>2539</v>
      </c>
      <c r="E524" s="14" t="s">
        <v>2606</v>
      </c>
      <c r="F524" s="14">
        <v>1</v>
      </c>
      <c r="G524" s="14"/>
      <c r="H524" s="14"/>
    </row>
    <row r="525" spans="1:8">
      <c r="A525" s="42">
        <v>46062</v>
      </c>
      <c r="B525" s="14" t="s">
        <v>457</v>
      </c>
      <c r="C525" s="14" t="s">
        <v>3120</v>
      </c>
      <c r="D525" s="14" t="s">
        <v>2539</v>
      </c>
      <c r="E525" s="14" t="s">
        <v>2606</v>
      </c>
      <c r="F525" s="14">
        <v>1</v>
      </c>
      <c r="G525" s="14"/>
      <c r="H525" s="14"/>
    </row>
    <row r="526" spans="1:8">
      <c r="A526" s="42">
        <v>46062</v>
      </c>
      <c r="B526" s="14" t="s">
        <v>457</v>
      </c>
      <c r="C526" s="14" t="s">
        <v>3121</v>
      </c>
      <c r="D526" s="14" t="s">
        <v>2539</v>
      </c>
      <c r="E526" s="14" t="s">
        <v>2606</v>
      </c>
      <c r="F526" s="14">
        <v>1</v>
      </c>
      <c r="G526" s="14"/>
      <c r="H526" s="14"/>
    </row>
    <row r="527" spans="1:8">
      <c r="A527" s="42">
        <v>46062</v>
      </c>
      <c r="B527" s="14" t="s">
        <v>457</v>
      </c>
      <c r="C527" s="14" t="s">
        <v>3122</v>
      </c>
      <c r="D527" s="14" t="s">
        <v>2539</v>
      </c>
      <c r="E527" s="14" t="s">
        <v>2606</v>
      </c>
      <c r="F527" s="14">
        <v>1</v>
      </c>
      <c r="G527" s="14"/>
      <c r="H527" s="14"/>
    </row>
    <row r="528" spans="1:8">
      <c r="A528" s="42">
        <v>46062</v>
      </c>
      <c r="B528" s="14" t="s">
        <v>457</v>
      </c>
      <c r="C528" s="14" t="s">
        <v>3123</v>
      </c>
      <c r="D528" s="14" t="s">
        <v>2539</v>
      </c>
      <c r="E528" s="11" t="s">
        <v>2606</v>
      </c>
      <c r="F528" s="11">
        <v>1</v>
      </c>
      <c r="G528" s="11" t="s">
        <v>2160</v>
      </c>
      <c r="H528" s="14"/>
    </row>
    <row r="529" spans="1:8">
      <c r="A529" s="42">
        <v>46062</v>
      </c>
      <c r="B529" s="14" t="s">
        <v>457</v>
      </c>
      <c r="C529" s="14" t="s">
        <v>3124</v>
      </c>
      <c r="D529" s="14" t="s">
        <v>2539</v>
      </c>
      <c r="E529" s="14" t="s">
        <v>2606</v>
      </c>
      <c r="F529" s="14">
        <v>1</v>
      </c>
      <c r="G529" s="14"/>
      <c r="H529" s="14"/>
    </row>
    <row r="530" spans="1:8">
      <c r="A530" s="42">
        <v>46062</v>
      </c>
      <c r="B530" s="14" t="s">
        <v>457</v>
      </c>
      <c r="C530" s="14" t="s">
        <v>3125</v>
      </c>
      <c r="D530" s="14" t="s">
        <v>2539</v>
      </c>
      <c r="E530" s="11" t="s">
        <v>2606</v>
      </c>
      <c r="F530" s="10">
        <v>1</v>
      </c>
      <c r="G530" s="11" t="s">
        <v>2396</v>
      </c>
      <c r="H530" s="14"/>
    </row>
    <row r="531" spans="1:8">
      <c r="A531" s="42">
        <v>46062</v>
      </c>
      <c r="B531" s="14" t="s">
        <v>457</v>
      </c>
      <c r="C531" s="14" t="s">
        <v>3126</v>
      </c>
      <c r="D531" s="14" t="s">
        <v>2539</v>
      </c>
      <c r="E531" s="11" t="s">
        <v>2606</v>
      </c>
      <c r="F531" s="10">
        <v>1</v>
      </c>
      <c r="G531" s="11" t="s">
        <v>2091</v>
      </c>
      <c r="H531" s="14"/>
    </row>
    <row r="532" spans="1:8">
      <c r="A532" s="42">
        <v>46062</v>
      </c>
      <c r="B532" s="14" t="s">
        <v>457</v>
      </c>
      <c r="C532" s="14" t="s">
        <v>3127</v>
      </c>
      <c r="D532" s="14" t="s">
        <v>2539</v>
      </c>
      <c r="E532" s="14" t="s">
        <v>2606</v>
      </c>
      <c r="F532" s="14">
        <v>1</v>
      </c>
      <c r="G532" s="14"/>
      <c r="H532" s="14"/>
    </row>
    <row r="533" spans="1:8">
      <c r="A533" s="42">
        <v>46062</v>
      </c>
      <c r="B533" s="14" t="s">
        <v>457</v>
      </c>
      <c r="C533" s="14" t="s">
        <v>3128</v>
      </c>
      <c r="D533" s="10" t="s">
        <v>2539</v>
      </c>
      <c r="E533" s="10" t="s">
        <v>2606</v>
      </c>
      <c r="F533" s="10">
        <v>1</v>
      </c>
      <c r="G533" s="10" t="s">
        <v>1866</v>
      </c>
      <c r="H533" s="14"/>
    </row>
    <row r="534" spans="1:8">
      <c r="A534" s="42">
        <v>46062</v>
      </c>
      <c r="B534" s="14" t="s">
        <v>457</v>
      </c>
      <c r="C534" s="14" t="s">
        <v>3129</v>
      </c>
      <c r="D534" s="14" t="s">
        <v>2539</v>
      </c>
      <c r="E534" s="14" t="s">
        <v>2606</v>
      </c>
      <c r="F534" s="14">
        <v>1</v>
      </c>
      <c r="G534" s="14"/>
      <c r="H534" s="14"/>
    </row>
    <row r="535" spans="1:8">
      <c r="A535" s="42">
        <v>46062</v>
      </c>
      <c r="B535" s="14" t="s">
        <v>457</v>
      </c>
      <c r="C535" s="14" t="s">
        <v>3130</v>
      </c>
      <c r="D535" s="10" t="s">
        <v>2539</v>
      </c>
      <c r="E535" s="10" t="s">
        <v>2606</v>
      </c>
      <c r="F535" s="10">
        <v>1</v>
      </c>
      <c r="G535" s="10" t="s">
        <v>2076</v>
      </c>
      <c r="H535" s="14"/>
    </row>
    <row r="536" spans="1:8">
      <c r="A536" s="42">
        <v>46062</v>
      </c>
      <c r="B536" s="14" t="s">
        <v>457</v>
      </c>
      <c r="C536" s="14" t="s">
        <v>3131</v>
      </c>
      <c r="D536" s="14" t="s">
        <v>2539</v>
      </c>
      <c r="E536" s="14" t="s">
        <v>2606</v>
      </c>
      <c r="F536" s="14">
        <v>1</v>
      </c>
      <c r="G536" s="14"/>
      <c r="H536" s="14"/>
    </row>
    <row r="537" spans="1:8">
      <c r="A537" s="42">
        <v>46062</v>
      </c>
      <c r="B537" s="14" t="s">
        <v>457</v>
      </c>
      <c r="C537" s="14" t="s">
        <v>3132</v>
      </c>
      <c r="D537" s="14" t="s">
        <v>2539</v>
      </c>
      <c r="E537" s="11" t="s">
        <v>2606</v>
      </c>
      <c r="F537" s="10">
        <v>1</v>
      </c>
      <c r="G537" s="10" t="s">
        <v>2301</v>
      </c>
      <c r="H537" s="14"/>
    </row>
    <row r="538" spans="1:8">
      <c r="A538" s="42">
        <v>46062</v>
      </c>
      <c r="B538" s="14" t="s">
        <v>457</v>
      </c>
      <c r="C538" s="14" t="s">
        <v>3133</v>
      </c>
      <c r="D538" s="14" t="s">
        <v>2539</v>
      </c>
      <c r="E538" s="14" t="s">
        <v>2606</v>
      </c>
      <c r="F538" s="14">
        <v>1</v>
      </c>
      <c r="G538" s="14"/>
      <c r="H538" s="14"/>
    </row>
    <row r="539" spans="1:8">
      <c r="A539" s="42">
        <v>46062</v>
      </c>
      <c r="B539" s="14" t="s">
        <v>457</v>
      </c>
      <c r="C539" s="14" t="s">
        <v>3134</v>
      </c>
      <c r="D539" s="14" t="s">
        <v>2539</v>
      </c>
      <c r="E539" s="14" t="s">
        <v>2606</v>
      </c>
      <c r="F539" s="14">
        <v>1</v>
      </c>
      <c r="G539" s="14"/>
      <c r="H539" s="14"/>
    </row>
    <row r="540" spans="1:8">
      <c r="A540" s="42">
        <v>46062</v>
      </c>
      <c r="B540" s="14" t="s">
        <v>457</v>
      </c>
      <c r="C540" s="14" t="s">
        <v>3135</v>
      </c>
      <c r="D540" s="14" t="s">
        <v>2539</v>
      </c>
      <c r="E540" s="11" t="s">
        <v>2606</v>
      </c>
      <c r="F540" s="10">
        <v>1</v>
      </c>
      <c r="G540" s="10" t="s">
        <v>2363</v>
      </c>
      <c r="H540" s="14"/>
    </row>
    <row r="541" spans="1:8">
      <c r="A541" s="42">
        <v>46062</v>
      </c>
      <c r="B541" s="14" t="s">
        <v>457</v>
      </c>
      <c r="C541" s="14" t="s">
        <v>3136</v>
      </c>
      <c r="D541" s="14" t="s">
        <v>2539</v>
      </c>
      <c r="E541" s="11" t="s">
        <v>2606</v>
      </c>
      <c r="F541" s="10">
        <v>1</v>
      </c>
      <c r="G541" s="10" t="s">
        <v>2365</v>
      </c>
      <c r="H541" s="14"/>
    </row>
    <row r="542" spans="1:8">
      <c r="A542" s="42">
        <v>46062</v>
      </c>
      <c r="B542" s="14" t="s">
        <v>457</v>
      </c>
      <c r="C542" s="14" t="s">
        <v>3137</v>
      </c>
      <c r="D542" s="14" t="s">
        <v>2539</v>
      </c>
      <c r="E542" s="11" t="s">
        <v>2606</v>
      </c>
      <c r="F542" s="10">
        <v>1</v>
      </c>
      <c r="G542" s="10" t="s">
        <v>1740</v>
      </c>
      <c r="H542" s="14"/>
    </row>
    <row r="543" spans="1:8">
      <c r="A543" s="42">
        <v>46062</v>
      </c>
      <c r="B543" s="14" t="s">
        <v>457</v>
      </c>
      <c r="C543" s="14" t="s">
        <v>3138</v>
      </c>
      <c r="D543" s="14" t="s">
        <v>2539</v>
      </c>
      <c r="E543" s="11" t="s">
        <v>2606</v>
      </c>
      <c r="F543" s="10">
        <v>1</v>
      </c>
      <c r="G543" s="86" t="s">
        <v>2299</v>
      </c>
      <c r="H543" s="14"/>
    </row>
    <row r="544" spans="1:8">
      <c r="A544" s="42">
        <v>46062</v>
      </c>
      <c r="B544" s="14" t="s">
        <v>457</v>
      </c>
      <c r="C544" s="14" t="s">
        <v>3139</v>
      </c>
      <c r="D544" s="14" t="s">
        <v>2539</v>
      </c>
      <c r="E544" s="11" t="s">
        <v>2606</v>
      </c>
      <c r="F544" s="10">
        <v>1</v>
      </c>
      <c r="G544" s="86" t="s">
        <v>2399</v>
      </c>
      <c r="H544" s="14"/>
    </row>
    <row r="545" spans="1:9">
      <c r="A545" s="42">
        <v>46062</v>
      </c>
      <c r="B545" s="14" t="s">
        <v>457</v>
      </c>
      <c r="C545" s="14" t="s">
        <v>3140</v>
      </c>
      <c r="D545" s="14" t="s">
        <v>2539</v>
      </c>
      <c r="E545" s="86" t="s">
        <v>2606</v>
      </c>
      <c r="F545" s="14">
        <v>1</v>
      </c>
      <c r="G545" s="86"/>
      <c r="H545" s="14"/>
    </row>
    <row r="546" spans="1:9">
      <c r="A546" s="42">
        <v>46062</v>
      </c>
      <c r="B546" s="14" t="s">
        <v>457</v>
      </c>
      <c r="C546" s="14" t="s">
        <v>3141</v>
      </c>
      <c r="D546" s="14" t="s">
        <v>2539</v>
      </c>
      <c r="E546" s="11" t="s">
        <v>2606</v>
      </c>
      <c r="F546" s="10">
        <v>1</v>
      </c>
      <c r="G546" s="86" t="s">
        <v>1790</v>
      </c>
      <c r="H546" s="14"/>
    </row>
    <row r="547" spans="1:9">
      <c r="A547" s="42">
        <v>46062</v>
      </c>
      <c r="B547" s="14" t="s">
        <v>457</v>
      </c>
      <c r="C547" s="14" t="s">
        <v>3142</v>
      </c>
      <c r="D547" s="14" t="s">
        <v>2539</v>
      </c>
      <c r="E547" s="11" t="s">
        <v>2606</v>
      </c>
      <c r="F547" s="10">
        <v>1</v>
      </c>
      <c r="G547" s="86" t="s">
        <v>1756</v>
      </c>
      <c r="H547" s="14"/>
    </row>
    <row r="548" spans="1:9">
      <c r="A548" s="42">
        <v>46062</v>
      </c>
      <c r="B548" s="14" t="s">
        <v>457</v>
      </c>
      <c r="C548" s="14" t="s">
        <v>3143</v>
      </c>
      <c r="D548" s="14" t="s">
        <v>2539</v>
      </c>
      <c r="E548" s="11" t="s">
        <v>2606</v>
      </c>
      <c r="F548" s="10">
        <v>1</v>
      </c>
      <c r="G548" s="86" t="s">
        <v>1612</v>
      </c>
      <c r="H548" s="14"/>
    </row>
    <row r="549" spans="1:9">
      <c r="A549" s="42">
        <v>46062</v>
      </c>
      <c r="B549" s="14" t="s">
        <v>457</v>
      </c>
      <c r="C549" s="14" t="s">
        <v>3144</v>
      </c>
      <c r="D549" s="14" t="s">
        <v>2539</v>
      </c>
      <c r="E549" s="11" t="s">
        <v>2606</v>
      </c>
      <c r="F549" s="10">
        <v>1</v>
      </c>
      <c r="G549" s="86" t="s">
        <v>1743</v>
      </c>
      <c r="H549" s="14"/>
    </row>
    <row r="550" spans="1:9">
      <c r="A550" s="42">
        <v>46062</v>
      </c>
      <c r="B550" s="14" t="s">
        <v>457</v>
      </c>
      <c r="C550" s="14" t="s">
        <v>3145</v>
      </c>
      <c r="D550" s="14" t="s">
        <v>2539</v>
      </c>
      <c r="E550" s="11" t="s">
        <v>2606</v>
      </c>
      <c r="F550" s="10">
        <v>1</v>
      </c>
      <c r="G550" s="86" t="s">
        <v>1630</v>
      </c>
      <c r="H550" s="14"/>
    </row>
    <row r="551" spans="1:9">
      <c r="A551" s="42">
        <v>46062</v>
      </c>
      <c r="B551" s="14" t="s">
        <v>457</v>
      </c>
      <c r="C551" s="14" t="s">
        <v>3146</v>
      </c>
      <c r="D551" s="14" t="s">
        <v>2539</v>
      </c>
      <c r="E551" s="11" t="s">
        <v>2606</v>
      </c>
      <c r="F551" s="10">
        <v>1</v>
      </c>
      <c r="G551" s="86" t="s">
        <v>1877</v>
      </c>
      <c r="H551" s="14"/>
    </row>
    <row r="552" spans="1:9">
      <c r="A552" s="42">
        <v>46062</v>
      </c>
      <c r="B552" s="14" t="s">
        <v>457</v>
      </c>
      <c r="C552" s="14" t="s">
        <v>3147</v>
      </c>
      <c r="D552" s="14" t="s">
        <v>2539</v>
      </c>
      <c r="E552" s="11" t="s">
        <v>2606</v>
      </c>
      <c r="F552" s="10">
        <v>1</v>
      </c>
      <c r="G552" s="10" t="s">
        <v>1682</v>
      </c>
      <c r="H552" s="14"/>
    </row>
    <row r="553" spans="1:9">
      <c r="A553" s="42">
        <v>46062</v>
      </c>
      <c r="B553" s="14" t="s">
        <v>457</v>
      </c>
      <c r="C553" s="14" t="s">
        <v>3148</v>
      </c>
      <c r="D553" s="14" t="s">
        <v>2539</v>
      </c>
      <c r="E553" s="14" t="s">
        <v>2606</v>
      </c>
      <c r="F553" s="14">
        <v>1</v>
      </c>
      <c r="G553" s="14"/>
      <c r="H553" s="14"/>
    </row>
    <row r="554" spans="1:9">
      <c r="A554" s="42">
        <v>46062</v>
      </c>
      <c r="B554" s="14" t="s">
        <v>457</v>
      </c>
      <c r="C554" s="14" t="s">
        <v>3149</v>
      </c>
      <c r="D554" s="14" t="s">
        <v>2539</v>
      </c>
      <c r="E554" s="14" t="s">
        <v>2606</v>
      </c>
      <c r="F554" s="14">
        <v>1</v>
      </c>
      <c r="G554" s="14"/>
      <c r="H554" s="14"/>
    </row>
    <row r="555" spans="1:9">
      <c r="A555" s="42">
        <v>46062</v>
      </c>
      <c r="B555" s="14" t="s">
        <v>457</v>
      </c>
      <c r="C555" s="14" t="s">
        <v>3150</v>
      </c>
      <c r="D555" s="14" t="s">
        <v>2539</v>
      </c>
      <c r="E555" s="14" t="s">
        <v>2606</v>
      </c>
      <c r="F555" s="14">
        <v>1</v>
      </c>
      <c r="G555" s="14"/>
      <c r="H555" s="14"/>
    </row>
    <row r="556" spans="1:9">
      <c r="A556" s="42">
        <v>46062</v>
      </c>
      <c r="B556" s="14" t="s">
        <v>457</v>
      </c>
      <c r="C556" s="14" t="s">
        <v>3151</v>
      </c>
      <c r="D556" s="14" t="s">
        <v>2539</v>
      </c>
      <c r="E556" s="11" t="s">
        <v>2606</v>
      </c>
      <c r="F556" s="10">
        <v>1</v>
      </c>
      <c r="G556" s="10" t="s">
        <v>1274</v>
      </c>
      <c r="H556" s="14"/>
    </row>
    <row r="557" spans="1:9">
      <c r="A557" s="42">
        <v>46062</v>
      </c>
      <c r="B557" s="14" t="s">
        <v>457</v>
      </c>
      <c r="C557" s="14" t="s">
        <v>3152</v>
      </c>
      <c r="D557" s="14" t="s">
        <v>2539</v>
      </c>
      <c r="E557" s="14" t="s">
        <v>2606</v>
      </c>
      <c r="F557" s="14">
        <v>1</v>
      </c>
      <c r="G557" s="14"/>
      <c r="H557" s="14"/>
      <c r="I557" s="7" t="s">
        <v>2687</v>
      </c>
    </row>
    <row r="558" spans="1:9">
      <c r="A558" s="42">
        <v>46062</v>
      </c>
      <c r="B558" s="14" t="s">
        <v>457</v>
      </c>
      <c r="C558" s="14" t="s">
        <v>3153</v>
      </c>
      <c r="D558" s="14" t="s">
        <v>2539</v>
      </c>
      <c r="E558" s="14" t="s">
        <v>2606</v>
      </c>
      <c r="F558" s="14">
        <v>1</v>
      </c>
      <c r="G558" s="14"/>
      <c r="H558" s="14"/>
    </row>
    <row r="559" spans="1:9">
      <c r="A559" s="42">
        <v>46062</v>
      </c>
      <c r="B559" s="14" t="s">
        <v>457</v>
      </c>
      <c r="C559" s="14" t="s">
        <v>3154</v>
      </c>
      <c r="D559" s="14" t="s">
        <v>2539</v>
      </c>
      <c r="E559" s="11" t="s">
        <v>2606</v>
      </c>
      <c r="F559" s="10">
        <v>1</v>
      </c>
      <c r="G559" s="10" t="s">
        <v>524</v>
      </c>
      <c r="H559" s="14"/>
    </row>
    <row r="560" spans="1:9">
      <c r="A560" s="42">
        <v>46062</v>
      </c>
      <c r="B560" s="14" t="s">
        <v>457</v>
      </c>
      <c r="C560" s="14" t="s">
        <v>3155</v>
      </c>
      <c r="D560" s="14" t="s">
        <v>2539</v>
      </c>
      <c r="E560" s="14" t="s">
        <v>2606</v>
      </c>
      <c r="F560" s="14">
        <v>1</v>
      </c>
      <c r="G560" s="14"/>
      <c r="H560" s="14"/>
    </row>
    <row r="561" spans="1:8">
      <c r="A561" s="42">
        <v>46062</v>
      </c>
      <c r="B561" s="14" t="s">
        <v>457</v>
      </c>
      <c r="C561" s="14" t="s">
        <v>3156</v>
      </c>
      <c r="D561" s="14" t="s">
        <v>2539</v>
      </c>
      <c r="E561" s="14" t="s">
        <v>2606</v>
      </c>
      <c r="F561" s="14">
        <v>1</v>
      </c>
      <c r="G561" s="14"/>
      <c r="H561" s="14"/>
    </row>
    <row r="562" spans="1:8">
      <c r="A562" s="42">
        <v>46062</v>
      </c>
      <c r="B562" s="14" t="s">
        <v>457</v>
      </c>
      <c r="C562" s="14" t="s">
        <v>3157</v>
      </c>
      <c r="D562" s="14" t="s">
        <v>2539</v>
      </c>
      <c r="E562" s="14" t="s">
        <v>2606</v>
      </c>
      <c r="F562" s="14">
        <v>1</v>
      </c>
      <c r="G562" s="14"/>
      <c r="H562" s="14"/>
    </row>
    <row r="563" spans="1:8">
      <c r="A563" s="42">
        <v>46062</v>
      </c>
      <c r="B563" s="14" t="s">
        <v>457</v>
      </c>
      <c r="C563" s="14" t="s">
        <v>3158</v>
      </c>
      <c r="D563" s="14" t="s">
        <v>2539</v>
      </c>
      <c r="E563" s="14" t="s">
        <v>2606</v>
      </c>
      <c r="F563" s="14">
        <v>1</v>
      </c>
      <c r="G563" s="14"/>
      <c r="H563" s="14"/>
    </row>
    <row r="564" spans="1:8">
      <c r="A564" s="42">
        <v>46062</v>
      </c>
      <c r="B564" s="14" t="s">
        <v>457</v>
      </c>
      <c r="C564" s="14" t="s">
        <v>3159</v>
      </c>
      <c r="D564" s="14" t="s">
        <v>2539</v>
      </c>
      <c r="E564" s="11" t="s">
        <v>2606</v>
      </c>
      <c r="F564" s="10">
        <v>1</v>
      </c>
      <c r="G564" s="10" t="s">
        <v>2408</v>
      </c>
      <c r="H564" s="14"/>
    </row>
    <row r="565" spans="1:8">
      <c r="A565" s="42">
        <v>46062</v>
      </c>
      <c r="B565" s="14" t="s">
        <v>457</v>
      </c>
      <c r="C565" s="14" t="s">
        <v>3160</v>
      </c>
      <c r="D565" s="14" t="s">
        <v>2539</v>
      </c>
      <c r="E565" s="11" t="s">
        <v>2606</v>
      </c>
      <c r="F565" s="10">
        <v>1</v>
      </c>
      <c r="G565" s="10" t="s">
        <v>1847</v>
      </c>
      <c r="H565" s="14"/>
    </row>
    <row r="566" spans="1:8">
      <c r="A566" s="42">
        <v>46062</v>
      </c>
      <c r="B566" s="14" t="s">
        <v>457</v>
      </c>
      <c r="C566" s="14" t="s">
        <v>3161</v>
      </c>
      <c r="D566" s="14" t="s">
        <v>2539</v>
      </c>
      <c r="E566" s="11" t="s">
        <v>2606</v>
      </c>
      <c r="F566" s="10">
        <v>1</v>
      </c>
      <c r="G566" s="10" t="s">
        <v>2261</v>
      </c>
      <c r="H566" s="14" t="s">
        <v>3162</v>
      </c>
    </row>
    <row r="567" spans="1:8">
      <c r="A567" s="42">
        <v>46062</v>
      </c>
      <c r="B567" s="14" t="s">
        <v>457</v>
      </c>
      <c r="C567" s="14" t="s">
        <v>3163</v>
      </c>
      <c r="D567" s="14" t="s">
        <v>2539</v>
      </c>
      <c r="E567" s="11" t="s">
        <v>2606</v>
      </c>
      <c r="F567" s="10">
        <v>1</v>
      </c>
      <c r="G567" s="10" t="s">
        <v>2273</v>
      </c>
      <c r="H567" s="14"/>
    </row>
    <row r="568" spans="1:8">
      <c r="A568" s="42">
        <v>46062</v>
      </c>
      <c r="B568" s="14" t="s">
        <v>457</v>
      </c>
      <c r="C568" s="14" t="s">
        <v>3164</v>
      </c>
      <c r="D568" s="14" t="s">
        <v>2539</v>
      </c>
      <c r="E568" s="11" t="s">
        <v>2606</v>
      </c>
      <c r="F568" s="10">
        <v>1</v>
      </c>
      <c r="G568" s="10" t="s">
        <v>2241</v>
      </c>
      <c r="H568" s="14"/>
    </row>
    <row r="569" spans="1:8">
      <c r="A569" s="42">
        <v>46062</v>
      </c>
      <c r="B569" s="14" t="s">
        <v>457</v>
      </c>
      <c r="C569" s="14" t="s">
        <v>3165</v>
      </c>
      <c r="D569" s="14" t="s">
        <v>2539</v>
      </c>
      <c r="E569" s="14" t="s">
        <v>2606</v>
      </c>
      <c r="F569" s="14">
        <v>1</v>
      </c>
      <c r="G569" s="14"/>
      <c r="H569" s="14"/>
    </row>
    <row r="570" spans="1:8">
      <c r="A570" s="42">
        <v>46062</v>
      </c>
      <c r="B570" s="14" t="s">
        <v>457</v>
      </c>
      <c r="C570" s="14" t="s">
        <v>3166</v>
      </c>
      <c r="D570" s="14" t="s">
        <v>2539</v>
      </c>
      <c r="E570" s="14" t="s">
        <v>2606</v>
      </c>
      <c r="F570" s="14">
        <v>1</v>
      </c>
      <c r="G570" s="14"/>
      <c r="H570" s="14"/>
    </row>
    <row r="571" spans="1:8">
      <c r="A571" s="42">
        <v>46062</v>
      </c>
      <c r="B571" s="14" t="s">
        <v>457</v>
      </c>
      <c r="C571" s="14" t="s">
        <v>3167</v>
      </c>
      <c r="D571" s="14" t="s">
        <v>2539</v>
      </c>
      <c r="E571" s="11" t="s">
        <v>2606</v>
      </c>
      <c r="F571" s="10">
        <v>1</v>
      </c>
      <c r="G571" s="10" t="s">
        <v>1764</v>
      </c>
      <c r="H571" s="14"/>
    </row>
    <row r="572" spans="1:8">
      <c r="A572" s="42">
        <v>46062</v>
      </c>
      <c r="B572" s="14" t="s">
        <v>457</v>
      </c>
      <c r="C572" s="14" t="s">
        <v>3168</v>
      </c>
      <c r="D572" s="14" t="s">
        <v>2539</v>
      </c>
      <c r="E572" s="14" t="s">
        <v>2606</v>
      </c>
      <c r="F572" s="14">
        <v>1</v>
      </c>
      <c r="G572" s="14"/>
      <c r="H572" s="14"/>
    </row>
    <row r="573" spans="1:8">
      <c r="A573" s="42">
        <v>46062</v>
      </c>
      <c r="B573" s="14" t="s">
        <v>457</v>
      </c>
      <c r="C573" s="14" t="s">
        <v>3169</v>
      </c>
      <c r="D573" s="14" t="s">
        <v>2539</v>
      </c>
      <c r="E573" s="14" t="s">
        <v>2606</v>
      </c>
      <c r="F573" s="14">
        <v>1</v>
      </c>
      <c r="G573" s="14"/>
      <c r="H573" s="14"/>
    </row>
    <row r="574" spans="1:8">
      <c r="A574" s="42">
        <v>46062</v>
      </c>
      <c r="B574" s="14" t="s">
        <v>457</v>
      </c>
      <c r="C574" s="14" t="s">
        <v>3170</v>
      </c>
      <c r="D574" s="10" t="s">
        <v>2539</v>
      </c>
      <c r="E574" s="14" t="s">
        <v>2606</v>
      </c>
      <c r="F574" s="14">
        <v>1</v>
      </c>
      <c r="G574" s="14" t="s">
        <v>1780</v>
      </c>
      <c r="H574" s="14"/>
    </row>
    <row r="575" spans="1:8">
      <c r="A575" s="42">
        <v>46062</v>
      </c>
      <c r="B575" s="14" t="s">
        <v>66</v>
      </c>
      <c r="C575" s="14" t="s">
        <v>3171</v>
      </c>
      <c r="D575" s="14" t="s">
        <v>2605</v>
      </c>
      <c r="E575" s="15" t="s">
        <v>2606</v>
      </c>
      <c r="F575" s="10">
        <v>1</v>
      </c>
      <c r="G575" s="10" t="s">
        <v>1734</v>
      </c>
      <c r="H575" s="14"/>
    </row>
    <row r="576" spans="1:8">
      <c r="A576" s="42">
        <v>46062</v>
      </c>
      <c r="B576" s="14" t="s">
        <v>66</v>
      </c>
      <c r="C576" s="14" t="s">
        <v>3172</v>
      </c>
      <c r="D576" s="14" t="s">
        <v>2605</v>
      </c>
      <c r="E576" s="15" t="s">
        <v>2606</v>
      </c>
      <c r="F576" s="10">
        <v>1</v>
      </c>
      <c r="G576" s="10" t="s">
        <v>1098</v>
      </c>
      <c r="H576" s="14"/>
    </row>
    <row r="577" spans="1:8">
      <c r="A577" s="42">
        <v>46062</v>
      </c>
      <c r="B577" s="14" t="s">
        <v>66</v>
      </c>
      <c r="C577" s="14" t="s">
        <v>3173</v>
      </c>
      <c r="D577" s="14" t="s">
        <v>2605</v>
      </c>
      <c r="E577" s="15" t="s">
        <v>2606</v>
      </c>
      <c r="F577" s="14">
        <v>1</v>
      </c>
      <c r="G577" s="14"/>
      <c r="H577" s="14"/>
    </row>
    <row r="578" spans="1:8">
      <c r="B578" s="14" t="s">
        <v>2714</v>
      </c>
      <c r="E578" s="8" t="s">
        <v>2540</v>
      </c>
      <c r="F578" s="8">
        <v>1</v>
      </c>
      <c r="G578" s="8" t="s">
        <v>2408</v>
      </c>
      <c r="H578" s="14"/>
    </row>
    <row r="579" spans="1:8">
      <c r="A579" s="42">
        <v>46066</v>
      </c>
      <c r="B579" s="14" t="s">
        <v>2722</v>
      </c>
      <c r="C579" s="14" t="s">
        <v>3174</v>
      </c>
      <c r="D579" s="14" t="s">
        <v>2549</v>
      </c>
      <c r="E579" s="14" t="s">
        <v>2550</v>
      </c>
      <c r="F579" s="14">
        <v>1</v>
      </c>
      <c r="G579" s="14"/>
      <c r="H579" s="14"/>
    </row>
    <row r="580" spans="1:8">
      <c r="A580" s="42">
        <v>46066</v>
      </c>
      <c r="B580" s="14" t="s">
        <v>2722</v>
      </c>
      <c r="C580" s="14" t="s">
        <v>3175</v>
      </c>
      <c r="D580" s="14" t="s">
        <v>2549</v>
      </c>
      <c r="E580" s="14" t="s">
        <v>2550</v>
      </c>
      <c r="F580" s="14">
        <v>1</v>
      </c>
      <c r="G580" s="14"/>
      <c r="H580" s="14"/>
    </row>
    <row r="581" spans="1:8">
      <c r="A581" s="42">
        <v>46066</v>
      </c>
      <c r="B581" s="14" t="s">
        <v>2722</v>
      </c>
      <c r="C581" s="14" t="s">
        <v>3176</v>
      </c>
      <c r="D581" s="14" t="s">
        <v>2549</v>
      </c>
      <c r="E581" s="14" t="s">
        <v>2550</v>
      </c>
      <c r="F581" s="14">
        <v>1</v>
      </c>
      <c r="G581" s="14"/>
      <c r="H581" s="14"/>
    </row>
    <row r="582" spans="1:8">
      <c r="A582" s="42">
        <v>46066</v>
      </c>
      <c r="B582" s="14" t="s">
        <v>2722</v>
      </c>
      <c r="C582" s="14" t="s">
        <v>3177</v>
      </c>
      <c r="D582" s="14" t="s">
        <v>2549</v>
      </c>
      <c r="E582" s="14" t="s">
        <v>2550</v>
      </c>
      <c r="F582" s="14">
        <v>1</v>
      </c>
      <c r="G582" s="14"/>
      <c r="H582" s="14"/>
    </row>
    <row r="583" spans="1:8">
      <c r="A583" s="42">
        <v>46066</v>
      </c>
      <c r="B583" s="14" t="s">
        <v>2722</v>
      </c>
      <c r="C583" s="14" t="s">
        <v>3178</v>
      </c>
      <c r="D583" s="14" t="s">
        <v>2549</v>
      </c>
      <c r="E583" s="14" t="s">
        <v>2550</v>
      </c>
      <c r="F583" s="14">
        <v>1</v>
      </c>
      <c r="G583" s="14"/>
      <c r="H583" s="14"/>
    </row>
    <row r="584" spans="1:8">
      <c r="A584" s="42">
        <v>46066</v>
      </c>
      <c r="B584" s="14" t="s">
        <v>2722</v>
      </c>
      <c r="C584" s="14" t="s">
        <v>3179</v>
      </c>
      <c r="D584" s="14" t="s">
        <v>2549</v>
      </c>
      <c r="E584" s="14" t="s">
        <v>2550</v>
      </c>
      <c r="F584" s="14">
        <v>1</v>
      </c>
      <c r="G584" s="14"/>
      <c r="H584" s="14"/>
    </row>
    <row r="585" spans="1:8">
      <c r="A585" s="42">
        <v>46066</v>
      </c>
      <c r="B585" s="14" t="s">
        <v>2722</v>
      </c>
      <c r="C585" s="14" t="s">
        <v>3180</v>
      </c>
      <c r="D585" s="14" t="s">
        <v>2549</v>
      </c>
      <c r="E585" s="14" t="s">
        <v>2550</v>
      </c>
      <c r="F585" s="14">
        <v>1</v>
      </c>
      <c r="G585" s="14"/>
      <c r="H585" s="14"/>
    </row>
    <row r="586" spans="1:8">
      <c r="A586" s="42">
        <v>46066</v>
      </c>
      <c r="B586" s="14" t="s">
        <v>2722</v>
      </c>
      <c r="C586" s="14" t="s">
        <v>3181</v>
      </c>
      <c r="D586" s="14" t="s">
        <v>2549</v>
      </c>
      <c r="E586" s="14" t="s">
        <v>2550</v>
      </c>
      <c r="F586" s="14">
        <v>1</v>
      </c>
      <c r="G586" s="14"/>
      <c r="H586" s="14"/>
    </row>
    <row r="587" spans="1:8">
      <c r="A587" s="42">
        <v>46066</v>
      </c>
      <c r="B587" s="14" t="s">
        <v>2722</v>
      </c>
      <c r="C587" s="14" t="s">
        <v>3182</v>
      </c>
      <c r="D587" s="14" t="s">
        <v>2549</v>
      </c>
      <c r="E587" s="14" t="s">
        <v>2550</v>
      </c>
      <c r="F587" s="14">
        <v>1</v>
      </c>
      <c r="G587" s="14"/>
      <c r="H587" s="14"/>
    </row>
    <row r="588" spans="1:8">
      <c r="A588" s="42">
        <v>46066</v>
      </c>
      <c r="B588" s="14" t="s">
        <v>2722</v>
      </c>
      <c r="C588" s="14" t="s">
        <v>3183</v>
      </c>
      <c r="D588" s="14" t="s">
        <v>2549</v>
      </c>
      <c r="E588" s="14" t="s">
        <v>2550</v>
      </c>
      <c r="F588" s="14">
        <v>1</v>
      </c>
      <c r="G588" s="14"/>
      <c r="H588" s="14"/>
    </row>
    <row r="589" spans="1:8">
      <c r="A589" s="42">
        <v>46066</v>
      </c>
      <c r="B589" s="14" t="s">
        <v>2722</v>
      </c>
      <c r="C589" s="14" t="s">
        <v>3184</v>
      </c>
      <c r="D589" s="14" t="s">
        <v>2549</v>
      </c>
      <c r="E589" s="14" t="s">
        <v>2550</v>
      </c>
      <c r="F589" s="14">
        <v>1</v>
      </c>
      <c r="G589" s="14"/>
      <c r="H589" s="14"/>
    </row>
    <row r="590" spans="1:8">
      <c r="A590" s="42">
        <v>46066</v>
      </c>
      <c r="B590" s="14" t="s">
        <v>2722</v>
      </c>
      <c r="C590" s="14" t="s">
        <v>3185</v>
      </c>
      <c r="D590" s="14" t="s">
        <v>2549</v>
      </c>
      <c r="E590" s="14" t="s">
        <v>2550</v>
      </c>
      <c r="F590" s="14">
        <v>1</v>
      </c>
      <c r="G590" s="14"/>
      <c r="H590" s="14"/>
    </row>
    <row r="591" spans="1:8">
      <c r="A591" s="42">
        <v>46066</v>
      </c>
      <c r="B591" s="14" t="s">
        <v>2722</v>
      </c>
      <c r="C591" s="14" t="s">
        <v>3186</v>
      </c>
      <c r="D591" s="14" t="s">
        <v>2549</v>
      </c>
      <c r="E591" s="14" t="s">
        <v>2550</v>
      </c>
      <c r="F591" s="14">
        <v>1</v>
      </c>
      <c r="G591" s="14"/>
      <c r="H591" s="14"/>
    </row>
    <row r="592" spans="1:8">
      <c r="A592" s="42">
        <v>46066</v>
      </c>
      <c r="B592" s="14" t="s">
        <v>2722</v>
      </c>
      <c r="C592" s="14" t="s">
        <v>3187</v>
      </c>
      <c r="D592" s="14" t="s">
        <v>2549</v>
      </c>
      <c r="E592" s="14" t="s">
        <v>2550</v>
      </c>
      <c r="F592" s="14">
        <v>1</v>
      </c>
      <c r="G592" s="14"/>
      <c r="H592" s="14"/>
    </row>
    <row r="593" spans="1:8">
      <c r="A593" s="42">
        <v>46066</v>
      </c>
      <c r="B593" s="14" t="s">
        <v>2722</v>
      </c>
      <c r="C593" s="14" t="s">
        <v>3188</v>
      </c>
      <c r="D593" s="14" t="s">
        <v>2549</v>
      </c>
      <c r="E593" s="14" t="s">
        <v>2550</v>
      </c>
      <c r="F593" s="14">
        <v>1</v>
      </c>
      <c r="G593" s="14"/>
      <c r="H593" s="14"/>
    </row>
    <row r="594" spans="1:8">
      <c r="A594" s="42">
        <v>46066</v>
      </c>
      <c r="B594" s="14" t="s">
        <v>2722</v>
      </c>
      <c r="C594" s="14" t="s">
        <v>3189</v>
      </c>
      <c r="D594" s="14" t="s">
        <v>2549</v>
      </c>
      <c r="E594" s="14" t="s">
        <v>2550</v>
      </c>
      <c r="F594" s="14">
        <v>1</v>
      </c>
      <c r="G594" s="14"/>
      <c r="H594" s="14"/>
    </row>
    <row r="595" spans="1:8">
      <c r="A595" s="42">
        <v>46066</v>
      </c>
      <c r="B595" s="14" t="s">
        <v>2722</v>
      </c>
      <c r="C595" s="14" t="s">
        <v>3190</v>
      </c>
      <c r="D595" s="14" t="s">
        <v>2549</v>
      </c>
      <c r="E595" s="14" t="s">
        <v>2550</v>
      </c>
      <c r="F595" s="14">
        <v>1</v>
      </c>
      <c r="G595" s="14"/>
      <c r="H595" s="14"/>
    </row>
    <row r="596" spans="1:8">
      <c r="A596" s="42">
        <v>46066</v>
      </c>
      <c r="B596" s="14" t="s">
        <v>2722</v>
      </c>
      <c r="C596" s="14" t="s">
        <v>3191</v>
      </c>
      <c r="D596" s="14" t="s">
        <v>2549</v>
      </c>
      <c r="E596" s="14" t="s">
        <v>2550</v>
      </c>
      <c r="F596" s="14">
        <v>1</v>
      </c>
      <c r="G596" s="14"/>
      <c r="H596" s="14"/>
    </row>
    <row r="597" spans="1:8">
      <c r="A597" s="42">
        <v>46066</v>
      </c>
      <c r="B597" s="14" t="s">
        <v>2722</v>
      </c>
      <c r="C597" s="14" t="s">
        <v>3192</v>
      </c>
      <c r="D597" s="14" t="s">
        <v>2549</v>
      </c>
      <c r="E597" s="14" t="s">
        <v>2550</v>
      </c>
      <c r="F597" s="14">
        <v>1</v>
      </c>
      <c r="G597" s="14"/>
      <c r="H597" s="14"/>
    </row>
    <row r="598" spans="1:8">
      <c r="A598" s="42">
        <v>46066</v>
      </c>
      <c r="B598" s="14" t="s">
        <v>2722</v>
      </c>
      <c r="C598" s="14" t="s">
        <v>3193</v>
      </c>
      <c r="D598" s="14" t="s">
        <v>2549</v>
      </c>
      <c r="E598" s="14" t="s">
        <v>2550</v>
      </c>
      <c r="F598" s="14">
        <v>1</v>
      </c>
      <c r="G598" s="14"/>
      <c r="H598" s="14"/>
    </row>
    <row r="599" spans="1:8">
      <c r="A599" s="120">
        <v>46066</v>
      </c>
      <c r="B599" s="14" t="s">
        <v>2722</v>
      </c>
      <c r="C599" s="14" t="s">
        <v>3194</v>
      </c>
      <c r="D599" s="14" t="s">
        <v>2549</v>
      </c>
      <c r="E599" s="14" t="s">
        <v>2550</v>
      </c>
      <c r="F599" s="8">
        <v>1</v>
      </c>
      <c r="G599" s="8" t="s">
        <v>1262</v>
      </c>
      <c r="H599" s="14"/>
    </row>
    <row r="600" spans="1:8">
      <c r="A600" s="42">
        <v>46070</v>
      </c>
      <c r="B600" s="14" t="s">
        <v>2722</v>
      </c>
      <c r="C600" s="14">
        <v>502171987</v>
      </c>
      <c r="D600" s="14" t="s">
        <v>2880</v>
      </c>
      <c r="E600" s="14" t="s">
        <v>2550</v>
      </c>
      <c r="F600" s="14">
        <v>1</v>
      </c>
      <c r="G600" s="14"/>
      <c r="H600" s="14"/>
    </row>
    <row r="601" spans="1:8">
      <c r="A601" s="42">
        <v>46070</v>
      </c>
      <c r="B601" s="14" t="s">
        <v>2722</v>
      </c>
      <c r="C601" s="14">
        <v>502430132</v>
      </c>
      <c r="D601" s="14" t="s">
        <v>2880</v>
      </c>
      <c r="E601" s="14" t="s">
        <v>2550</v>
      </c>
      <c r="F601" s="14">
        <v>1</v>
      </c>
      <c r="G601" s="14"/>
      <c r="H601" s="14"/>
    </row>
    <row r="602" spans="1:8">
      <c r="A602" s="42">
        <v>46070</v>
      </c>
      <c r="B602" s="14" t="s">
        <v>2722</v>
      </c>
      <c r="C602" s="14">
        <v>825542891</v>
      </c>
      <c r="D602" s="14" t="s">
        <v>2880</v>
      </c>
      <c r="E602" s="14" t="s">
        <v>2550</v>
      </c>
      <c r="F602" s="14">
        <v>1</v>
      </c>
      <c r="G602" s="14"/>
      <c r="H602" s="14"/>
    </row>
    <row r="603" spans="1:8">
      <c r="A603" s="42">
        <v>46070</v>
      </c>
      <c r="B603" s="14" t="s">
        <v>2722</v>
      </c>
      <c r="C603" s="14">
        <v>825651740</v>
      </c>
      <c r="D603" s="14" t="s">
        <v>2880</v>
      </c>
      <c r="E603" s="14" t="s">
        <v>2550</v>
      </c>
      <c r="F603" s="14">
        <v>1</v>
      </c>
      <c r="G603" s="14"/>
      <c r="H603" s="14"/>
    </row>
    <row r="604" spans="1:8">
      <c r="A604" s="42">
        <v>46070</v>
      </c>
      <c r="B604" s="14" t="s">
        <v>2722</v>
      </c>
      <c r="C604" s="14">
        <v>502183089</v>
      </c>
      <c r="D604" s="14" t="s">
        <v>2880</v>
      </c>
      <c r="E604" s="14" t="s">
        <v>2550</v>
      </c>
      <c r="F604" s="14">
        <v>1</v>
      </c>
      <c r="G604" s="14"/>
      <c r="H604" s="14"/>
    </row>
    <row r="605" spans="1:8">
      <c r="A605" s="42">
        <v>46070</v>
      </c>
      <c r="B605" s="14" t="s">
        <v>2722</v>
      </c>
      <c r="C605" s="14">
        <v>502916245</v>
      </c>
      <c r="D605" s="14" t="s">
        <v>2880</v>
      </c>
      <c r="E605" s="14" t="s">
        <v>2550</v>
      </c>
      <c r="F605" s="14">
        <v>1</v>
      </c>
      <c r="G605" s="14"/>
      <c r="H605" s="14"/>
    </row>
    <row r="606" spans="1:8">
      <c r="A606" s="42">
        <v>46070</v>
      </c>
      <c r="B606" s="14" t="s">
        <v>2722</v>
      </c>
      <c r="C606" s="14">
        <v>825520678</v>
      </c>
      <c r="D606" s="14" t="s">
        <v>2880</v>
      </c>
      <c r="E606" s="14" t="s">
        <v>2550</v>
      </c>
      <c r="F606" s="14">
        <v>1</v>
      </c>
      <c r="G606" s="14"/>
      <c r="H606" s="14"/>
    </row>
    <row r="607" spans="1:8">
      <c r="A607" s="42">
        <v>46070</v>
      </c>
      <c r="B607" s="14" t="s">
        <v>2722</v>
      </c>
      <c r="C607" s="14">
        <v>825539536</v>
      </c>
      <c r="D607" s="14" t="s">
        <v>2880</v>
      </c>
      <c r="E607" s="14" t="s">
        <v>2550</v>
      </c>
      <c r="F607" s="14">
        <v>1</v>
      </c>
      <c r="G607" s="14"/>
      <c r="H607" s="14"/>
    </row>
    <row r="608" spans="1:8">
      <c r="A608" s="42">
        <v>46070</v>
      </c>
      <c r="B608" s="14" t="s">
        <v>2722</v>
      </c>
      <c r="C608" s="14">
        <v>825539535</v>
      </c>
      <c r="D608" s="14" t="s">
        <v>2880</v>
      </c>
      <c r="E608" s="14" t="s">
        <v>2550</v>
      </c>
      <c r="F608" s="14">
        <v>1</v>
      </c>
      <c r="G608" s="14"/>
      <c r="H608" s="14"/>
    </row>
    <row r="609" spans="1:8">
      <c r="A609" s="42">
        <v>46070</v>
      </c>
      <c r="B609" s="14" t="s">
        <v>2722</v>
      </c>
      <c r="C609" s="14">
        <v>825526859</v>
      </c>
      <c r="D609" s="14" t="s">
        <v>2880</v>
      </c>
      <c r="E609" s="14" t="s">
        <v>2550</v>
      </c>
      <c r="F609" s="14">
        <v>1</v>
      </c>
      <c r="G609" s="14"/>
      <c r="H609" s="14"/>
    </row>
    <row r="610" spans="1:8">
      <c r="A610" s="120">
        <v>46076</v>
      </c>
      <c r="B610" s="8" t="s">
        <v>2722</v>
      </c>
      <c r="C610" s="8" t="s">
        <v>3196</v>
      </c>
      <c r="D610" s="14" t="s">
        <v>2549</v>
      </c>
      <c r="E610" s="8" t="s">
        <v>2550</v>
      </c>
      <c r="F610" s="8">
        <v>1</v>
      </c>
      <c r="G610" s="8" t="s">
        <v>1734</v>
      </c>
      <c r="H610" s="14"/>
    </row>
    <row r="611" spans="1:8">
      <c r="A611" s="42">
        <v>46076</v>
      </c>
      <c r="B611" s="14" t="s">
        <v>2722</v>
      </c>
      <c r="C611" s="14" t="s">
        <v>3197</v>
      </c>
      <c r="D611" s="14" t="s">
        <v>2549</v>
      </c>
      <c r="E611" s="14" t="s">
        <v>2550</v>
      </c>
      <c r="F611" s="14">
        <v>1</v>
      </c>
      <c r="G611" s="14"/>
      <c r="H611" s="14"/>
    </row>
    <row r="612" spans="1:8">
      <c r="A612" s="42">
        <v>46076</v>
      </c>
      <c r="B612" s="14" t="s">
        <v>2722</v>
      </c>
      <c r="C612" s="14" t="s">
        <v>3198</v>
      </c>
      <c r="D612" s="14" t="s">
        <v>2549</v>
      </c>
      <c r="E612" s="14" t="s">
        <v>2550</v>
      </c>
      <c r="F612" s="14">
        <v>1</v>
      </c>
      <c r="G612" s="14"/>
      <c r="H612" s="14"/>
    </row>
    <row r="613" spans="1:8">
      <c r="A613" s="42">
        <v>46076</v>
      </c>
      <c r="B613" s="8" t="s">
        <v>2722</v>
      </c>
      <c r="C613" s="8" t="s">
        <v>3199</v>
      </c>
      <c r="D613" s="14" t="s">
        <v>2549</v>
      </c>
      <c r="E613" s="8" t="s">
        <v>2550</v>
      </c>
      <c r="F613" s="8">
        <v>1</v>
      </c>
      <c r="G613" s="8" t="s">
        <v>2058</v>
      </c>
      <c r="H613" s="14"/>
    </row>
    <row r="614" spans="1:8">
      <c r="A614" s="42">
        <v>46076</v>
      </c>
      <c r="B614" s="14" t="s">
        <v>2722</v>
      </c>
      <c r="C614" s="14" t="s">
        <v>3200</v>
      </c>
      <c r="D614" s="14" t="s">
        <v>2549</v>
      </c>
      <c r="E614" s="14" t="s">
        <v>2550</v>
      </c>
      <c r="F614" s="14">
        <v>1</v>
      </c>
      <c r="G614" s="14"/>
      <c r="H614" s="14"/>
    </row>
    <row r="615" spans="1:8">
      <c r="A615" s="42">
        <v>46076</v>
      </c>
      <c r="B615" s="14" t="s">
        <v>2722</v>
      </c>
      <c r="C615" s="14" t="s">
        <v>3201</v>
      </c>
      <c r="D615" s="14" t="s">
        <v>2549</v>
      </c>
      <c r="E615" s="14" t="s">
        <v>2550</v>
      </c>
      <c r="F615" s="14">
        <v>1</v>
      </c>
      <c r="G615" s="14"/>
      <c r="H615" s="14"/>
    </row>
    <row r="616" spans="1:8">
      <c r="A616" s="42">
        <v>46076</v>
      </c>
      <c r="B616" s="14" t="s">
        <v>2722</v>
      </c>
      <c r="C616" s="14" t="s">
        <v>3202</v>
      </c>
      <c r="D616" s="14" t="s">
        <v>2549</v>
      </c>
      <c r="E616" s="14" t="s">
        <v>2550</v>
      </c>
      <c r="F616" s="14">
        <v>1</v>
      </c>
      <c r="G616" s="14"/>
      <c r="H616" s="14"/>
    </row>
    <row r="617" spans="1:8">
      <c r="A617" s="42">
        <v>46076</v>
      </c>
      <c r="B617" s="8" t="s">
        <v>2722</v>
      </c>
      <c r="C617" s="8" t="s">
        <v>3203</v>
      </c>
      <c r="D617" s="14" t="s">
        <v>2549</v>
      </c>
      <c r="E617" s="8" t="s">
        <v>2550</v>
      </c>
      <c r="F617" s="8">
        <v>1</v>
      </c>
      <c r="G617" s="8" t="s">
        <v>2435</v>
      </c>
      <c r="H617" s="14"/>
    </row>
    <row r="618" spans="1:8">
      <c r="A618" s="42">
        <v>46076</v>
      </c>
      <c r="B618" s="14" t="s">
        <v>2722</v>
      </c>
      <c r="C618" s="14" t="s">
        <v>3204</v>
      </c>
      <c r="D618" s="14" t="s">
        <v>2549</v>
      </c>
      <c r="E618" s="14" t="s">
        <v>2550</v>
      </c>
      <c r="F618" s="14">
        <v>1</v>
      </c>
      <c r="G618" s="14"/>
      <c r="H618" s="14"/>
    </row>
    <row r="619" spans="1:8">
      <c r="A619" s="42">
        <v>46076</v>
      </c>
      <c r="B619" s="8" t="s">
        <v>2722</v>
      </c>
      <c r="C619" s="8" t="s">
        <v>3205</v>
      </c>
      <c r="D619" s="14" t="s">
        <v>2549</v>
      </c>
      <c r="E619" s="8" t="s">
        <v>2550</v>
      </c>
      <c r="F619" s="8">
        <v>1</v>
      </c>
      <c r="G619" s="8" t="s">
        <v>1416</v>
      </c>
      <c r="H619" s="14"/>
    </row>
    <row r="620" spans="1:8">
      <c r="A620" s="42">
        <v>46076</v>
      </c>
      <c r="B620" s="8" t="s">
        <v>2722</v>
      </c>
      <c r="C620" s="8" t="s">
        <v>3206</v>
      </c>
      <c r="D620" s="14" t="s">
        <v>2549</v>
      </c>
      <c r="E620" s="8" t="s">
        <v>2550</v>
      </c>
      <c r="F620" s="8">
        <v>1</v>
      </c>
      <c r="G620" s="8" t="s">
        <v>1880</v>
      </c>
      <c r="H620" s="14"/>
    </row>
    <row r="621" spans="1:8">
      <c r="A621" s="42">
        <v>46076</v>
      </c>
      <c r="B621" s="14" t="s">
        <v>2722</v>
      </c>
      <c r="C621" s="14" t="s">
        <v>3207</v>
      </c>
      <c r="D621" s="14" t="s">
        <v>2549</v>
      </c>
      <c r="E621" s="14" t="s">
        <v>2550</v>
      </c>
      <c r="F621" s="14">
        <v>1</v>
      </c>
      <c r="G621" s="14"/>
      <c r="H621" s="14"/>
    </row>
    <row r="622" spans="1:8">
      <c r="A622" s="42">
        <v>46078</v>
      </c>
      <c r="B622" s="14" t="s">
        <v>457</v>
      </c>
      <c r="C622" s="14" t="s">
        <v>3217</v>
      </c>
      <c r="D622" s="14" t="s">
        <v>2562</v>
      </c>
      <c r="E622" s="14" t="s">
        <v>2550</v>
      </c>
      <c r="F622" s="14">
        <v>1</v>
      </c>
      <c r="G622" s="14"/>
      <c r="H622" s="14"/>
    </row>
    <row r="623" spans="1:8">
      <c r="A623" s="42">
        <v>46078</v>
      </c>
      <c r="B623" s="14" t="s">
        <v>457</v>
      </c>
      <c r="C623" s="14" t="s">
        <v>3218</v>
      </c>
      <c r="D623" s="14" t="s">
        <v>2562</v>
      </c>
      <c r="E623" s="14" t="s">
        <v>2550</v>
      </c>
      <c r="F623" s="14">
        <v>1</v>
      </c>
      <c r="G623" s="14"/>
      <c r="H623" s="14"/>
    </row>
    <row r="624" spans="1:8">
      <c r="A624" s="42">
        <v>46078</v>
      </c>
      <c r="B624" s="14" t="s">
        <v>457</v>
      </c>
      <c r="C624" s="14" t="s">
        <v>3219</v>
      </c>
      <c r="D624" s="14" t="s">
        <v>2562</v>
      </c>
      <c r="E624" s="14" t="s">
        <v>2550</v>
      </c>
      <c r="F624" s="14">
        <v>1</v>
      </c>
      <c r="G624" s="14" t="s">
        <v>2107</v>
      </c>
      <c r="H624" s="14"/>
    </row>
    <row r="625" spans="1:8">
      <c r="A625" s="42">
        <v>46078</v>
      </c>
      <c r="B625" s="14" t="s">
        <v>457</v>
      </c>
      <c r="C625" s="14" t="s">
        <v>3220</v>
      </c>
      <c r="D625" s="14" t="s">
        <v>2562</v>
      </c>
      <c r="E625" s="14" t="s">
        <v>2550</v>
      </c>
      <c r="F625" s="14">
        <v>1</v>
      </c>
      <c r="G625" s="14" t="s">
        <v>2344</v>
      </c>
      <c r="H625" s="14"/>
    </row>
    <row r="626" spans="1:8">
      <c r="A626" s="42">
        <v>46078</v>
      </c>
      <c r="B626" s="14" t="s">
        <v>457</v>
      </c>
      <c r="C626" s="14" t="s">
        <v>3221</v>
      </c>
      <c r="D626" s="14" t="s">
        <v>2562</v>
      </c>
      <c r="E626" s="14" t="s">
        <v>2550</v>
      </c>
      <c r="F626" s="14">
        <v>1</v>
      </c>
      <c r="G626" s="14" t="s">
        <v>1264</v>
      </c>
      <c r="H626" s="14"/>
    </row>
    <row r="627" spans="1:8">
      <c r="A627" s="42">
        <v>46078</v>
      </c>
      <c r="B627" s="14" t="s">
        <v>457</v>
      </c>
      <c r="C627" s="14" t="s">
        <v>3222</v>
      </c>
      <c r="D627" s="14" t="s">
        <v>2562</v>
      </c>
      <c r="E627" s="14" t="s">
        <v>2550</v>
      </c>
      <c r="F627" s="14">
        <v>1</v>
      </c>
      <c r="G627" s="14" t="s">
        <v>2335</v>
      </c>
      <c r="H627" s="14"/>
    </row>
    <row r="628" spans="1:8">
      <c r="A628" s="42">
        <v>46078</v>
      </c>
      <c r="B628" s="14" t="s">
        <v>457</v>
      </c>
      <c r="C628" s="14" t="s">
        <v>3223</v>
      </c>
      <c r="D628" s="14" t="s">
        <v>2562</v>
      </c>
      <c r="E628" s="14" t="s">
        <v>2550</v>
      </c>
      <c r="F628" s="14">
        <v>1</v>
      </c>
      <c r="G628" s="14" t="s">
        <v>1880</v>
      </c>
      <c r="H628" s="14"/>
    </row>
    <row r="629" spans="1:8">
      <c r="A629" s="42">
        <v>46078</v>
      </c>
      <c r="B629" s="8" t="s">
        <v>457</v>
      </c>
      <c r="C629" s="14" t="s">
        <v>3224</v>
      </c>
      <c r="D629" s="14" t="s">
        <v>2562</v>
      </c>
      <c r="E629" s="14" t="s">
        <v>2550</v>
      </c>
      <c r="F629" s="8">
        <v>1</v>
      </c>
      <c r="G629" s="14" t="s">
        <v>2422</v>
      </c>
      <c r="H629" s="14"/>
    </row>
    <row r="630" spans="1:8">
      <c r="A630" s="42">
        <v>46078</v>
      </c>
      <c r="B630" s="8" t="s">
        <v>258</v>
      </c>
      <c r="C630" s="8" t="s">
        <v>3225</v>
      </c>
      <c r="E630" s="8" t="s">
        <v>2540</v>
      </c>
      <c r="F630" s="8">
        <v>1</v>
      </c>
      <c r="G630" s="8" t="s">
        <v>2344</v>
      </c>
      <c r="H630" s="14"/>
    </row>
    <row r="631" spans="1:8">
      <c r="A631" s="42">
        <v>46078</v>
      </c>
      <c r="B631" s="8" t="s">
        <v>457</v>
      </c>
      <c r="C631" s="8" t="s">
        <v>3255</v>
      </c>
      <c r="D631" s="10" t="s">
        <v>2539</v>
      </c>
      <c r="E631" s="86" t="s">
        <v>2606</v>
      </c>
      <c r="F631" s="8">
        <v>1</v>
      </c>
      <c r="G631" s="8" t="s">
        <v>3270</v>
      </c>
      <c r="H631" s="14"/>
    </row>
    <row r="632" spans="1:8">
      <c r="A632" s="120">
        <v>46091</v>
      </c>
      <c r="B632" s="8" t="s">
        <v>3269</v>
      </c>
      <c r="C632" s="10" t="s">
        <v>3268</v>
      </c>
      <c r="E632" s="7" t="s">
        <v>3271</v>
      </c>
      <c r="F632" s="8">
        <v>1</v>
      </c>
      <c r="G632" s="8" t="s">
        <v>3272</v>
      </c>
      <c r="H632" s="14"/>
    </row>
    <row r="633" spans="1:8">
      <c r="A633" s="42">
        <v>46126</v>
      </c>
      <c r="B633" s="14" t="s">
        <v>66</v>
      </c>
      <c r="C633" s="14" t="s">
        <v>3751</v>
      </c>
      <c r="D633" s="14" t="s">
        <v>2617</v>
      </c>
      <c r="E633" s="15" t="s">
        <v>3750</v>
      </c>
      <c r="F633" s="14">
        <v>1</v>
      </c>
      <c r="G633" s="14"/>
      <c r="H633" s="14"/>
    </row>
    <row r="634" spans="1:8">
      <c r="A634" s="42">
        <v>46126</v>
      </c>
      <c r="B634" s="14" t="s">
        <v>66</v>
      </c>
      <c r="C634" s="14" t="s">
        <v>3752</v>
      </c>
      <c r="D634" s="14" t="s">
        <v>2617</v>
      </c>
      <c r="E634" s="15" t="s">
        <v>3750</v>
      </c>
      <c r="F634" s="14">
        <v>1</v>
      </c>
      <c r="G634" s="14"/>
      <c r="H634" s="14"/>
    </row>
    <row r="635" spans="1:8">
      <c r="A635" s="42">
        <v>46126</v>
      </c>
      <c r="B635" s="10" t="s">
        <v>66</v>
      </c>
      <c r="C635" s="10" t="s">
        <v>3753</v>
      </c>
      <c r="D635" s="8" t="s">
        <v>2605</v>
      </c>
      <c r="E635" s="15" t="s">
        <v>2606</v>
      </c>
      <c r="F635" s="8">
        <v>1</v>
      </c>
      <c r="G635" s="8" t="s">
        <v>2299</v>
      </c>
      <c r="H635" s="14"/>
    </row>
    <row r="636" spans="1:8">
      <c r="A636" s="42">
        <v>46126</v>
      </c>
      <c r="B636" s="14" t="s">
        <v>66</v>
      </c>
      <c r="C636" s="14" t="s">
        <v>3754</v>
      </c>
      <c r="D636" s="14" t="s">
        <v>2605</v>
      </c>
      <c r="E636" s="15" t="s">
        <v>2606</v>
      </c>
      <c r="F636" s="14">
        <v>1</v>
      </c>
      <c r="G636" s="14"/>
      <c r="H636" s="14"/>
    </row>
    <row r="637" spans="1:8">
      <c r="A637" s="42">
        <v>46126</v>
      </c>
      <c r="B637" s="10" t="s">
        <v>66</v>
      </c>
      <c r="C637" s="10" t="s">
        <v>3755</v>
      </c>
      <c r="D637" s="8" t="s">
        <v>2605</v>
      </c>
      <c r="E637" s="15" t="s">
        <v>2606</v>
      </c>
      <c r="F637" s="8">
        <v>1</v>
      </c>
      <c r="G637" s="8" t="s">
        <v>3319</v>
      </c>
      <c r="H637" s="14"/>
    </row>
    <row r="638" spans="1:8">
      <c r="A638" s="42">
        <v>46126</v>
      </c>
      <c r="B638" s="10" t="s">
        <v>66</v>
      </c>
      <c r="C638" s="8" t="s">
        <v>3756</v>
      </c>
      <c r="D638" s="8" t="s">
        <v>2605</v>
      </c>
      <c r="E638" s="15" t="s">
        <v>2606</v>
      </c>
      <c r="F638" s="8">
        <v>1</v>
      </c>
      <c r="G638" s="8" t="s">
        <v>300</v>
      </c>
      <c r="H638" s="14"/>
    </row>
    <row r="639" spans="1:8">
      <c r="A639" s="42">
        <v>46126</v>
      </c>
      <c r="B639" s="14" t="s">
        <v>66</v>
      </c>
      <c r="C639" s="14" t="s">
        <v>3757</v>
      </c>
      <c r="D639" s="14" t="s">
        <v>2605</v>
      </c>
      <c r="E639" s="15" t="s">
        <v>2606</v>
      </c>
      <c r="F639" s="14">
        <v>1</v>
      </c>
      <c r="G639" s="14"/>
      <c r="H639" s="14"/>
    </row>
    <row r="640" spans="1:8">
      <c r="A640" s="42">
        <v>46126</v>
      </c>
      <c r="B640" s="14" t="s">
        <v>2722</v>
      </c>
      <c r="C640" s="14" t="s">
        <v>3758</v>
      </c>
      <c r="D640" s="14" t="s">
        <v>2549</v>
      </c>
      <c r="E640" s="14" t="s">
        <v>3047</v>
      </c>
      <c r="F640" s="14">
        <v>1</v>
      </c>
      <c r="G640" s="14"/>
      <c r="H640" s="14"/>
    </row>
    <row r="641" spans="1:8">
      <c r="A641" s="42">
        <v>46126</v>
      </c>
      <c r="B641" s="14" t="s">
        <v>2722</v>
      </c>
      <c r="C641" s="14" t="s">
        <v>3759</v>
      </c>
      <c r="D641" s="14" t="s">
        <v>2549</v>
      </c>
      <c r="E641" s="14" t="s">
        <v>3047</v>
      </c>
      <c r="F641" s="14">
        <v>1</v>
      </c>
      <c r="G641" s="14"/>
      <c r="H641" s="14"/>
    </row>
    <row r="642" spans="1:8">
      <c r="A642" s="42">
        <v>46126</v>
      </c>
      <c r="B642" s="14" t="s">
        <v>2722</v>
      </c>
      <c r="C642" s="8" t="s">
        <v>3760</v>
      </c>
      <c r="D642" s="8" t="s">
        <v>2549</v>
      </c>
      <c r="E642" s="14" t="s">
        <v>3047</v>
      </c>
      <c r="F642" s="8">
        <v>1</v>
      </c>
      <c r="G642" s="8" t="s">
        <v>2214</v>
      </c>
      <c r="H642" s="14"/>
    </row>
    <row r="643" spans="1:8">
      <c r="A643" s="42">
        <v>46126</v>
      </c>
      <c r="B643" s="14" t="s">
        <v>2722</v>
      </c>
      <c r="C643" s="14" t="s">
        <v>3761</v>
      </c>
      <c r="D643" s="14" t="s">
        <v>2549</v>
      </c>
      <c r="E643" s="14" t="s">
        <v>3047</v>
      </c>
      <c r="F643" s="14">
        <v>1</v>
      </c>
      <c r="G643" s="14"/>
      <c r="H643" s="14"/>
    </row>
    <row r="644" spans="1:8">
      <c r="A644" s="42">
        <v>46126</v>
      </c>
      <c r="B644" s="14" t="s">
        <v>2722</v>
      </c>
      <c r="C644" s="10" t="s">
        <v>3762</v>
      </c>
      <c r="D644" s="8" t="s">
        <v>2549</v>
      </c>
      <c r="E644" s="14" t="s">
        <v>3047</v>
      </c>
      <c r="F644" s="8">
        <v>1</v>
      </c>
      <c r="G644" s="8" t="s">
        <v>1414</v>
      </c>
      <c r="H644" s="14"/>
    </row>
    <row r="645" spans="1:8">
      <c r="A645" s="42">
        <v>46126</v>
      </c>
      <c r="B645" s="14" t="s">
        <v>2722</v>
      </c>
      <c r="C645" s="14" t="s">
        <v>3763</v>
      </c>
      <c r="D645" s="14" t="s">
        <v>2549</v>
      </c>
      <c r="E645" s="14" t="s">
        <v>3047</v>
      </c>
      <c r="F645" s="14">
        <v>1</v>
      </c>
      <c r="G645" s="14"/>
      <c r="H645" s="14"/>
    </row>
    <row r="646" spans="1:8">
      <c r="A646" s="42">
        <v>46126</v>
      </c>
      <c r="B646" s="14" t="s">
        <v>2722</v>
      </c>
      <c r="C646" s="14" t="s">
        <v>3764</v>
      </c>
      <c r="D646" s="14" t="s">
        <v>2549</v>
      </c>
      <c r="E646" s="14" t="s">
        <v>3047</v>
      </c>
      <c r="F646" s="14">
        <v>1</v>
      </c>
      <c r="G646" s="14"/>
      <c r="H646" s="14"/>
    </row>
    <row r="647" spans="1:8">
      <c r="A647" s="42">
        <v>46126</v>
      </c>
      <c r="B647" s="86" t="s">
        <v>2740</v>
      </c>
      <c r="C647" s="14" t="s">
        <v>3765</v>
      </c>
      <c r="D647" s="14" t="s">
        <v>2742</v>
      </c>
      <c r="E647" s="15" t="s">
        <v>2606</v>
      </c>
      <c r="F647" s="14">
        <v>1</v>
      </c>
      <c r="G647" s="14"/>
      <c r="H647" s="14"/>
    </row>
    <row r="648" spans="1:8">
      <c r="A648" s="42">
        <v>46126</v>
      </c>
      <c r="B648" s="86" t="s">
        <v>2740</v>
      </c>
      <c r="C648" s="14" t="s">
        <v>3766</v>
      </c>
      <c r="D648" s="14" t="s">
        <v>2742</v>
      </c>
      <c r="E648" s="15" t="s">
        <v>2606</v>
      </c>
      <c r="F648" s="14">
        <v>1</v>
      </c>
      <c r="G648" s="14"/>
      <c r="H648" s="14"/>
    </row>
    <row r="649" spans="1:8">
      <c r="A649" s="42">
        <v>46126</v>
      </c>
      <c r="B649" s="86" t="s">
        <v>2740</v>
      </c>
      <c r="C649" s="14" t="s">
        <v>3767</v>
      </c>
      <c r="D649" s="14" t="s">
        <v>2742</v>
      </c>
      <c r="E649" s="15" t="s">
        <v>2606</v>
      </c>
      <c r="F649" s="14">
        <v>1</v>
      </c>
      <c r="G649" s="14"/>
      <c r="H649" s="14"/>
    </row>
    <row r="650" spans="1:8">
      <c r="A650" s="42">
        <v>46126</v>
      </c>
      <c r="B650" s="86" t="s">
        <v>2740</v>
      </c>
      <c r="C650" s="14" t="s">
        <v>3768</v>
      </c>
      <c r="D650" s="14" t="s">
        <v>2742</v>
      </c>
      <c r="E650" s="15" t="s">
        <v>2606</v>
      </c>
      <c r="F650" s="14">
        <v>1</v>
      </c>
      <c r="G650" s="14"/>
      <c r="H650" s="14"/>
    </row>
    <row r="651" spans="1:8">
      <c r="A651" s="42">
        <v>46126</v>
      </c>
      <c r="B651" s="86" t="s">
        <v>2740</v>
      </c>
      <c r="C651" s="14" t="s">
        <v>3769</v>
      </c>
      <c r="D651" s="14" t="s">
        <v>2742</v>
      </c>
      <c r="E651" s="15" t="s">
        <v>2606</v>
      </c>
      <c r="F651" s="14">
        <v>1</v>
      </c>
      <c r="G651" s="14"/>
      <c r="H651" s="14"/>
    </row>
    <row r="652" spans="1:8">
      <c r="A652" s="42">
        <v>46126</v>
      </c>
      <c r="B652" s="14" t="s">
        <v>457</v>
      </c>
      <c r="C652" s="8" t="s">
        <v>3774</v>
      </c>
      <c r="D652" s="14" t="s">
        <v>2539</v>
      </c>
      <c r="E652" s="15" t="s">
        <v>2606</v>
      </c>
      <c r="F652" s="8">
        <v>1</v>
      </c>
      <c r="G652" s="8" t="s">
        <v>2128</v>
      </c>
      <c r="H652" s="14"/>
    </row>
    <row r="653" spans="1:8">
      <c r="A653" s="42">
        <v>46126</v>
      </c>
      <c r="B653" s="14" t="s">
        <v>457</v>
      </c>
      <c r="C653" s="14" t="s">
        <v>3775</v>
      </c>
      <c r="D653" s="14" t="s">
        <v>3770</v>
      </c>
      <c r="E653" s="15" t="s">
        <v>2606</v>
      </c>
      <c r="F653" s="8">
        <v>1</v>
      </c>
      <c r="G653" s="8" t="s">
        <v>2226</v>
      </c>
      <c r="H653" s="14"/>
    </row>
    <row r="654" spans="1:8">
      <c r="A654" s="42">
        <v>46126</v>
      </c>
      <c r="B654" s="14" t="s">
        <v>457</v>
      </c>
      <c r="C654" s="14" t="s">
        <v>3776</v>
      </c>
      <c r="D654" s="14" t="s">
        <v>3771</v>
      </c>
      <c r="E654" s="15" t="s">
        <v>2606</v>
      </c>
      <c r="F654" s="14">
        <v>1</v>
      </c>
      <c r="G654" s="14"/>
      <c r="H654" s="14"/>
    </row>
    <row r="655" spans="1:8">
      <c r="A655" s="42">
        <v>46126</v>
      </c>
      <c r="B655" s="14" t="s">
        <v>457</v>
      </c>
      <c r="C655" s="14" t="s">
        <v>3777</v>
      </c>
      <c r="D655" s="14" t="s">
        <v>3772</v>
      </c>
      <c r="E655" s="15" t="s">
        <v>2606</v>
      </c>
      <c r="F655" s="8">
        <v>1</v>
      </c>
      <c r="G655" s="8" t="s">
        <v>1277</v>
      </c>
      <c r="H655" s="14"/>
    </row>
    <row r="656" spans="1:8">
      <c r="A656" s="42">
        <v>46126</v>
      </c>
      <c r="B656" s="14" t="s">
        <v>457</v>
      </c>
      <c r="C656" s="14" t="s">
        <v>3778</v>
      </c>
      <c r="D656" s="14" t="s">
        <v>3773</v>
      </c>
      <c r="E656" s="15" t="s">
        <v>2606</v>
      </c>
      <c r="F656" s="14">
        <v>1</v>
      </c>
      <c r="G656" s="14"/>
      <c r="H656" s="14"/>
    </row>
    <row r="657" spans="1:8">
      <c r="A657" s="42">
        <v>46126</v>
      </c>
      <c r="B657" s="14" t="s">
        <v>352</v>
      </c>
      <c r="C657" s="14">
        <f>K617+K619</f>
        <v>0</v>
      </c>
      <c r="D657" s="14" t="s">
        <v>2823</v>
      </c>
      <c r="E657" s="14" t="s">
        <v>3828</v>
      </c>
      <c r="F657" s="14">
        <v>1</v>
      </c>
      <c r="G657" s="14"/>
      <c r="H657" s="14"/>
    </row>
    <row r="658" spans="1:8">
      <c r="A658" s="42">
        <v>46126</v>
      </c>
      <c r="B658" s="14" t="s">
        <v>352</v>
      </c>
      <c r="C658" s="14" t="s">
        <v>3779</v>
      </c>
      <c r="D658" s="14" t="s">
        <v>2823</v>
      </c>
      <c r="E658" s="14" t="s">
        <v>3828</v>
      </c>
      <c r="F658" s="14">
        <v>1</v>
      </c>
      <c r="G658" s="14"/>
      <c r="H658" s="14"/>
    </row>
    <row r="659" spans="1:8">
      <c r="A659" s="42">
        <v>46126</v>
      </c>
      <c r="B659" s="14" t="s">
        <v>352</v>
      </c>
      <c r="C659" s="14" t="s">
        <v>3780</v>
      </c>
      <c r="D659" s="14" t="s">
        <v>2823</v>
      </c>
      <c r="E659" s="14" t="s">
        <v>3828</v>
      </c>
      <c r="F659" s="14">
        <v>1</v>
      </c>
      <c r="G659" s="14"/>
      <c r="H659" s="14"/>
    </row>
    <row r="660" spans="1:8">
      <c r="A660" s="42">
        <v>46126</v>
      </c>
      <c r="B660" s="14" t="s">
        <v>352</v>
      </c>
      <c r="C660" s="14" t="s">
        <v>3781</v>
      </c>
      <c r="D660" s="14" t="s">
        <v>2823</v>
      </c>
      <c r="E660" s="14" t="s">
        <v>3828</v>
      </c>
      <c r="F660" s="14">
        <v>1</v>
      </c>
      <c r="G660" s="14"/>
      <c r="H660" s="14"/>
    </row>
    <row r="661" spans="1:8">
      <c r="A661" s="42">
        <v>46126</v>
      </c>
      <c r="B661" s="14" t="s">
        <v>352</v>
      </c>
      <c r="C661" s="14" t="s">
        <v>3782</v>
      </c>
      <c r="D661" s="14" t="s">
        <v>2823</v>
      </c>
      <c r="E661" s="14" t="s">
        <v>3828</v>
      </c>
      <c r="F661" s="14">
        <v>1</v>
      </c>
      <c r="G661" s="14"/>
      <c r="H661" s="14"/>
    </row>
    <row r="662" spans="1:8">
      <c r="A662" s="42">
        <v>46126</v>
      </c>
      <c r="B662" s="14" t="s">
        <v>352</v>
      </c>
      <c r="C662" s="14" t="s">
        <v>3783</v>
      </c>
      <c r="D662" s="14" t="s">
        <v>2823</v>
      </c>
      <c r="E662" s="14" t="s">
        <v>3828</v>
      </c>
      <c r="F662" s="14">
        <v>1</v>
      </c>
      <c r="G662" s="14"/>
      <c r="H662" s="14"/>
    </row>
    <row r="663" spans="1:8">
      <c r="A663" s="42">
        <v>46126</v>
      </c>
      <c r="B663" s="14" t="s">
        <v>352</v>
      </c>
      <c r="C663" s="14" t="s">
        <v>3784</v>
      </c>
      <c r="D663" s="14" t="s">
        <v>2823</v>
      </c>
      <c r="E663" s="14" t="s">
        <v>3828</v>
      </c>
      <c r="F663" s="14">
        <v>1</v>
      </c>
      <c r="G663" s="14"/>
      <c r="H663" s="14"/>
    </row>
    <row r="664" spans="1:8">
      <c r="A664" s="42">
        <v>46126</v>
      </c>
      <c r="B664" s="14" t="s">
        <v>352</v>
      </c>
      <c r="C664" s="14" t="s">
        <v>3785</v>
      </c>
      <c r="D664" s="14" t="s">
        <v>2823</v>
      </c>
      <c r="E664" s="14" t="s">
        <v>3828</v>
      </c>
      <c r="F664" s="14">
        <v>1</v>
      </c>
      <c r="G664" s="14"/>
      <c r="H664" s="14"/>
    </row>
    <row r="665" spans="1:8">
      <c r="A665" s="42">
        <v>46126</v>
      </c>
      <c r="B665" s="14" t="s">
        <v>352</v>
      </c>
      <c r="C665" s="14" t="s">
        <v>3786</v>
      </c>
      <c r="D665" s="14" t="s">
        <v>2823</v>
      </c>
      <c r="E665" s="14" t="s">
        <v>3828</v>
      </c>
      <c r="F665" s="14">
        <v>1</v>
      </c>
      <c r="G665" s="14"/>
      <c r="H665" s="14"/>
    </row>
    <row r="666" spans="1:8">
      <c r="A666" s="42">
        <v>46126</v>
      </c>
      <c r="B666" s="14" t="s">
        <v>352</v>
      </c>
      <c r="C666" s="14" t="s">
        <v>3787</v>
      </c>
      <c r="D666" s="14" t="s">
        <v>2823</v>
      </c>
      <c r="E666" s="14" t="s">
        <v>3828</v>
      </c>
      <c r="F666" s="14">
        <v>1</v>
      </c>
      <c r="G666" s="14"/>
      <c r="H666" s="14"/>
    </row>
    <row r="667" spans="1:8">
      <c r="A667" s="42">
        <v>46126</v>
      </c>
      <c r="B667" s="14" t="s">
        <v>352</v>
      </c>
      <c r="C667" s="14" t="s">
        <v>3788</v>
      </c>
      <c r="D667" s="14" t="s">
        <v>2823</v>
      </c>
      <c r="E667" s="14" t="s">
        <v>3828</v>
      </c>
      <c r="F667" s="14">
        <v>1</v>
      </c>
      <c r="G667" s="14"/>
      <c r="H667" s="14"/>
    </row>
    <row r="668" spans="1:8">
      <c r="A668" s="42">
        <v>46126</v>
      </c>
      <c r="B668" s="14" t="s">
        <v>352</v>
      </c>
      <c r="C668" s="14" t="s">
        <v>3789</v>
      </c>
      <c r="D668" s="14" t="s">
        <v>2823</v>
      </c>
      <c r="E668" s="14" t="s">
        <v>3828</v>
      </c>
      <c r="F668" s="14">
        <v>1</v>
      </c>
      <c r="G668" s="14"/>
      <c r="H668" s="14"/>
    </row>
    <row r="669" spans="1:8">
      <c r="A669" s="42">
        <v>46126</v>
      </c>
      <c r="B669" s="14" t="s">
        <v>352</v>
      </c>
      <c r="C669" s="14" t="s">
        <v>3790</v>
      </c>
      <c r="D669" s="14" t="s">
        <v>2823</v>
      </c>
      <c r="E669" s="14" t="s">
        <v>3828</v>
      </c>
      <c r="F669" s="14">
        <v>1</v>
      </c>
      <c r="G669" s="14"/>
      <c r="H669" s="14"/>
    </row>
    <row r="670" spans="1:8">
      <c r="A670" s="42">
        <v>46126</v>
      </c>
      <c r="B670" s="14" t="s">
        <v>352</v>
      </c>
      <c r="C670" s="14" t="s">
        <v>3791</v>
      </c>
      <c r="D670" s="14" t="s">
        <v>2823</v>
      </c>
      <c r="E670" s="14" t="s">
        <v>3828</v>
      </c>
      <c r="F670" s="14">
        <v>1</v>
      </c>
      <c r="G670" s="14"/>
      <c r="H670" s="14"/>
    </row>
    <row r="671" spans="1:8">
      <c r="A671" s="42">
        <v>46126</v>
      </c>
      <c r="B671" s="14" t="s">
        <v>352</v>
      </c>
      <c r="C671" s="14" t="s">
        <v>3792</v>
      </c>
      <c r="D671" s="14" t="s">
        <v>2823</v>
      </c>
      <c r="E671" s="14" t="s">
        <v>3828</v>
      </c>
      <c r="F671" s="14">
        <v>1</v>
      </c>
      <c r="G671" s="14"/>
      <c r="H671" s="14"/>
    </row>
    <row r="672" spans="1:8">
      <c r="A672" s="42">
        <v>46126</v>
      </c>
      <c r="B672" s="14" t="s">
        <v>352</v>
      </c>
      <c r="C672" s="14" t="s">
        <v>3793</v>
      </c>
      <c r="D672" s="14" t="s">
        <v>2823</v>
      </c>
      <c r="E672" s="14" t="s">
        <v>3828</v>
      </c>
      <c r="F672" s="14">
        <v>1</v>
      </c>
      <c r="G672" s="14"/>
      <c r="H672" s="14"/>
    </row>
    <row r="673" spans="1:8">
      <c r="A673" s="42">
        <v>46126</v>
      </c>
      <c r="B673" s="14" t="s">
        <v>352</v>
      </c>
      <c r="C673" s="14" t="s">
        <v>3794</v>
      </c>
      <c r="D673" s="14" t="s">
        <v>2823</v>
      </c>
      <c r="E673" s="14" t="s">
        <v>3828</v>
      </c>
      <c r="F673" s="14">
        <v>1</v>
      </c>
      <c r="G673" s="14"/>
      <c r="H673" s="14"/>
    </row>
    <row r="674" spans="1:8">
      <c r="A674" s="42">
        <v>46126</v>
      </c>
      <c r="B674" s="14" t="s">
        <v>352</v>
      </c>
      <c r="C674" s="14" t="s">
        <v>3795</v>
      </c>
      <c r="D674" s="14" t="s">
        <v>2823</v>
      </c>
      <c r="E674" s="14" t="s">
        <v>3828</v>
      </c>
      <c r="F674" s="14">
        <v>1</v>
      </c>
      <c r="G674" s="14"/>
      <c r="H674" s="14"/>
    </row>
    <row r="675" spans="1:8">
      <c r="A675" s="42">
        <v>46126</v>
      </c>
      <c r="B675" s="14" t="s">
        <v>352</v>
      </c>
      <c r="C675" s="14" t="s">
        <v>3796</v>
      </c>
      <c r="D675" s="14" t="s">
        <v>2823</v>
      </c>
      <c r="E675" s="14" t="s">
        <v>3828</v>
      </c>
      <c r="F675" s="14">
        <v>1</v>
      </c>
      <c r="G675" s="14"/>
      <c r="H675" s="14"/>
    </row>
    <row r="676" spans="1:8">
      <c r="A676" s="42">
        <v>46126</v>
      </c>
      <c r="B676" s="14" t="s">
        <v>352</v>
      </c>
      <c r="C676" s="14" t="s">
        <v>3797</v>
      </c>
      <c r="D676" s="14" t="s">
        <v>2823</v>
      </c>
      <c r="E676" s="14" t="s">
        <v>3828</v>
      </c>
      <c r="F676" s="14">
        <v>1</v>
      </c>
      <c r="G676" s="14"/>
      <c r="H676" s="14"/>
    </row>
    <row r="677" spans="1:8">
      <c r="A677" s="42">
        <v>46126</v>
      </c>
      <c r="B677" s="14" t="s">
        <v>352</v>
      </c>
      <c r="C677" s="14" t="s">
        <v>3798</v>
      </c>
      <c r="D677" s="14" t="s">
        <v>2823</v>
      </c>
      <c r="E677" s="14" t="s">
        <v>3828</v>
      </c>
      <c r="F677" s="14">
        <v>1</v>
      </c>
      <c r="G677" s="14"/>
      <c r="H677" s="14"/>
    </row>
    <row r="678" spans="1:8">
      <c r="A678" s="42">
        <v>46126</v>
      </c>
      <c r="B678" s="14" t="s">
        <v>352</v>
      </c>
      <c r="C678" s="14" t="s">
        <v>3799</v>
      </c>
      <c r="D678" s="14" t="s">
        <v>2823</v>
      </c>
      <c r="E678" s="14" t="s">
        <v>3828</v>
      </c>
      <c r="F678" s="14">
        <v>1</v>
      </c>
      <c r="G678" s="14"/>
      <c r="H678" s="14"/>
    </row>
    <row r="679" spans="1:8">
      <c r="A679" s="42">
        <v>46126</v>
      </c>
      <c r="B679" s="14" t="s">
        <v>352</v>
      </c>
      <c r="C679" s="14" t="s">
        <v>3800</v>
      </c>
      <c r="D679" s="14" t="s">
        <v>2823</v>
      </c>
      <c r="E679" s="14" t="s">
        <v>3828</v>
      </c>
      <c r="F679" s="14">
        <v>1</v>
      </c>
      <c r="G679" s="14"/>
      <c r="H679" s="14"/>
    </row>
    <row r="680" spans="1:8">
      <c r="A680" s="42">
        <v>46126</v>
      </c>
      <c r="B680" s="14" t="s">
        <v>352</v>
      </c>
      <c r="C680" s="14" t="s">
        <v>3801</v>
      </c>
      <c r="D680" s="14" t="s">
        <v>2823</v>
      </c>
      <c r="E680" s="14" t="s">
        <v>3828</v>
      </c>
      <c r="F680" s="14">
        <v>1</v>
      </c>
      <c r="G680" s="14"/>
      <c r="H680" s="14"/>
    </row>
    <row r="681" spans="1:8">
      <c r="A681" s="42">
        <v>46126</v>
      </c>
      <c r="B681" s="14" t="s">
        <v>352</v>
      </c>
      <c r="C681" s="14" t="s">
        <v>3802</v>
      </c>
      <c r="D681" s="14" t="s">
        <v>2823</v>
      </c>
      <c r="E681" s="14" t="s">
        <v>3828</v>
      </c>
      <c r="F681" s="14">
        <v>1</v>
      </c>
      <c r="G681" s="14"/>
      <c r="H681" s="14"/>
    </row>
    <row r="682" spans="1:8">
      <c r="A682" s="42">
        <v>46126</v>
      </c>
      <c r="B682" s="14" t="s">
        <v>352</v>
      </c>
      <c r="C682" s="14" t="s">
        <v>3803</v>
      </c>
      <c r="D682" s="14" t="s">
        <v>2823</v>
      </c>
      <c r="E682" s="14" t="s">
        <v>3828</v>
      </c>
      <c r="F682" s="14">
        <v>1</v>
      </c>
      <c r="G682" s="14"/>
      <c r="H682" s="14"/>
    </row>
    <row r="683" spans="1:8">
      <c r="A683" s="42">
        <v>46126</v>
      </c>
      <c r="B683" s="14" t="s">
        <v>352</v>
      </c>
      <c r="C683" s="14" t="s">
        <v>3804</v>
      </c>
      <c r="D683" s="14" t="s">
        <v>2823</v>
      </c>
      <c r="E683" s="14" t="s">
        <v>3828</v>
      </c>
      <c r="F683" s="14">
        <v>1</v>
      </c>
      <c r="G683" s="14"/>
      <c r="H683" s="14"/>
    </row>
    <row r="684" spans="1:8">
      <c r="A684" s="42">
        <v>46126</v>
      </c>
      <c r="B684" s="14" t="s">
        <v>352</v>
      </c>
      <c r="C684" s="14" t="s">
        <v>3805</v>
      </c>
      <c r="D684" s="14" t="s">
        <v>2823</v>
      </c>
      <c r="E684" s="14" t="s">
        <v>3828</v>
      </c>
      <c r="F684" s="14">
        <v>1</v>
      </c>
      <c r="G684" s="14"/>
      <c r="H684" s="14"/>
    </row>
    <row r="685" spans="1:8">
      <c r="A685" s="42">
        <v>46126</v>
      </c>
      <c r="B685" s="14" t="s">
        <v>352</v>
      </c>
      <c r="C685" s="14" t="s">
        <v>3806</v>
      </c>
      <c r="D685" s="14" t="s">
        <v>2823</v>
      </c>
      <c r="E685" s="14" t="s">
        <v>3828</v>
      </c>
      <c r="F685" s="14">
        <v>1</v>
      </c>
      <c r="G685" s="14"/>
      <c r="H685" s="14"/>
    </row>
    <row r="686" spans="1:8">
      <c r="A686" s="42">
        <v>46126</v>
      </c>
      <c r="B686" s="14" t="s">
        <v>352</v>
      </c>
      <c r="C686" s="14" t="s">
        <v>3807</v>
      </c>
      <c r="D686" s="14" t="s">
        <v>2823</v>
      </c>
      <c r="E686" s="14" t="s">
        <v>3828</v>
      </c>
      <c r="F686" s="14">
        <v>1</v>
      </c>
      <c r="G686" s="14"/>
      <c r="H686" s="14"/>
    </row>
    <row r="687" spans="1:8">
      <c r="A687" s="42">
        <v>46126</v>
      </c>
      <c r="B687" s="14" t="s">
        <v>352</v>
      </c>
      <c r="C687" s="14" t="s">
        <v>3808</v>
      </c>
      <c r="D687" s="14" t="s">
        <v>2823</v>
      </c>
      <c r="E687" s="14" t="s">
        <v>3828</v>
      </c>
      <c r="F687" s="14">
        <v>1</v>
      </c>
      <c r="G687" s="14"/>
      <c r="H687" s="14"/>
    </row>
    <row r="688" spans="1:8">
      <c r="A688" s="42">
        <v>46126</v>
      </c>
      <c r="B688" s="14" t="s">
        <v>352</v>
      </c>
      <c r="C688" s="14" t="s">
        <v>3809</v>
      </c>
      <c r="D688" s="14" t="s">
        <v>2823</v>
      </c>
      <c r="E688" s="14" t="s">
        <v>3828</v>
      </c>
      <c r="F688" s="14">
        <v>1</v>
      </c>
      <c r="G688" s="14"/>
      <c r="H688" s="14"/>
    </row>
    <row r="689" spans="1:8">
      <c r="A689" s="42">
        <v>46126</v>
      </c>
      <c r="B689" s="14" t="s">
        <v>352</v>
      </c>
      <c r="C689" s="14" t="s">
        <v>3810</v>
      </c>
      <c r="D689" s="14" t="s">
        <v>2823</v>
      </c>
      <c r="E689" s="14" t="s">
        <v>3828</v>
      </c>
      <c r="F689" s="14">
        <v>1</v>
      </c>
      <c r="G689" s="14"/>
      <c r="H689" s="14"/>
    </row>
    <row r="690" spans="1:8">
      <c r="A690" s="42">
        <v>46126</v>
      </c>
      <c r="B690" s="14" t="s">
        <v>352</v>
      </c>
      <c r="C690" s="14" t="s">
        <v>3811</v>
      </c>
      <c r="D690" s="14" t="s">
        <v>2823</v>
      </c>
      <c r="E690" s="14" t="s">
        <v>3828</v>
      </c>
      <c r="F690" s="14">
        <v>1</v>
      </c>
      <c r="G690" s="14"/>
      <c r="H690" s="14"/>
    </row>
    <row r="691" spans="1:8">
      <c r="A691" s="42">
        <v>46126</v>
      </c>
      <c r="B691" s="14" t="s">
        <v>352</v>
      </c>
      <c r="C691" s="14" t="s">
        <v>3812</v>
      </c>
      <c r="D691" s="14" t="s">
        <v>2823</v>
      </c>
      <c r="E691" s="14" t="s">
        <v>3828</v>
      </c>
      <c r="F691" s="14">
        <v>1</v>
      </c>
      <c r="G691" s="14"/>
      <c r="H691" s="14"/>
    </row>
    <row r="692" spans="1:8">
      <c r="A692" s="42">
        <v>46126</v>
      </c>
      <c r="B692" s="14" t="s">
        <v>352</v>
      </c>
      <c r="C692" s="14" t="s">
        <v>3813</v>
      </c>
      <c r="D692" s="14" t="s">
        <v>2823</v>
      </c>
      <c r="E692" s="14" t="s">
        <v>3828</v>
      </c>
      <c r="F692" s="14">
        <v>1</v>
      </c>
      <c r="G692" s="14"/>
      <c r="H692" s="14"/>
    </row>
    <row r="693" spans="1:8">
      <c r="A693" s="42">
        <v>46126</v>
      </c>
      <c r="B693" s="14" t="s">
        <v>352</v>
      </c>
      <c r="C693" s="14" t="s">
        <v>3814</v>
      </c>
      <c r="D693" s="14" t="s">
        <v>2823</v>
      </c>
      <c r="E693" s="14" t="s">
        <v>3828</v>
      </c>
      <c r="F693" s="14">
        <v>1</v>
      </c>
      <c r="G693" s="14"/>
      <c r="H693" s="14"/>
    </row>
    <row r="694" spans="1:8">
      <c r="A694" s="42">
        <v>46126</v>
      </c>
      <c r="B694" s="14" t="s">
        <v>352</v>
      </c>
      <c r="C694" s="14" t="s">
        <v>3815</v>
      </c>
      <c r="D694" s="14" t="s">
        <v>2823</v>
      </c>
      <c r="E694" s="14" t="s">
        <v>3828</v>
      </c>
      <c r="F694" s="14">
        <v>1</v>
      </c>
      <c r="G694" s="14"/>
      <c r="H694" s="14"/>
    </row>
    <row r="695" spans="1:8">
      <c r="A695" s="42">
        <v>46126</v>
      </c>
      <c r="B695" s="14" t="s">
        <v>352</v>
      </c>
      <c r="C695" s="14" t="s">
        <v>3816</v>
      </c>
      <c r="D695" s="14" t="s">
        <v>2823</v>
      </c>
      <c r="E695" s="14" t="s">
        <v>3828</v>
      </c>
      <c r="F695" s="14">
        <v>1</v>
      </c>
      <c r="G695" s="14"/>
      <c r="H695" s="14"/>
    </row>
    <row r="696" spans="1:8">
      <c r="A696" s="42">
        <v>46126</v>
      </c>
      <c r="B696" s="14" t="s">
        <v>352</v>
      </c>
      <c r="C696" s="14" t="s">
        <v>3817</v>
      </c>
      <c r="D696" s="14" t="s">
        <v>2823</v>
      </c>
      <c r="E696" s="14" t="s">
        <v>3828</v>
      </c>
      <c r="F696" s="14">
        <v>1</v>
      </c>
      <c r="G696" s="14"/>
      <c r="H696" s="14"/>
    </row>
    <row r="697" spans="1:8">
      <c r="A697" s="42">
        <v>46126</v>
      </c>
      <c r="B697" s="14" t="s">
        <v>352</v>
      </c>
      <c r="C697" s="14" t="s">
        <v>3818</v>
      </c>
      <c r="D697" s="14" t="s">
        <v>2823</v>
      </c>
      <c r="E697" s="14" t="s">
        <v>3828</v>
      </c>
      <c r="F697" s="14">
        <v>1</v>
      </c>
      <c r="G697" s="14"/>
      <c r="H697" s="14"/>
    </row>
    <row r="698" spans="1:8">
      <c r="A698" s="42">
        <v>46126</v>
      </c>
      <c r="B698" s="14" t="s">
        <v>352</v>
      </c>
      <c r="C698" s="14" t="s">
        <v>3819</v>
      </c>
      <c r="D698" s="14" t="s">
        <v>2823</v>
      </c>
      <c r="E698" s="14" t="s">
        <v>3828</v>
      </c>
      <c r="F698" s="14">
        <v>1</v>
      </c>
      <c r="G698" s="14"/>
      <c r="H698" s="14"/>
    </row>
    <row r="699" spans="1:8">
      <c r="A699" s="42">
        <v>46126</v>
      </c>
      <c r="B699" s="14" t="s">
        <v>352</v>
      </c>
      <c r="C699" s="14" t="s">
        <v>3820</v>
      </c>
      <c r="D699" s="14" t="s">
        <v>2823</v>
      </c>
      <c r="E699" s="14" t="s">
        <v>3828</v>
      </c>
      <c r="F699" s="14">
        <v>1</v>
      </c>
      <c r="G699" s="14"/>
      <c r="H699" s="14"/>
    </row>
    <row r="700" spans="1:8">
      <c r="A700" s="42">
        <v>46126</v>
      </c>
      <c r="B700" s="14" t="s">
        <v>352</v>
      </c>
      <c r="C700" s="14" t="s">
        <v>3821</v>
      </c>
      <c r="D700" s="14" t="s">
        <v>2823</v>
      </c>
      <c r="E700" s="14" t="s">
        <v>3828</v>
      </c>
      <c r="F700" s="14">
        <v>1</v>
      </c>
      <c r="G700" s="14"/>
      <c r="H700" s="14"/>
    </row>
    <row r="701" spans="1:8">
      <c r="A701" s="42">
        <v>46126</v>
      </c>
      <c r="B701" s="14" t="s">
        <v>352</v>
      </c>
      <c r="C701" s="14" t="s">
        <v>3822</v>
      </c>
      <c r="D701" s="14" t="s">
        <v>2823</v>
      </c>
      <c r="E701" s="14" t="s">
        <v>3828</v>
      </c>
      <c r="F701" s="14">
        <v>1</v>
      </c>
      <c r="G701" s="14"/>
      <c r="H701" s="14"/>
    </row>
    <row r="702" spans="1:8">
      <c r="A702" s="42">
        <v>46126</v>
      </c>
      <c r="B702" s="14" t="s">
        <v>352</v>
      </c>
      <c r="C702" s="14" t="s">
        <v>3823</v>
      </c>
      <c r="D702" s="14" t="s">
        <v>2823</v>
      </c>
      <c r="E702" s="14" t="s">
        <v>3828</v>
      </c>
      <c r="F702" s="14">
        <v>1</v>
      </c>
      <c r="G702" s="14"/>
      <c r="H702" s="14"/>
    </row>
    <row r="703" spans="1:8">
      <c r="A703" s="42">
        <v>46126</v>
      </c>
      <c r="B703" s="14" t="s">
        <v>352</v>
      </c>
      <c r="C703" s="14" t="s">
        <v>3824</v>
      </c>
      <c r="D703" s="14" t="s">
        <v>2823</v>
      </c>
      <c r="E703" s="14" t="s">
        <v>3828</v>
      </c>
      <c r="F703" s="14">
        <v>1</v>
      </c>
      <c r="G703" s="14"/>
      <c r="H703" s="14"/>
    </row>
    <row r="704" spans="1:8">
      <c r="A704" s="42">
        <v>46126</v>
      </c>
      <c r="B704" s="14" t="s">
        <v>352</v>
      </c>
      <c r="C704" s="14" t="s">
        <v>3825</v>
      </c>
      <c r="D704" s="14" t="s">
        <v>2823</v>
      </c>
      <c r="E704" s="14" t="s">
        <v>3828</v>
      </c>
      <c r="F704" s="14">
        <v>1</v>
      </c>
      <c r="G704" s="14"/>
      <c r="H704" s="14"/>
    </row>
    <row r="705" spans="1:8">
      <c r="A705" s="42">
        <v>46126</v>
      </c>
      <c r="B705" s="14" t="s">
        <v>352</v>
      </c>
      <c r="C705" s="14" t="s">
        <v>3826</v>
      </c>
      <c r="D705" s="14" t="s">
        <v>2823</v>
      </c>
      <c r="E705" s="14" t="s">
        <v>3828</v>
      </c>
      <c r="F705" s="14">
        <v>1</v>
      </c>
      <c r="G705" s="14"/>
      <c r="H705" s="14"/>
    </row>
    <row r="706" spans="1:8">
      <c r="A706" s="42">
        <v>46126</v>
      </c>
      <c r="B706" s="14" t="s">
        <v>352</v>
      </c>
      <c r="C706" s="14" t="s">
        <v>3827</v>
      </c>
      <c r="D706" s="14" t="s">
        <v>2823</v>
      </c>
      <c r="E706" s="14" t="s">
        <v>3828</v>
      </c>
      <c r="F706" s="14">
        <v>1</v>
      </c>
      <c r="G706" s="14"/>
      <c r="H706" s="14"/>
    </row>
    <row r="707" spans="1:8">
      <c r="A707" s="42">
        <v>46129</v>
      </c>
      <c r="B707" s="14" t="s">
        <v>457</v>
      </c>
      <c r="C707" s="14" t="s">
        <v>3839</v>
      </c>
      <c r="D707" s="14" t="s">
        <v>2562</v>
      </c>
      <c r="E707" s="14" t="s">
        <v>3047</v>
      </c>
      <c r="F707" s="14">
        <v>1</v>
      </c>
      <c r="G707" s="14"/>
      <c r="H707" s="14"/>
    </row>
    <row r="708" spans="1:8">
      <c r="A708" s="42">
        <v>46129</v>
      </c>
      <c r="B708" s="14" t="s">
        <v>457</v>
      </c>
      <c r="C708" s="14" t="s">
        <v>3840</v>
      </c>
      <c r="D708" s="14" t="s">
        <v>2562</v>
      </c>
      <c r="E708" s="14" t="s">
        <v>3047</v>
      </c>
      <c r="F708" s="14">
        <v>1</v>
      </c>
      <c r="G708" s="14"/>
      <c r="H708" s="14"/>
    </row>
    <row r="709" spans="1:8">
      <c r="A709" s="42">
        <v>46129</v>
      </c>
      <c r="B709" s="14" t="s">
        <v>457</v>
      </c>
      <c r="C709" s="14" t="s">
        <v>3841</v>
      </c>
      <c r="D709" s="14" t="s">
        <v>2562</v>
      </c>
      <c r="E709" s="14" t="s">
        <v>3047</v>
      </c>
      <c r="F709" s="14">
        <v>1</v>
      </c>
      <c r="G709" s="14"/>
      <c r="H709" s="14"/>
    </row>
    <row r="710" spans="1:8">
      <c r="A710" s="42">
        <v>46129</v>
      </c>
      <c r="B710" s="14" t="s">
        <v>457</v>
      </c>
      <c r="C710" s="14" t="s">
        <v>3842</v>
      </c>
      <c r="D710" s="14" t="s">
        <v>2562</v>
      </c>
      <c r="E710" s="14" t="s">
        <v>3047</v>
      </c>
      <c r="F710" s="14">
        <v>1</v>
      </c>
      <c r="G710" s="14"/>
      <c r="H710" s="14"/>
    </row>
    <row r="711" spans="1:8">
      <c r="A711" s="42">
        <v>46129</v>
      </c>
      <c r="B711" s="14" t="s">
        <v>457</v>
      </c>
      <c r="C711" s="14" t="s">
        <v>3843</v>
      </c>
      <c r="D711" s="14" t="s">
        <v>2562</v>
      </c>
      <c r="E711" s="14" t="s">
        <v>3047</v>
      </c>
      <c r="F711" s="14">
        <v>1</v>
      </c>
      <c r="G711" s="14"/>
      <c r="H711" s="14"/>
    </row>
    <row r="712" spans="1:8">
      <c r="A712" s="42">
        <v>46129</v>
      </c>
      <c r="B712" s="14" t="s">
        <v>457</v>
      </c>
      <c r="C712" s="14" t="s">
        <v>3844</v>
      </c>
      <c r="D712" s="14" t="s">
        <v>2562</v>
      </c>
      <c r="E712" s="14" t="s">
        <v>3047</v>
      </c>
      <c r="F712" s="14">
        <v>1</v>
      </c>
      <c r="G712" s="14"/>
      <c r="H712" s="14"/>
    </row>
    <row r="713" spans="1:8">
      <c r="A713" s="42">
        <v>46129</v>
      </c>
      <c r="B713" s="14" t="s">
        <v>457</v>
      </c>
      <c r="C713" s="14" t="s">
        <v>3845</v>
      </c>
      <c r="D713" s="14" t="s">
        <v>2562</v>
      </c>
      <c r="E713" s="14" t="s">
        <v>3047</v>
      </c>
      <c r="F713" s="14">
        <v>1</v>
      </c>
      <c r="G713" s="14"/>
      <c r="H713" s="14"/>
    </row>
    <row r="714" spans="1:8">
      <c r="A714" s="42">
        <v>46129</v>
      </c>
      <c r="B714" s="14" t="s">
        <v>457</v>
      </c>
      <c r="C714" s="14" t="s">
        <v>3846</v>
      </c>
      <c r="D714" s="14" t="s">
        <v>2562</v>
      </c>
      <c r="E714" s="14" t="s">
        <v>3047</v>
      </c>
      <c r="F714" s="14">
        <v>1</v>
      </c>
      <c r="G714" s="14"/>
      <c r="H714" s="14"/>
    </row>
    <row r="715" spans="1:8">
      <c r="A715" s="42">
        <v>46129</v>
      </c>
      <c r="B715" s="14" t="s">
        <v>457</v>
      </c>
      <c r="C715" s="14" t="s">
        <v>3847</v>
      </c>
      <c r="D715" s="14" t="s">
        <v>2562</v>
      </c>
      <c r="E715" s="14" t="s">
        <v>3047</v>
      </c>
      <c r="F715" s="14">
        <v>1</v>
      </c>
      <c r="G715" s="14"/>
      <c r="H715" s="14"/>
    </row>
    <row r="716" spans="1:8">
      <c r="A716" s="42">
        <v>46129</v>
      </c>
      <c r="B716" s="14" t="s">
        <v>457</v>
      </c>
      <c r="C716" s="14" t="s">
        <v>3848</v>
      </c>
      <c r="D716" s="14" t="s">
        <v>2562</v>
      </c>
      <c r="E716" s="14" t="s">
        <v>3047</v>
      </c>
      <c r="F716" s="14">
        <v>1</v>
      </c>
      <c r="G716" s="14"/>
      <c r="H716" s="14"/>
    </row>
    <row r="717" spans="1:8">
      <c r="A717" s="42">
        <v>46129</v>
      </c>
      <c r="B717" s="14" t="s">
        <v>457</v>
      </c>
      <c r="C717" s="14" t="s">
        <v>3849</v>
      </c>
      <c r="D717" s="14" t="s">
        <v>2562</v>
      </c>
      <c r="E717" s="14" t="s">
        <v>3047</v>
      </c>
      <c r="F717" s="14">
        <v>1</v>
      </c>
      <c r="G717" s="14"/>
      <c r="H717" s="14"/>
    </row>
    <row r="718" spans="1:8">
      <c r="A718" s="42">
        <v>46129</v>
      </c>
      <c r="B718" s="14" t="s">
        <v>457</v>
      </c>
      <c r="C718" s="14" t="s">
        <v>3850</v>
      </c>
      <c r="D718" s="14" t="s">
        <v>2562</v>
      </c>
      <c r="E718" s="14" t="s">
        <v>3047</v>
      </c>
      <c r="F718" s="14">
        <v>1</v>
      </c>
      <c r="G718" s="14"/>
      <c r="H718" s="14"/>
    </row>
    <row r="719" spans="1:8">
      <c r="A719" s="42">
        <v>46129</v>
      </c>
      <c r="B719" s="14" t="s">
        <v>457</v>
      </c>
      <c r="C719" s="14" t="s">
        <v>3851</v>
      </c>
      <c r="D719" s="14" t="s">
        <v>2562</v>
      </c>
      <c r="E719" s="14" t="s">
        <v>3047</v>
      </c>
      <c r="F719" s="14">
        <v>1</v>
      </c>
      <c r="G719" s="14"/>
      <c r="H719" s="14"/>
    </row>
    <row r="720" spans="1:8">
      <c r="A720" s="42">
        <v>46129</v>
      </c>
      <c r="B720" s="14" t="s">
        <v>457</v>
      </c>
      <c r="C720" s="14" t="s">
        <v>3852</v>
      </c>
      <c r="D720" s="14" t="s">
        <v>2562</v>
      </c>
      <c r="E720" s="14" t="s">
        <v>3047</v>
      </c>
      <c r="F720" s="14">
        <v>1</v>
      </c>
      <c r="G720" s="14"/>
      <c r="H720" s="14"/>
    </row>
    <row r="721" spans="1:8">
      <c r="A721" s="42">
        <v>46129</v>
      </c>
      <c r="B721" s="14" t="s">
        <v>457</v>
      </c>
      <c r="C721" s="14" t="s">
        <v>3853</v>
      </c>
      <c r="D721" s="14" t="s">
        <v>2562</v>
      </c>
      <c r="E721" s="14" t="s">
        <v>3047</v>
      </c>
      <c r="F721" s="14">
        <v>1</v>
      </c>
      <c r="G721" s="14"/>
      <c r="H721" s="14"/>
    </row>
    <row r="722" spans="1:8">
      <c r="A722" s="42">
        <v>46129</v>
      </c>
      <c r="B722" s="14" t="s">
        <v>457</v>
      </c>
      <c r="C722" s="14" t="s">
        <v>3854</v>
      </c>
      <c r="D722" s="14" t="s">
        <v>2562</v>
      </c>
      <c r="E722" s="14" t="s">
        <v>3047</v>
      </c>
      <c r="F722" s="14">
        <v>1</v>
      </c>
      <c r="G722" s="14"/>
      <c r="H722" s="14"/>
    </row>
    <row r="723" spans="1:8">
      <c r="A723" s="42">
        <v>46129</v>
      </c>
      <c r="B723" s="14" t="s">
        <v>457</v>
      </c>
      <c r="C723" s="14" t="s">
        <v>3855</v>
      </c>
      <c r="D723" s="14" t="s">
        <v>2562</v>
      </c>
      <c r="E723" s="14" t="s">
        <v>3047</v>
      </c>
      <c r="F723" s="14">
        <v>1</v>
      </c>
      <c r="G723" s="14"/>
      <c r="H723" s="14"/>
    </row>
    <row r="724" spans="1:8">
      <c r="A724" s="42">
        <v>46129</v>
      </c>
      <c r="B724" s="14" t="s">
        <v>457</v>
      </c>
      <c r="C724" s="14" t="s">
        <v>3856</v>
      </c>
      <c r="D724" s="14" t="s">
        <v>2562</v>
      </c>
      <c r="E724" s="14" t="s">
        <v>3047</v>
      </c>
      <c r="F724" s="14">
        <v>1</v>
      </c>
      <c r="G724" s="14"/>
      <c r="H724" s="14"/>
    </row>
    <row r="725" spans="1:8">
      <c r="A725" s="42">
        <v>46129</v>
      </c>
      <c r="B725" s="14" t="s">
        <v>457</v>
      </c>
      <c r="C725" s="14" t="s">
        <v>3857</v>
      </c>
      <c r="D725" s="14" t="s">
        <v>2562</v>
      </c>
      <c r="E725" s="14" t="s">
        <v>3047</v>
      </c>
      <c r="F725" s="14">
        <v>1</v>
      </c>
      <c r="G725" s="14"/>
      <c r="H725" s="14"/>
    </row>
    <row r="726" spans="1:8">
      <c r="A726" s="42">
        <v>46129</v>
      </c>
      <c r="B726" s="14" t="s">
        <v>457</v>
      </c>
      <c r="C726" s="14" t="s">
        <v>3858</v>
      </c>
      <c r="D726" s="14" t="s">
        <v>2562</v>
      </c>
      <c r="E726" s="14" t="s">
        <v>3047</v>
      </c>
      <c r="F726" s="14">
        <v>1</v>
      </c>
      <c r="G726" s="14"/>
      <c r="H726" s="14"/>
    </row>
    <row r="727" spans="1:8">
      <c r="A727" s="42">
        <v>46129</v>
      </c>
      <c r="B727" s="14" t="s">
        <v>457</v>
      </c>
      <c r="C727" s="14" t="s">
        <v>3859</v>
      </c>
      <c r="D727" s="14" t="s">
        <v>2562</v>
      </c>
      <c r="E727" s="14" t="s">
        <v>3047</v>
      </c>
      <c r="F727" s="14">
        <v>1</v>
      </c>
      <c r="G727" s="14"/>
      <c r="H727" s="14"/>
    </row>
    <row r="728" spans="1:8">
      <c r="A728" s="42">
        <v>46129</v>
      </c>
      <c r="B728" s="14" t="s">
        <v>457</v>
      </c>
      <c r="C728" s="14" t="s">
        <v>3860</v>
      </c>
      <c r="D728" s="14" t="s">
        <v>2562</v>
      </c>
      <c r="E728" s="14" t="s">
        <v>3047</v>
      </c>
      <c r="F728" s="14">
        <v>1</v>
      </c>
      <c r="G728" s="14"/>
      <c r="H728" s="14"/>
    </row>
    <row r="729" spans="1:8">
      <c r="A729" s="42">
        <v>46129</v>
      </c>
      <c r="B729" s="14" t="s">
        <v>457</v>
      </c>
      <c r="C729" s="14" t="s">
        <v>3861</v>
      </c>
      <c r="D729" s="14" t="s">
        <v>2562</v>
      </c>
      <c r="E729" s="14" t="s">
        <v>3047</v>
      </c>
      <c r="F729" s="14">
        <v>1</v>
      </c>
      <c r="G729" s="14"/>
      <c r="H729" s="14"/>
    </row>
    <row r="730" spans="1:8">
      <c r="A730" s="42">
        <v>46129</v>
      </c>
      <c r="B730" s="14" t="s">
        <v>457</v>
      </c>
      <c r="C730" s="14" t="s">
        <v>3862</v>
      </c>
      <c r="D730" s="14" t="s">
        <v>2562</v>
      </c>
      <c r="E730" s="14" t="s">
        <v>3047</v>
      </c>
      <c r="F730" s="14">
        <v>1</v>
      </c>
      <c r="G730" s="14"/>
      <c r="H730" s="14"/>
    </row>
    <row r="731" spans="1:8">
      <c r="A731" s="42">
        <v>46129</v>
      </c>
      <c r="B731" s="14" t="s">
        <v>457</v>
      </c>
      <c r="C731" s="14" t="s">
        <v>3863</v>
      </c>
      <c r="D731" s="14" t="s">
        <v>2562</v>
      </c>
      <c r="E731" s="14" t="s">
        <v>3047</v>
      </c>
      <c r="F731" s="14">
        <v>1</v>
      </c>
      <c r="G731" s="14"/>
      <c r="H731" s="14"/>
    </row>
    <row r="732" spans="1:8">
      <c r="A732" s="42">
        <v>46129</v>
      </c>
      <c r="B732" s="14" t="s">
        <v>457</v>
      </c>
      <c r="C732" s="14" t="s">
        <v>3864</v>
      </c>
      <c r="D732" s="14" t="s">
        <v>2562</v>
      </c>
      <c r="E732" s="14" t="s">
        <v>3047</v>
      </c>
      <c r="F732" s="14">
        <v>1</v>
      </c>
      <c r="G732" s="14"/>
      <c r="H732" s="14"/>
    </row>
    <row r="733" spans="1:8">
      <c r="A733" s="42">
        <v>46129</v>
      </c>
      <c r="B733" s="14" t="s">
        <v>457</v>
      </c>
      <c r="C733" s="14" t="s">
        <v>3865</v>
      </c>
      <c r="D733" s="14" t="s">
        <v>2562</v>
      </c>
      <c r="E733" s="14" t="s">
        <v>3047</v>
      </c>
      <c r="F733" s="14">
        <v>1</v>
      </c>
      <c r="G733" s="14"/>
      <c r="H733" s="14"/>
    </row>
    <row r="734" spans="1:8">
      <c r="A734" s="42">
        <v>46129</v>
      </c>
      <c r="B734" s="14" t="s">
        <v>457</v>
      </c>
      <c r="C734" s="14" t="s">
        <v>3866</v>
      </c>
      <c r="D734" s="14" t="s">
        <v>2562</v>
      </c>
      <c r="E734" s="14" t="s">
        <v>3047</v>
      </c>
      <c r="F734" s="14">
        <v>1</v>
      </c>
      <c r="G734" s="14"/>
      <c r="H734" s="14"/>
    </row>
    <row r="735" spans="1:8">
      <c r="A735" s="42">
        <v>46129</v>
      </c>
      <c r="B735" s="14" t="s">
        <v>457</v>
      </c>
      <c r="C735" s="14" t="s">
        <v>3867</v>
      </c>
      <c r="D735" s="14" t="s">
        <v>2562</v>
      </c>
      <c r="E735" s="14" t="s">
        <v>3047</v>
      </c>
      <c r="F735" s="14">
        <v>1</v>
      </c>
      <c r="G735" s="14"/>
      <c r="H735" s="14"/>
    </row>
    <row r="736" spans="1:8">
      <c r="A736" s="42">
        <v>46129</v>
      </c>
      <c r="B736" s="14" t="s">
        <v>457</v>
      </c>
      <c r="C736" s="14" t="s">
        <v>3868</v>
      </c>
      <c r="D736" s="14" t="s">
        <v>2562</v>
      </c>
      <c r="E736" s="14" t="s">
        <v>3047</v>
      </c>
      <c r="F736" s="14">
        <v>1</v>
      </c>
      <c r="G736" s="14"/>
      <c r="H736" s="14"/>
    </row>
    <row r="737" spans="1:8">
      <c r="A737" s="42">
        <v>46129</v>
      </c>
      <c r="B737" s="14" t="s">
        <v>457</v>
      </c>
      <c r="C737" s="14" t="s">
        <v>3869</v>
      </c>
      <c r="D737" s="14" t="s">
        <v>2562</v>
      </c>
      <c r="E737" s="14" t="s">
        <v>3047</v>
      </c>
      <c r="F737" s="14">
        <v>1</v>
      </c>
      <c r="G737" s="14"/>
      <c r="H737" s="14"/>
    </row>
    <row r="738" spans="1:8">
      <c r="A738" s="42">
        <v>46129</v>
      </c>
      <c r="B738" s="14" t="s">
        <v>457</v>
      </c>
      <c r="C738" s="14" t="s">
        <v>3870</v>
      </c>
      <c r="D738" s="14" t="s">
        <v>2562</v>
      </c>
      <c r="E738" s="14" t="s">
        <v>3047</v>
      </c>
      <c r="F738" s="14">
        <v>1</v>
      </c>
      <c r="G738" s="14"/>
      <c r="H738" s="14"/>
    </row>
    <row r="739" spans="1:8">
      <c r="A739" s="42">
        <v>46129</v>
      </c>
      <c r="B739" s="14" t="s">
        <v>457</v>
      </c>
      <c r="C739" s="14" t="s">
        <v>3871</v>
      </c>
      <c r="D739" s="14" t="s">
        <v>2562</v>
      </c>
      <c r="E739" s="14" t="s">
        <v>3047</v>
      </c>
      <c r="F739" s="14">
        <v>1</v>
      </c>
      <c r="G739" s="14"/>
      <c r="H739" s="14"/>
    </row>
    <row r="740" spans="1:8">
      <c r="A740" s="42">
        <v>46129</v>
      </c>
      <c r="B740" s="14" t="s">
        <v>457</v>
      </c>
      <c r="C740" s="14" t="s">
        <v>3872</v>
      </c>
      <c r="D740" s="14" t="s">
        <v>2562</v>
      </c>
      <c r="E740" s="14" t="s">
        <v>3047</v>
      </c>
      <c r="F740" s="14">
        <v>1</v>
      </c>
      <c r="G740" s="14"/>
      <c r="H740" s="14"/>
    </row>
    <row r="741" spans="1:8">
      <c r="A741" s="42">
        <v>46129</v>
      </c>
      <c r="B741" s="14" t="s">
        <v>457</v>
      </c>
      <c r="C741" s="14" t="s">
        <v>3873</v>
      </c>
      <c r="D741" s="14" t="s">
        <v>2562</v>
      </c>
      <c r="E741" s="14" t="s">
        <v>3047</v>
      </c>
      <c r="F741" s="14">
        <v>1</v>
      </c>
      <c r="G741" s="14"/>
      <c r="H741" s="14"/>
    </row>
    <row r="742" spans="1:8">
      <c r="A742" s="42">
        <v>46129</v>
      </c>
      <c r="B742" s="14" t="s">
        <v>457</v>
      </c>
      <c r="C742" s="14" t="s">
        <v>3874</v>
      </c>
      <c r="D742" s="14" t="s">
        <v>2562</v>
      </c>
      <c r="E742" s="14" t="s">
        <v>3047</v>
      </c>
      <c r="F742" s="14">
        <v>1</v>
      </c>
      <c r="G742" s="14"/>
      <c r="H742" s="14"/>
    </row>
    <row r="743" spans="1:8">
      <c r="A743" s="42">
        <v>46129</v>
      </c>
      <c r="B743" s="14" t="s">
        <v>457</v>
      </c>
      <c r="C743" s="14" t="s">
        <v>3875</v>
      </c>
      <c r="D743" s="14" t="s">
        <v>2562</v>
      </c>
      <c r="E743" s="14" t="s">
        <v>3047</v>
      </c>
      <c r="F743" s="14">
        <v>1</v>
      </c>
      <c r="G743" s="14" t="s">
        <v>2214</v>
      </c>
      <c r="H743" s="14"/>
    </row>
    <row r="744" spans="1:8">
      <c r="A744" s="42">
        <v>46129</v>
      </c>
      <c r="B744" s="14" t="s">
        <v>457</v>
      </c>
      <c r="C744" s="14" t="s">
        <v>3876</v>
      </c>
      <c r="D744" s="14" t="s">
        <v>2562</v>
      </c>
      <c r="E744" s="14" t="s">
        <v>3047</v>
      </c>
      <c r="F744" s="14">
        <v>1</v>
      </c>
      <c r="G744" s="14"/>
      <c r="H744" s="14"/>
    </row>
    <row r="745" spans="1:8">
      <c r="A745" s="42">
        <v>46129</v>
      </c>
      <c r="B745" s="14" t="s">
        <v>457</v>
      </c>
      <c r="C745" s="14" t="s">
        <v>3877</v>
      </c>
      <c r="D745" s="14" t="s">
        <v>2562</v>
      </c>
      <c r="E745" s="14" t="s">
        <v>3047</v>
      </c>
      <c r="F745" s="14">
        <v>1</v>
      </c>
      <c r="G745" s="14" t="s">
        <v>2182</v>
      </c>
      <c r="H745" s="14"/>
    </row>
    <row r="746" spans="1:8">
      <c r="A746" s="42">
        <v>46129</v>
      </c>
      <c r="B746" s="14" t="s">
        <v>457</v>
      </c>
      <c r="C746" s="14" t="s">
        <v>3878</v>
      </c>
      <c r="D746" s="14" t="s">
        <v>2562</v>
      </c>
      <c r="E746" s="14" t="s">
        <v>3047</v>
      </c>
      <c r="F746" s="14">
        <v>1</v>
      </c>
      <c r="G746" s="14" t="s">
        <v>1414</v>
      </c>
      <c r="H746" s="14"/>
    </row>
    <row r="747" spans="1:8">
      <c r="A747" s="42">
        <v>46129</v>
      </c>
      <c r="B747" s="14" t="s">
        <v>457</v>
      </c>
      <c r="C747" s="14" t="s">
        <v>3879</v>
      </c>
      <c r="D747" s="14" t="s">
        <v>2562</v>
      </c>
      <c r="E747" s="14" t="s">
        <v>3047</v>
      </c>
      <c r="F747" s="14">
        <v>1</v>
      </c>
      <c r="G747" s="14" t="s">
        <v>2058</v>
      </c>
      <c r="H747" s="14"/>
    </row>
    <row r="748" spans="1:8">
      <c r="H748" s="8"/>
    </row>
  </sheetData>
  <autoFilter ref="A1:N747" xr:uid="{610D6000-F878-47D7-A3C6-8C0E0C8E5EC7}"/>
  <phoneticPr fontId="7" type="noConversion"/>
  <conditionalFormatting sqref="A371:E371">
    <cfRule type="expression" dxfId="133" priority="88">
      <formula>$G371&lt;&gt;""</formula>
    </cfRule>
  </conditionalFormatting>
  <conditionalFormatting sqref="A231:F231">
    <cfRule type="expression" dxfId="132" priority="221">
      <formula>#REF!&lt;&gt;""</formula>
    </cfRule>
  </conditionalFormatting>
  <conditionalFormatting sqref="A232:F232 B632">
    <cfRule type="expression" dxfId="131" priority="220">
      <formula>$G231&lt;&gt;""</formula>
    </cfRule>
  </conditionalFormatting>
  <conditionalFormatting sqref="A2:G230 A233:G357 A358:E370 A372:E379 A380:D381 A382:E387 A388:G432 A433:F442 B445:E450 B451:G451 A452:F453 A454:E454 A455:F459 A460:E460 A461:F464 A465:E523 A524:D529 A530:F530 A531:C536 A537:F537 A538:D539 A540:F544 A545:D545 A546:F552 A553:D555 A556:F556 A557:D558 A559:F559 A560:D563 A564:F568 A569:D569 A571:F577 A578:G578 A579:E598 A599:G599 A600:E609 A610:C610 C631:G632 G231:G232 D409:D531 G433:H433 A443:B443 E443:F443 C443:D444 B444 A444:A451 D537:D569 D581:D599 E590:E608 E610:G610 D610:D621 A611:A747 G623:G629 B624:G624">
    <cfRule type="expression" dxfId="130" priority="214">
      <formula>$G2&lt;&gt;""</formula>
    </cfRule>
  </conditionalFormatting>
  <conditionalFormatting sqref="B433 C445:C569 C2:C370 C571:C610 C372:C442 C631:C632 C666:C1048576">
    <cfRule type="duplicateValues" dxfId="129" priority="209"/>
  </conditionalFormatting>
  <conditionalFormatting sqref="B578">
    <cfRule type="duplicateValues" dxfId="128" priority="149"/>
    <cfRule type="duplicateValues" dxfId="127" priority="148"/>
  </conditionalFormatting>
  <conditionalFormatting sqref="B581">
    <cfRule type="duplicateValues" dxfId="126" priority="147"/>
  </conditionalFormatting>
  <conditionalFormatting sqref="B613">
    <cfRule type="expression" dxfId="125" priority="27">
      <formula>$G613&lt;&gt;""</formula>
    </cfRule>
  </conditionalFormatting>
  <conditionalFormatting sqref="B617">
    <cfRule type="expression" dxfId="124" priority="150">
      <formula>$G617&lt;&gt;""</formula>
    </cfRule>
  </conditionalFormatting>
  <conditionalFormatting sqref="B630:B631">
    <cfRule type="expression" dxfId="123" priority="108">
      <formula>$G630&lt;&gt;""</formula>
    </cfRule>
  </conditionalFormatting>
  <conditionalFormatting sqref="B638">
    <cfRule type="duplicateValues" dxfId="122" priority="22"/>
  </conditionalFormatting>
  <conditionalFormatting sqref="B640:B665 A570 G660:G706 G665:H706 B666:C747 A748:H748 A749:G1048576">
    <cfRule type="expression" dxfId="121" priority="105">
      <formula>$G570&lt;&gt;""</formula>
    </cfRule>
  </conditionalFormatting>
  <conditionalFormatting sqref="B642">
    <cfRule type="duplicateValues" dxfId="120" priority="76"/>
  </conditionalFormatting>
  <conditionalFormatting sqref="B619:C619">
    <cfRule type="expression" dxfId="119" priority="142">
      <formula>$G619&lt;&gt;""</formula>
    </cfRule>
  </conditionalFormatting>
  <conditionalFormatting sqref="B635:C635">
    <cfRule type="duplicateValues" dxfId="118" priority="42"/>
  </conditionalFormatting>
  <conditionalFormatting sqref="B637:C637">
    <cfRule type="duplicateValues" dxfId="117" priority="64"/>
  </conditionalFormatting>
  <conditionalFormatting sqref="B635:D635">
    <cfRule type="expression" dxfId="116" priority="43">
      <formula>$G635&lt;&gt;""</formula>
    </cfRule>
  </conditionalFormatting>
  <conditionalFormatting sqref="B637:D637">
    <cfRule type="expression" dxfId="115" priority="65">
      <formula>$G637&lt;&gt;""</formula>
    </cfRule>
  </conditionalFormatting>
  <conditionalFormatting sqref="B638:D638">
    <cfRule type="expression" dxfId="114" priority="23">
      <formula>$G638&lt;&gt;""</formula>
    </cfRule>
  </conditionalFormatting>
  <conditionalFormatting sqref="B625:F629">
    <cfRule type="expression" dxfId="113" priority="97">
      <formula>$G625&lt;&gt;""</formula>
    </cfRule>
  </conditionalFormatting>
  <conditionalFormatting sqref="C408:C415 B444:B450">
    <cfRule type="expression" dxfId="112" priority="217">
      <formula>$G409&lt;&gt;""</formula>
    </cfRule>
  </conditionalFormatting>
  <conditionalFormatting sqref="C416">
    <cfRule type="expression" dxfId="111" priority="208">
      <formula>$G416&lt;&gt;""</formula>
    </cfRule>
  </conditionalFormatting>
  <conditionalFormatting sqref="C613">
    <cfRule type="duplicateValues" dxfId="110" priority="28"/>
    <cfRule type="expression" dxfId="109" priority="29">
      <formula>$G613&lt;&gt;""</formula>
    </cfRule>
  </conditionalFormatting>
  <conditionalFormatting sqref="C617 E617:G617">
    <cfRule type="expression" dxfId="108" priority="152">
      <formula>$G617&lt;&gt;""</formula>
    </cfRule>
  </conditionalFormatting>
  <conditionalFormatting sqref="C617">
    <cfRule type="duplicateValues" dxfId="107" priority="151"/>
  </conditionalFormatting>
  <conditionalFormatting sqref="C619">
    <cfRule type="duplicateValues" dxfId="106" priority="141"/>
  </conditionalFormatting>
  <conditionalFormatting sqref="C644">
    <cfRule type="duplicateValues" dxfId="105" priority="39"/>
  </conditionalFormatting>
  <conditionalFormatting sqref="C652:C653">
    <cfRule type="expression" dxfId="104" priority="53">
      <formula>$G652&lt;&gt;""</formula>
    </cfRule>
  </conditionalFormatting>
  <conditionalFormatting sqref="C655">
    <cfRule type="expression" dxfId="103" priority="59">
      <formula>$G655&lt;&gt;""</formula>
    </cfRule>
  </conditionalFormatting>
  <conditionalFormatting sqref="C642:D642">
    <cfRule type="expression" dxfId="102" priority="7">
      <formula>$G642&lt;&gt;""</formula>
    </cfRule>
  </conditionalFormatting>
  <conditionalFormatting sqref="C644:D644">
    <cfRule type="expression" dxfId="101" priority="40">
      <formula>$G644&lt;&gt;""</formula>
    </cfRule>
  </conditionalFormatting>
  <conditionalFormatting sqref="C630:G630">
    <cfRule type="expression" dxfId="100" priority="109">
      <formula>$G630&lt;&gt;""</formula>
    </cfRule>
  </conditionalFormatting>
  <conditionalFormatting sqref="D652:D747">
    <cfRule type="expression" dxfId="99" priority="74">
      <formula>$G652&lt;&gt;""</formula>
    </cfRule>
  </conditionalFormatting>
  <conditionalFormatting sqref="D533:G533">
    <cfRule type="expression" dxfId="98" priority="101">
      <formula>$G533&lt;&gt;""</formula>
    </cfRule>
  </conditionalFormatting>
  <conditionalFormatting sqref="D535:G535">
    <cfRule type="expression" dxfId="97" priority="102">
      <formula>$G535&lt;&gt;""</formula>
    </cfRule>
  </conditionalFormatting>
  <conditionalFormatting sqref="E380:E381">
    <cfRule type="expression" dxfId="96" priority="87">
      <formula>$G380&lt;&gt;""</formula>
    </cfRule>
  </conditionalFormatting>
  <conditionalFormatting sqref="E545">
    <cfRule type="expression" dxfId="95" priority="103">
      <formula>$G545&lt;&gt;""</formula>
    </cfRule>
  </conditionalFormatting>
  <conditionalFormatting sqref="E633:E747">
    <cfRule type="expression" dxfId="94" priority="72">
      <formula>$G633&lt;&gt;""</formula>
    </cfRule>
  </conditionalFormatting>
  <conditionalFormatting sqref="E531:F531">
    <cfRule type="expression" dxfId="93" priority="94">
      <formula>$G531&lt;&gt;""</formula>
    </cfRule>
  </conditionalFormatting>
  <conditionalFormatting sqref="E444:G444 F445:G450">
    <cfRule type="expression" dxfId="92" priority="207">
      <formula>$G444&lt;&gt;""</formula>
    </cfRule>
  </conditionalFormatting>
  <conditionalFormatting sqref="E528:G528">
    <cfRule type="expression" dxfId="91" priority="96">
      <formula>$G528&lt;&gt;""</formula>
    </cfRule>
  </conditionalFormatting>
  <conditionalFormatting sqref="E613:G613">
    <cfRule type="expression" dxfId="90" priority="30">
      <formula>$G613&lt;&gt;""</formula>
    </cfRule>
  </conditionalFormatting>
  <conditionalFormatting sqref="E619:G620 B620:C620">
    <cfRule type="expression" dxfId="89" priority="131">
      <formula>$G619&lt;&gt;""</formula>
    </cfRule>
  </conditionalFormatting>
  <conditionalFormatting sqref="F81">
    <cfRule type="duplicateValues" dxfId="88" priority="2"/>
  </conditionalFormatting>
  <conditionalFormatting sqref="F416:F433">
    <cfRule type="expression" dxfId="87" priority="210">
      <formula>$G416&lt;&gt;""</formula>
    </cfRule>
  </conditionalFormatting>
  <conditionalFormatting sqref="F577">
    <cfRule type="expression" dxfId="86" priority="122">
      <formula>$G577&lt;&gt;""</formula>
    </cfRule>
  </conditionalFormatting>
  <conditionalFormatting sqref="F743">
    <cfRule type="expression" dxfId="85" priority="3">
      <formula>$G743&lt;&gt;""</formula>
    </cfRule>
  </conditionalFormatting>
  <conditionalFormatting sqref="F358:G387">
    <cfRule type="expression" dxfId="84" priority="135">
      <formula>$G358&lt;&gt;""</formula>
    </cfRule>
  </conditionalFormatting>
  <conditionalFormatting sqref="F500:G502">
    <cfRule type="expression" dxfId="83" priority="5">
      <formula>$G500&lt;&gt;""</formula>
    </cfRule>
  </conditionalFormatting>
  <conditionalFormatting sqref="F510:G512">
    <cfRule type="expression" dxfId="82" priority="37">
      <formula>$G510&lt;&gt;""</formula>
    </cfRule>
  </conditionalFormatting>
  <conditionalFormatting sqref="F517:G517">
    <cfRule type="expression" dxfId="81" priority="81">
      <formula>$G517&lt;&gt;""</formula>
    </cfRule>
  </conditionalFormatting>
  <conditionalFormatting sqref="F635:G635">
    <cfRule type="expression" dxfId="80" priority="45">
      <formula>$G635&lt;&gt;""</formula>
    </cfRule>
  </conditionalFormatting>
  <conditionalFormatting sqref="F637:G638">
    <cfRule type="expression" dxfId="79" priority="25">
      <formula>$G637&lt;&gt;""</formula>
    </cfRule>
  </conditionalFormatting>
  <conditionalFormatting sqref="F642:G642">
    <cfRule type="expression" dxfId="78" priority="9">
      <formula>$G642&lt;&gt;""</formula>
    </cfRule>
  </conditionalFormatting>
  <conditionalFormatting sqref="F644:G644">
    <cfRule type="expression" dxfId="77" priority="47">
      <formula>$G644&lt;&gt;""</formula>
    </cfRule>
  </conditionalFormatting>
  <conditionalFormatting sqref="F652:G653">
    <cfRule type="expression" dxfId="76" priority="54">
      <formula>$G652&lt;&gt;""</formula>
    </cfRule>
  </conditionalFormatting>
  <conditionalFormatting sqref="F655:G655">
    <cfRule type="expression" dxfId="75" priority="60">
      <formula>$G655&lt;&gt;""</formula>
    </cfRule>
  </conditionalFormatting>
  <conditionalFormatting sqref="F745:H747">
    <cfRule type="expression" dxfId="74" priority="32">
      <formula>$G745&lt;&gt;""</formula>
    </cfRule>
  </conditionalFormatting>
  <conditionalFormatting sqref="G452:G453">
    <cfRule type="expression" dxfId="73" priority="100">
      <formula>$G452&lt;&gt;""</formula>
    </cfRule>
  </conditionalFormatting>
  <conditionalFormatting sqref="G455:G459">
    <cfRule type="expression" dxfId="72" priority="132">
      <formula>$G455&lt;&gt;""</formula>
    </cfRule>
  </conditionalFormatting>
  <conditionalFormatting sqref="G461:G464">
    <cfRule type="expression" dxfId="71" priority="203">
      <formula>$G461&lt;&gt;""</formula>
    </cfRule>
  </conditionalFormatting>
  <conditionalFormatting sqref="G507">
    <cfRule type="expression" dxfId="70" priority="1">
      <formula>$G507&lt;&gt;""</formula>
    </cfRule>
  </conditionalFormatting>
  <conditionalFormatting sqref="G530:G531">
    <cfRule type="expression" dxfId="69" priority="114">
      <formula>$G530&lt;&gt;""</formula>
    </cfRule>
  </conditionalFormatting>
  <conditionalFormatting sqref="G537">
    <cfRule type="expression" dxfId="68" priority="134">
      <formula>$G537&lt;&gt;""</formula>
    </cfRule>
  </conditionalFormatting>
  <conditionalFormatting sqref="G540:G552">
    <cfRule type="expression" dxfId="67" priority="155">
      <formula>$G540&lt;&gt;""</formula>
    </cfRule>
  </conditionalFormatting>
  <conditionalFormatting sqref="G556">
    <cfRule type="expression" dxfId="66" priority="146">
      <formula>$G556&lt;&gt;""</formula>
    </cfRule>
  </conditionalFormatting>
  <conditionalFormatting sqref="G559">
    <cfRule type="expression" dxfId="65" priority="199">
      <formula>$G559&lt;&gt;""</formula>
    </cfRule>
  </conditionalFormatting>
  <conditionalFormatting sqref="G564:G568">
    <cfRule type="expression" dxfId="64" priority="200">
      <formula>$G564&lt;&gt;""</formula>
    </cfRule>
  </conditionalFormatting>
  <conditionalFormatting sqref="G571">
    <cfRule type="expression" dxfId="63" priority="198">
      <formula>$G571&lt;&gt;""</formula>
    </cfRule>
  </conditionalFormatting>
  <conditionalFormatting sqref="G574:G576">
    <cfRule type="expression" dxfId="62" priority="197">
      <formula>$G574&lt;&gt;""</formula>
    </cfRule>
  </conditionalFormatting>
  <conditionalFormatting sqref="G743:G744">
    <cfRule type="expression" dxfId="61" priority="11">
      <formula>$G743&lt;&gt;""</formula>
    </cfRule>
  </conditionalFormatting>
  <conditionalFormatting sqref="G437:H437">
    <cfRule type="expression" dxfId="60" priority="83">
      <formula>$G437&lt;&gt;""</formula>
    </cfRule>
  </conditionalFormatting>
  <conditionalFormatting sqref="G439:H439">
    <cfRule type="expression" dxfId="59" priority="85">
      <formula>$G439&lt;&gt;""</formula>
    </cfRule>
  </conditionalFormatting>
  <conditionalFormatting sqref="H2:H9">
    <cfRule type="expression" dxfId="58" priority="189">
      <formula>$G2&lt;&gt;""</formula>
    </cfRule>
  </conditionalFormatting>
  <conditionalFormatting sqref="H11:H14">
    <cfRule type="expression" dxfId="57" priority="188">
      <formula>$G11&lt;&gt;""</formula>
    </cfRule>
  </conditionalFormatting>
  <conditionalFormatting sqref="H16:H26">
    <cfRule type="expression" dxfId="56" priority="187">
      <formula>$G16&lt;&gt;""</formula>
    </cfRule>
  </conditionalFormatting>
  <conditionalFormatting sqref="H29:H35">
    <cfRule type="expression" dxfId="55" priority="186">
      <formula>$G29&lt;&gt;""</formula>
    </cfRule>
  </conditionalFormatting>
  <conditionalFormatting sqref="H37:H49">
    <cfRule type="expression" dxfId="54" priority="185">
      <formula>$G37&lt;&gt;""</formula>
    </cfRule>
  </conditionalFormatting>
  <conditionalFormatting sqref="H51:H61">
    <cfRule type="expression" dxfId="53" priority="184">
      <formula>$G51&lt;&gt;""</formula>
    </cfRule>
  </conditionalFormatting>
  <conditionalFormatting sqref="H63:H65">
    <cfRule type="expression" dxfId="52" priority="183">
      <formula>$G63&lt;&gt;""</formula>
    </cfRule>
  </conditionalFormatting>
  <conditionalFormatting sqref="H67:H68">
    <cfRule type="expression" dxfId="51" priority="182">
      <formula>$G67&lt;&gt;""</formula>
    </cfRule>
  </conditionalFormatting>
  <conditionalFormatting sqref="H70:H72">
    <cfRule type="expression" dxfId="50" priority="181">
      <formula>$G70&lt;&gt;""</formula>
    </cfRule>
  </conditionalFormatting>
  <conditionalFormatting sqref="H75:H80">
    <cfRule type="expression" dxfId="49" priority="180">
      <formula>$G75&lt;&gt;""</formula>
    </cfRule>
  </conditionalFormatting>
  <conditionalFormatting sqref="H82:H101">
    <cfRule type="expression" dxfId="48" priority="179">
      <formula>$G82&lt;&gt;""</formula>
    </cfRule>
  </conditionalFormatting>
  <conditionalFormatting sqref="H103:H108">
    <cfRule type="expression" dxfId="47" priority="178">
      <formula>$G103&lt;&gt;""</formula>
    </cfRule>
  </conditionalFormatting>
  <conditionalFormatting sqref="H110:H121">
    <cfRule type="expression" dxfId="46" priority="177">
      <formula>$G110&lt;&gt;""</formula>
    </cfRule>
  </conditionalFormatting>
  <conditionalFormatting sqref="H123:H124">
    <cfRule type="expression" dxfId="45" priority="176">
      <formula>$G123&lt;&gt;""</formula>
    </cfRule>
  </conditionalFormatting>
  <conditionalFormatting sqref="H126:H133">
    <cfRule type="expression" dxfId="44" priority="175">
      <formula>$G126&lt;&gt;""</formula>
    </cfRule>
  </conditionalFormatting>
  <conditionalFormatting sqref="H135:H137">
    <cfRule type="expression" dxfId="43" priority="174">
      <formula>$G135&lt;&gt;""</formula>
    </cfRule>
  </conditionalFormatting>
  <conditionalFormatting sqref="H139:H148">
    <cfRule type="expression" dxfId="42" priority="161">
      <formula>$G139&lt;&gt;""</formula>
    </cfRule>
  </conditionalFormatting>
  <conditionalFormatting sqref="H150:H156">
    <cfRule type="expression" dxfId="41" priority="170">
      <formula>$G150&lt;&gt;""</formula>
    </cfRule>
  </conditionalFormatting>
  <conditionalFormatting sqref="H158:H162">
    <cfRule type="expression" dxfId="40" priority="169">
      <formula>$G158&lt;&gt;""</formula>
    </cfRule>
  </conditionalFormatting>
  <conditionalFormatting sqref="H164:H179">
    <cfRule type="expression" dxfId="39" priority="168">
      <formula>$G164&lt;&gt;""</formula>
    </cfRule>
  </conditionalFormatting>
  <conditionalFormatting sqref="H181">
    <cfRule type="expression" dxfId="38" priority="167">
      <formula>$G181&lt;&gt;""</formula>
    </cfRule>
  </conditionalFormatting>
  <conditionalFormatting sqref="H188:H189">
    <cfRule type="expression" dxfId="37" priority="166">
      <formula>$G188&lt;&gt;""</formula>
    </cfRule>
  </conditionalFormatting>
  <conditionalFormatting sqref="H192:H193">
    <cfRule type="expression" dxfId="36" priority="165">
      <formula>$G192&lt;&gt;""</formula>
    </cfRule>
  </conditionalFormatting>
  <conditionalFormatting sqref="H196:H198">
    <cfRule type="expression" dxfId="35" priority="164">
      <formula>$G196&lt;&gt;""</formula>
    </cfRule>
  </conditionalFormatting>
  <conditionalFormatting sqref="H200:H214">
    <cfRule type="expression" dxfId="34" priority="21">
      <formula>$G200&lt;&gt;""</formula>
    </cfRule>
  </conditionalFormatting>
  <conditionalFormatting sqref="H217:H221">
    <cfRule type="expression" dxfId="33" priority="120">
      <formula>$G217&lt;&gt;""</formula>
    </cfRule>
  </conditionalFormatting>
  <conditionalFormatting sqref="H223:H225">
    <cfRule type="expression" dxfId="32" priority="119">
      <formula>$G223&lt;&gt;""</formula>
    </cfRule>
  </conditionalFormatting>
  <conditionalFormatting sqref="H227:H229">
    <cfRule type="expression" dxfId="31" priority="118">
      <formula>$G227&lt;&gt;""</formula>
    </cfRule>
  </conditionalFormatting>
  <conditionalFormatting sqref="H234">
    <cfRule type="expression" dxfId="30" priority="117">
      <formula>$G234&lt;&gt;""</formula>
    </cfRule>
  </conditionalFormatting>
  <conditionalFormatting sqref="H244:H246">
    <cfRule type="expression" dxfId="29" priority="116">
      <formula>$G244&lt;&gt;""</formula>
    </cfRule>
  </conditionalFormatting>
  <conditionalFormatting sqref="H256:H257">
    <cfRule type="expression" dxfId="28" priority="20">
      <formula>$G256&lt;&gt;""</formula>
    </cfRule>
  </conditionalFormatting>
  <conditionalFormatting sqref="H259:H264">
    <cfRule type="expression" dxfId="27" priority="19">
      <formula>$G259&lt;&gt;""</formula>
    </cfRule>
  </conditionalFormatting>
  <conditionalFormatting sqref="H267:H268">
    <cfRule type="expression" dxfId="26" priority="18">
      <formula>$G267&lt;&gt;""</formula>
    </cfRule>
  </conditionalFormatting>
  <conditionalFormatting sqref="H270">
    <cfRule type="expression" dxfId="25" priority="17">
      <formula>$G270&lt;&gt;""</formula>
    </cfRule>
  </conditionalFormatting>
  <conditionalFormatting sqref="H273:H276">
    <cfRule type="expression" dxfId="24" priority="16">
      <formula>$G273&lt;&gt;""</formula>
    </cfRule>
  </conditionalFormatting>
  <conditionalFormatting sqref="H280">
    <cfRule type="expression" dxfId="23" priority="15">
      <formula>$G280&lt;&gt;""</formula>
    </cfRule>
  </conditionalFormatting>
  <conditionalFormatting sqref="H282:H283">
    <cfRule type="expression" dxfId="22" priority="14">
      <formula>$G282&lt;&gt;""</formula>
    </cfRule>
  </conditionalFormatting>
  <conditionalFormatting sqref="H285:H286">
    <cfRule type="expression" dxfId="21" priority="13">
      <formula>$G285&lt;&gt;""</formula>
    </cfRule>
  </conditionalFormatting>
  <conditionalFormatting sqref="H288">
    <cfRule type="expression" dxfId="20" priority="12">
      <formula>$G288&lt;&gt;""</formula>
    </cfRule>
  </conditionalFormatting>
  <conditionalFormatting sqref="H293:H318">
    <cfRule type="expression" dxfId="19" priority="127">
      <formula>$G293&lt;&gt;""</formula>
    </cfRule>
  </conditionalFormatting>
  <conditionalFormatting sqref="H322:H327">
    <cfRule type="expression" dxfId="18" priority="124">
      <formula>$G322&lt;&gt;""</formula>
    </cfRule>
  </conditionalFormatting>
  <conditionalFormatting sqref="H329:H330">
    <cfRule type="expression" dxfId="17" priority="93">
      <formula>$G329&lt;&gt;""</formula>
    </cfRule>
  </conditionalFormatting>
  <conditionalFormatting sqref="H334">
    <cfRule type="expression" dxfId="16" priority="92">
      <formula>$G334&lt;&gt;""</formula>
    </cfRule>
  </conditionalFormatting>
  <conditionalFormatting sqref="H340">
    <cfRule type="expression" dxfId="15" priority="91">
      <formula>$G340&lt;&gt;""</formula>
    </cfRule>
  </conditionalFormatting>
  <conditionalFormatting sqref="H344:H347">
    <cfRule type="expression" dxfId="14" priority="90">
      <formula>$G344&lt;&gt;""</formula>
    </cfRule>
  </conditionalFormatting>
  <conditionalFormatting sqref="H352">
    <cfRule type="expression" dxfId="13" priority="78">
      <formula>$G352&lt;&gt;""</formula>
    </cfRule>
  </conditionalFormatting>
  <conditionalFormatting sqref="H358:H379">
    <cfRule type="expression" dxfId="12" priority="192">
      <formula>$G358&lt;&gt;""</formula>
    </cfRule>
  </conditionalFormatting>
  <conditionalFormatting sqref="H382:H388">
    <cfRule type="expression" dxfId="11" priority="191">
      <formula>$G382&lt;&gt;""</formula>
    </cfRule>
  </conditionalFormatting>
  <conditionalFormatting sqref="H391:H432">
    <cfRule type="expression" dxfId="10" priority="190">
      <formula>$G391&lt;&gt;""</formula>
    </cfRule>
  </conditionalFormatting>
  <conditionalFormatting sqref="H743">
    <cfRule type="expression" dxfId="9" priority="4">
      <formula>$G743&lt;&gt;""</formula>
    </cfRule>
  </conditionalFormatting>
  <conditionalFormatting sqref="J74">
    <cfRule type="expression" dxfId="8" priority="115">
      <formula>$G74&lt;&gt;""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1F0E-6AFA-45E0-A6A3-CDC86BA10FA5}"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AA37-2D74-4730-B9AA-DA483B4AF97E}"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8B3A-6961-4CF8-B14C-E9AD7BCC9D0F}">
  <dimension ref="A3:C15"/>
  <sheetViews>
    <sheetView workbookViewId="0">
      <selection activeCell="I5" sqref="I5"/>
    </sheetView>
  </sheetViews>
  <sheetFormatPr baseColWidth="10" defaultColWidth="11.453125" defaultRowHeight="14.5"/>
  <sheetData>
    <row r="3" spans="1:3" ht="15" thickBot="1">
      <c r="A3" s="125"/>
      <c r="C3" t="s">
        <v>3208</v>
      </c>
    </row>
    <row r="5" spans="1:3" ht="15" thickBot="1">
      <c r="A5" s="71"/>
      <c r="C5" t="s">
        <v>3209</v>
      </c>
    </row>
    <row r="7" spans="1:3" ht="15" thickBot="1">
      <c r="A7" s="50"/>
      <c r="C7" t="s">
        <v>3210</v>
      </c>
    </row>
    <row r="9" spans="1:3" ht="15" thickBot="1">
      <c r="A9" s="113"/>
      <c r="C9" t="s">
        <v>3211</v>
      </c>
    </row>
    <row r="11" spans="1:3" ht="15" thickBot="1">
      <c r="A11" s="39"/>
      <c r="C11" t="s">
        <v>3212</v>
      </c>
    </row>
    <row r="13" spans="1:3" ht="15" thickBot="1">
      <c r="A13" s="43"/>
      <c r="C13" t="s">
        <v>3213</v>
      </c>
    </row>
    <row r="15" spans="1:3">
      <c r="A15" s="114"/>
      <c r="C15" t="s">
        <v>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Reparaciones </vt:lpstr>
      <vt:lpstr>Hoja2</vt:lpstr>
      <vt:lpstr>REPARACIONES</vt:lpstr>
      <vt:lpstr>Hoja1</vt:lpstr>
      <vt:lpstr>Hoja3</vt:lpstr>
      <vt:lpstr>Detalle1</vt:lpstr>
      <vt:lpstr>Detalle2</vt:lpstr>
      <vt:lpstr>AVANCE</vt:lpstr>
      <vt:lpstr>costo de piezas y reparaciones</vt:lpstr>
      <vt:lpstr>STOCK</vt:lpstr>
      <vt:lpstr>Hoja4</vt:lpstr>
      <vt:lpstr>Hoja5</vt:lpstr>
      <vt:lpstr>COLORES INCIDENCIAS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Luís  Flores Cabrera</dc:creator>
  <cp:keywords/>
  <dc:description/>
  <cp:lastModifiedBy>Jorge Luís  Flores Cabrera</cp:lastModifiedBy>
  <cp:revision/>
  <dcterms:created xsi:type="dcterms:W3CDTF">2025-04-06T13:47:29Z</dcterms:created>
  <dcterms:modified xsi:type="dcterms:W3CDTF">2026-04-27T21:13:03Z</dcterms:modified>
  <cp:category/>
  <cp:contentStatus/>
</cp:coreProperties>
</file>